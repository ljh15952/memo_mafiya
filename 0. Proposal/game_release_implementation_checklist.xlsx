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12511301\Downloads\"/>
    </mc:Choice>
  </mc:AlternateContent>
  <xr:revisionPtr revIDLastSave="0" documentId="13_ncr:1_{250DF0D0-4D13-4245-83AC-91246A2F62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0_Dashboard" sheetId="1" r:id="rId1"/>
    <sheet name="01_Master_Checklist" sheetId="2" r:id="rId2"/>
    <sheet name="02_Release_Gates" sheetId="3" r:id="rId3"/>
    <sheet name="03_Item_Balance" sheetId="4" r:id="rId4"/>
    <sheet name="04_Milestones" sheetId="5" r:id="rId5"/>
    <sheet name="99_List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5" l="1"/>
  <c r="H6" i="5"/>
  <c r="H5" i="5"/>
  <c r="H4" i="5"/>
  <c r="H3" i="5"/>
  <c r="H2" i="5"/>
  <c r="F11" i="3"/>
  <c r="G11" i="3" s="1"/>
  <c r="F10" i="3"/>
  <c r="G10" i="3" s="1"/>
  <c r="F9" i="3"/>
  <c r="G9" i="3" s="1"/>
  <c r="F8" i="3"/>
  <c r="G8" i="3" s="1"/>
  <c r="F7" i="3"/>
  <c r="G7" i="3" s="1"/>
  <c r="F6" i="3"/>
  <c r="G6" i="3" s="1"/>
  <c r="F5" i="3"/>
  <c r="G5" i="3" s="1"/>
  <c r="F4" i="3"/>
  <c r="G4" i="3" s="1"/>
  <c r="F3" i="3"/>
  <c r="G3" i="3" s="1"/>
  <c r="F2" i="3"/>
  <c r="G2" i="3" s="1"/>
  <c r="D25" i="1"/>
  <c r="C25" i="1"/>
  <c r="E25" i="1" s="1"/>
  <c r="B25" i="1"/>
  <c r="D24" i="1"/>
  <c r="C24" i="1"/>
  <c r="E24" i="1" s="1"/>
  <c r="B24" i="1"/>
  <c r="D23" i="1"/>
  <c r="C23" i="1"/>
  <c r="E23" i="1" s="1"/>
  <c r="B23" i="1"/>
  <c r="D22" i="1"/>
  <c r="C22" i="1"/>
  <c r="B22" i="1"/>
  <c r="E22" i="1" s="1"/>
  <c r="D21" i="1"/>
  <c r="C21" i="1"/>
  <c r="E21" i="1" s="1"/>
  <c r="B21" i="1"/>
  <c r="D20" i="1"/>
  <c r="C20" i="1"/>
  <c r="E20" i="1" s="1"/>
  <c r="B20" i="1"/>
  <c r="D19" i="1"/>
  <c r="C19" i="1"/>
  <c r="E19" i="1" s="1"/>
  <c r="B19" i="1"/>
  <c r="D18" i="1"/>
  <c r="C18" i="1"/>
  <c r="E18" i="1" s="1"/>
  <c r="B18" i="1"/>
  <c r="D17" i="1"/>
  <c r="C17" i="1"/>
  <c r="E17" i="1" s="1"/>
  <c r="B17" i="1"/>
  <c r="D16" i="1"/>
  <c r="C16" i="1"/>
  <c r="E16" i="1" s="1"/>
  <c r="B16" i="1"/>
  <c r="D15" i="1"/>
  <c r="C15" i="1"/>
  <c r="E15" i="1" s="1"/>
  <c r="B15" i="1"/>
  <c r="D14" i="1"/>
  <c r="C14" i="1"/>
  <c r="E14" i="1" s="1"/>
  <c r="B14" i="1"/>
  <c r="F9" i="1"/>
  <c r="F8" i="1"/>
  <c r="G8" i="1" s="1"/>
  <c r="B8" i="1"/>
  <c r="F7" i="1"/>
  <c r="G7" i="1" s="1"/>
  <c r="B7" i="1"/>
  <c r="F6" i="1"/>
  <c r="G6" i="1" s="1"/>
  <c r="B6" i="1"/>
  <c r="B10" i="1" s="1"/>
  <c r="G5" i="1"/>
  <c r="F5" i="1"/>
  <c r="B5" i="1"/>
  <c r="F4" i="1"/>
  <c r="G4" i="1" s="1"/>
  <c r="B4" i="1"/>
  <c r="B9" i="1" s="1"/>
  <c r="F3" i="1"/>
  <c r="B3" i="1"/>
  <c r="G9" i="1" s="1"/>
  <c r="G3" i="1" l="1"/>
</calcChain>
</file>

<file path=xl/sharedStrings.xml><?xml version="1.0" encoding="utf-8"?>
<sst xmlns="http://schemas.openxmlformats.org/spreadsheetml/2006/main" count="3776" uniqueCount="1060">
  <si>
    <t>《등 뒤의 메모》 판매 준비 구현 체크리스트 Dashboard</t>
  </si>
  <si>
    <t>KPI</t>
  </si>
  <si>
    <t>Value</t>
  </si>
  <si>
    <t>Definition</t>
  </si>
  <si>
    <t>STATUS</t>
  </si>
  <si>
    <t>Count</t>
  </si>
  <si>
    <t>Share</t>
  </si>
  <si>
    <t>Release Meaning</t>
  </si>
  <si>
    <t>총 체크 항목</t>
  </si>
  <si>
    <t>전체 구현/검수 항목 수</t>
  </si>
  <si>
    <t>대기</t>
  </si>
  <si>
    <t>아직 착수 전</t>
  </si>
  <si>
    <t>OK</t>
  </si>
  <si>
    <t>완료 승인된 항목</t>
  </si>
  <si>
    <t>진행중</t>
  </si>
  <si>
    <t>작업 중</t>
  </si>
  <si>
    <t>작업 중인 항목</t>
  </si>
  <si>
    <t>검토중</t>
  </si>
  <si>
    <t>QA/리뷰 중</t>
  </si>
  <si>
    <t>차단</t>
  </si>
  <si>
    <t>출시 전 해결 필요</t>
  </si>
  <si>
    <t>릴리즈 차단</t>
  </si>
  <si>
    <t>필수 미완료</t>
  </si>
  <si>
    <t>0이어야 릴리즈 게이트 통과</t>
  </si>
  <si>
    <t>완료 승인</t>
  </si>
  <si>
    <t>전체 미완료</t>
  </si>
  <si>
    <t>전체 체크리스트가 OK인지 확인</t>
  </si>
  <si>
    <t>보류</t>
  </si>
  <si>
    <t>범위 재검토</t>
  </si>
  <si>
    <t>전체 진행률</t>
  </si>
  <si>
    <t>OK / 전체</t>
  </si>
  <si>
    <t>N/A</t>
  </si>
  <si>
    <t>이번 릴리즈 제외</t>
  </si>
  <si>
    <t>판매 가능 판정</t>
  </si>
  <si>
    <t>필수 및 전체 항목 모두 OK 필요</t>
  </si>
  <si>
    <t>Domain</t>
  </si>
  <si>
    <t>Total</t>
  </si>
  <si>
    <t>Progress</t>
  </si>
  <si>
    <t>Core Rules</t>
  </si>
  <si>
    <t>Memo System</t>
  </si>
  <si>
    <t>Mafia System</t>
  </si>
  <si>
    <t>Day Night &amp; Minigames</t>
  </si>
  <si>
    <t>Item System</t>
  </si>
  <si>
    <t>Progression</t>
  </si>
  <si>
    <t>UI UX &amp; Character</t>
  </si>
  <si>
    <t>Network &amp; Backend</t>
  </si>
  <si>
    <t>Art Audio Level</t>
  </si>
  <si>
    <t>QA &amp; Balance</t>
  </si>
  <si>
    <t>Release Operations</t>
  </si>
  <si>
    <t>Polish &amp; Expansion</t>
  </si>
  <si>
    <t>ID</t>
  </si>
  <si>
    <t>Feature</t>
  </si>
  <si>
    <t>Task</t>
  </si>
  <si>
    <t>Acceptance Criteria</t>
  </si>
  <si>
    <t>Owner</t>
  </si>
  <si>
    <t>Role</t>
  </si>
  <si>
    <t>Priority</t>
  </si>
  <si>
    <t>Ship Gate</t>
  </si>
  <si>
    <t>QA Type</t>
  </si>
  <si>
    <t>Platform</t>
  </si>
  <si>
    <t>Milestone</t>
  </si>
  <si>
    <t>Dependency</t>
  </si>
  <si>
    <t>Risk</t>
  </si>
  <si>
    <t>Evidence Link</t>
  </si>
  <si>
    <t>Due Date</t>
  </si>
  <si>
    <t>Notes</t>
  </si>
  <si>
    <t>CHK-0001</t>
  </si>
  <si>
    <t>게임 루프</t>
  </si>
  <si>
    <t>낮/밤/회의 상태 머신 구현</t>
  </si>
  <si>
    <t>낮, 밤, 낮 시작 회의 상태가 서버 기준으로 전환되고 클라이언트 UI가 동일하게 반영된다.</t>
  </si>
  <si>
    <t>TBD</t>
  </si>
  <si>
    <t>기획</t>
  </si>
  <si>
    <t>P0</t>
  </si>
  <si>
    <t>필수</t>
  </si>
  <si>
    <t>통합</t>
  </si>
  <si>
    <t>공통</t>
  </si>
  <si>
    <t>MVP</t>
  </si>
  <si>
    <t>중</t>
  </si>
  <si>
    <t>CHK-0002</t>
  </si>
  <si>
    <t>최후 생존자 승리 판정</t>
  </si>
  <si>
    <t>생존자가 1명 남는 즉시 역할과 무관하게 해당 플레이어 승리로 종료된다.</t>
  </si>
  <si>
    <t>CHK-0003</t>
  </si>
  <si>
    <t>사망 후 관전 모드</t>
  </si>
  <si>
    <t>사망자는 이동/메모/아이템/미니게임/회의 영향이 차단되고 관전만 가능하다.</t>
  </si>
  <si>
    <t>CHK-0004</t>
  </si>
  <si>
    <t>동시 사망 처리</t>
  </si>
  <si>
    <t>같은 틱에 여러 플레이어가 3장 사망해도 최종 생존자 판정이 결정론적으로 처리된다.</t>
  </si>
  <si>
    <t>CHK-0005</t>
  </si>
  <si>
    <t>중도 이탈 처리</t>
  </si>
  <si>
    <t>플레이어 이탈 시 생존자 수, 마피아 유전 후보, 승리 판정이 정상 갱신된다.</t>
  </si>
  <si>
    <t>CHK-0006</t>
  </si>
  <si>
    <t>재접속 처리</t>
  </si>
  <si>
    <t>일시 네트워크 끊김 후 재접속 시 역할/메모/아이템/상태가 서버 값으로 복구된다.</t>
  </si>
  <si>
    <t>CHK-0007</t>
  </si>
  <si>
    <t>역할</t>
  </si>
  <si>
    <t>시민 역할 배정</t>
  </si>
  <si>
    <t>시민 플레이어에게 기본 능력과 색상 메모 제한이 적용된다.</t>
  </si>
  <si>
    <t>CHK-0008</t>
  </si>
  <si>
    <t>마피아 역할 배정</t>
  </si>
  <si>
    <t>마피아에게 색 위조, 빠른 메모 획득, 전용 UI가 적용된다.</t>
  </si>
  <si>
    <t>CHK-0009</t>
  </si>
  <si>
    <t>역할 비공개 유지</t>
  </si>
  <si>
    <t>자신 외에는 역할이 UI/로그/네트워크 패킷으로 노출되지 않는다.</t>
  </si>
  <si>
    <t>CHK-0010</t>
  </si>
  <si>
    <t>역할 변경 이벤트</t>
  </si>
  <si>
    <t>마피아 유전으로 역할이 바뀔 때 기존 상태와 신규 능력이 충돌 없이 전환된다.</t>
  </si>
  <si>
    <t>CHK-0011</t>
  </si>
  <si>
    <t>회의</t>
  </si>
  <si>
    <t>투표/추방 제거</t>
  </si>
  <si>
    <t>회의에서 투표 제거 UI가 없고, 회의는 정보 공유와 분위기 형성만 담당한다.</t>
  </si>
  <si>
    <t>CHK-0012</t>
  </si>
  <si>
    <t>낮 시작 전체 회의</t>
  </si>
  <si>
    <t>매 낮 시작 시 지정 시간 동안 전체 음성/채팅/상태 UI가 활성화된다.</t>
  </si>
  <si>
    <t>CHK-0013</t>
  </si>
  <si>
    <t>회의 종료 후 자유 행동 전환</t>
  </si>
  <si>
    <t>회의 종료 즉시 이동, 메모 부착, 아이템 사용, 미니게임이 활성화된다.</t>
  </si>
  <si>
    <t>CHK-0014</t>
  </si>
  <si>
    <t>밤 추리 시간</t>
  </si>
  <si>
    <t>밤에는 중앙 집합, 메모 확인, 이동 제한/대화 제한 정책이 정상 적용된다.</t>
  </si>
  <si>
    <t>CHK-0015</t>
  </si>
  <si>
    <t>설정</t>
  </si>
  <si>
    <t>커스텀 룸 기본값</t>
  </si>
  <si>
    <t>마피아 유전, 아이템 스폰, 낮 시간, 회의 시간, 미니게임 개수 기본값이 정의되어 있다.</t>
  </si>
  <si>
    <t>CHK-0016</t>
  </si>
  <si>
    <t>메모 부착</t>
  </si>
  <si>
    <t>등 뒤 부착 판정</t>
  </si>
  <si>
    <t>대상 등 뒤 유효 각도/거리에서만 메모 부착이 시작된다.</t>
  </si>
  <si>
    <t>클라이언트</t>
  </si>
  <si>
    <t>기능</t>
  </si>
  <si>
    <t>CHK-0017</t>
  </si>
  <si>
    <t>부착 시간 처리</t>
  </si>
  <si>
    <t>부착 게이지 1.2~1.5초 완료 후 서버가 메모를 확정한다.</t>
  </si>
  <si>
    <t>CHK-0018</t>
  </si>
  <si>
    <t>이동 중 실패 처리</t>
  </si>
  <si>
    <t>대상이 거리 밖으로 벗어나면 부착이 실패하고 메모 소모 정책이 적용된다.</t>
  </si>
  <si>
    <t>CHK-0019</t>
  </si>
  <si>
    <t>부착 모션 동기화</t>
  </si>
  <si>
    <t>주변 플레이어가 부착 모션을 관찰할 수 있고 원거리에서는 내용이 보이지 않는다.</t>
  </si>
  <si>
    <t>CHK-0020</t>
  </si>
  <si>
    <t>동시 부착 충돌</t>
  </si>
  <si>
    <t>동시에 여러 명이 같은 대상에게 붙일 때 메모 순서와 사망 판정이 결정론적이다.</t>
  </si>
  <si>
    <t>CHK-0021</t>
  </si>
  <si>
    <t>메모 상태</t>
  </si>
  <si>
    <t>자기 등 메모 비공개</t>
  </si>
  <si>
    <t>플레이어는 자기 등에 붙은 메모 내용/색/개수를 직접 볼 수 없다.</t>
  </si>
  <si>
    <t>CHK-0022</t>
  </si>
  <si>
    <t>타인 등 메모 표시</t>
  </si>
  <si>
    <t>타인의 등 메모는 거리와 각도에 따라 개수/색/내용 가독성이 달라진다.</t>
  </si>
  <si>
    <t>CHK-0023</t>
  </si>
  <si>
    <t>메모 3장 사망</t>
  </si>
  <si>
    <t>3번째 유효 메모가 붙는 순간 대상이 즉시 사망 처리된다.</t>
  </si>
  <si>
    <t>CHK-0024</t>
  </si>
  <si>
    <t>메모 순서 표시</t>
  </si>
  <si>
    <t>오래된 메모와 최근 메모의 배치 순서가 일관되게 표시된다.</t>
  </si>
  <si>
    <t>CHK-0025</t>
  </si>
  <si>
    <t>위험도 연출</t>
  </si>
  <si>
    <t>타인 기준 1장/2장/3장 상태에 맞는 시각/사운드 피드백이 적용된다.</t>
  </si>
  <si>
    <t>CHK-0026</t>
  </si>
  <si>
    <t>메모 내용</t>
  </si>
  <si>
    <t>프리셋 문구 시스템</t>
  </si>
  <si>
    <t>욕설/비방 방지를 위해 기본은 프리셋 문구 선택으로 작성된다.</t>
  </si>
  <si>
    <t>CHK-0027</t>
  </si>
  <si>
    <t>자유 입력 옵션</t>
  </si>
  <si>
    <t>커스텀 룸에서만 자유 입력을 켤 수 있고 금칙어/신고 처리와 연결된다.</t>
  </si>
  <si>
    <t>CHK-0028</t>
  </si>
  <si>
    <t>메모 색상</t>
  </si>
  <si>
    <t>시민 색상 제한</t>
  </si>
  <si>
    <t>시민은 자기 플레이어 색상 메모만 생성할 수 있다.</t>
  </si>
  <si>
    <t>CHK-0029</t>
  </si>
  <si>
    <t>마피아 색 위조</t>
  </si>
  <si>
    <t>마피아는 타 플레이어 색상으로 보이는 메모를 생성할 수 있다.</t>
  </si>
  <si>
    <t>CHK-0030</t>
  </si>
  <si>
    <t>메모 기록</t>
  </si>
  <si>
    <t>서버 감사 로그</t>
  </si>
  <si>
    <t>실제 작성자/부착자/색 위조 여부는 서버 로그에만 저장되고 일반 UI에는 노출되지 않는다.</t>
  </si>
  <si>
    <t>CHK-0031</t>
  </si>
  <si>
    <t>사망 리플레이 비공개 정책</t>
  </si>
  <si>
    <t>리플레이가 실제 마피아 여부나 색 위조 정답을 공개하지 않는다.</t>
  </si>
  <si>
    <t>CHK-0032</t>
  </si>
  <si>
    <t>메모 상호작용</t>
  </si>
  <si>
    <t>힐 제거 연동</t>
  </si>
  <si>
    <t>힐 사용 시 지정 규칙에 따라 최근 메모 1장이 제거되고 카운트가 갱신된다.</t>
  </si>
  <si>
    <t>CHK-0033</t>
  </si>
  <si>
    <t>가짜 메모 카운트 제외</t>
  </si>
  <si>
    <t>가짜 메모는 시각적으로 붙지만 3장 사망 카운트에는 포함되지 않는다.</t>
  </si>
  <si>
    <t>CHK-0034</t>
  </si>
  <si>
    <t>마피아 경제</t>
  </si>
  <si>
    <t>자동 메모 쿨타임</t>
  </si>
  <si>
    <t>마피아는 보유 메모가 2장 미만일 때 지정 쿨타임으로 메모를 획득한다.</t>
  </si>
  <si>
    <t>서버</t>
  </si>
  <si>
    <t>Server</t>
  </si>
  <si>
    <t>Alpha</t>
  </si>
  <si>
    <t>CHK-0035</t>
  </si>
  <si>
    <t>최대 보유 2장</t>
  </si>
  <si>
    <t>마피아 메모 보유량이 2장을 초과하지 않는다.</t>
  </si>
  <si>
    <t>CHK-0036</t>
  </si>
  <si>
    <t>시작 메모 지급</t>
  </si>
  <si>
    <t>마피아는 매치 시작 시 기본 메모 1장을 보유한다.</t>
  </si>
  <si>
    <t>CHK-0037</t>
  </si>
  <si>
    <t>미니게임 보상 정책</t>
  </si>
  <si>
    <t>마피아가 미니게임 보상을 받을지 여부가 룸 설정과 밸런스표 기준으로 동작한다.</t>
  </si>
  <si>
    <t>CHK-0038</t>
  </si>
  <si>
    <t>색 위조</t>
  </si>
  <si>
    <t>위조 UI</t>
  </si>
  <si>
    <t>마피아는 메모 작성 시 사용 가능한 위조 색상을 선택할 수 있다.</t>
  </si>
  <si>
    <t>CHK-0039</t>
  </si>
  <si>
    <t>위조 로그 은닉</t>
  </si>
  <si>
    <t>일반 플레이어에게는 위조 여부가 표시되지 않는다.</t>
  </si>
  <si>
    <t>CHK-0040</t>
  </si>
  <si>
    <t>해독 렌즈 대응</t>
  </si>
  <si>
    <t>해독 렌즈 사용 시 확정이 아닌 의심 메시지만 표시된다.</t>
  </si>
  <si>
    <t>CHK-0041</t>
  </si>
  <si>
    <t>분위기 조작</t>
  </si>
  <si>
    <t>마피아 전용 힌트 UI</t>
  </si>
  <si>
    <t>마피아에게 위험자, 2장 대상, 위조 후보 색상 등 플레이 보조 정보가 과하지 않게 제공된다.</t>
  </si>
  <si>
    <t>CHK-0042</t>
  </si>
  <si>
    <t>진실 이용 메모 프리셋</t>
  </si>
  <si>
    <t>혼자 있었음/따라옴/거짓말함 등 진실과 분탕이 섞이는 문구가 제공된다.</t>
  </si>
  <si>
    <t>CHK-0043</t>
  </si>
  <si>
    <t>마피아 유전</t>
  </si>
  <si>
    <t>마피아 사망 감지</t>
  </si>
  <si>
    <t>현재 마피아가 3장 사망하면 유전 시스템이 발동 조건을 검사한다.</t>
  </si>
  <si>
    <t>CHK-0044</t>
  </si>
  <si>
    <t>전체 사망 알림</t>
  </si>
  <si>
    <t>마피아 사망 사실과 신규 선정까지의 대기 시간이 모든 플레이어에게 표시된다.</t>
  </si>
  <si>
    <t>CHK-0045</t>
  </si>
  <si>
    <t>유전 대기 타이머</t>
  </si>
  <si>
    <t>10~20초 대기 타이머가 서버 기준으로 동기화된다.</t>
  </si>
  <si>
    <t>CHK-0046</t>
  </si>
  <si>
    <t>신규 마피아 랜덤 선정</t>
  </si>
  <si>
    <t>생존자 중 조건에 맞는 1명을 랜덤으로 신규 마피아로 선정한다.</t>
  </si>
  <si>
    <t>CHK-0047</t>
  </si>
  <si>
    <t>신규 마피아 비공개</t>
  </si>
  <si>
    <t>신규 마피아 알림은 당사자에게만 표시된다.</t>
  </si>
  <si>
    <t>CHK-0048</t>
  </si>
  <si>
    <t>생존자 3명 이하 예외</t>
  </si>
  <si>
    <t>생존자 3명 이하에서는 기본값 기준 유전이 비활성화된다.</t>
  </si>
  <si>
    <t>CHK-0049</t>
  </si>
  <si>
    <t>유전 횟수 제한</t>
  </si>
  <si>
    <t>1회/무한/OFF 설정이 정상 적용된다.</t>
  </si>
  <si>
    <t>CHK-0050</t>
  </si>
  <si>
    <t>기존 마피아 사망 유지</t>
  </si>
  <si>
    <t>사망한 기존 마피아가 관전 상태로 유지되고 역할 정보가 유출되지 않는다.</t>
  </si>
  <si>
    <t>CHK-0051</t>
  </si>
  <si>
    <t>낮 미니게임</t>
  </si>
  <si>
    <t>낮 고정 5개 생성</t>
  </si>
  <si>
    <t>매 낮 시작 시 맵에 미니게임 5개가 생성된다.</t>
  </si>
  <si>
    <t>CHK-0052</t>
  </si>
  <si>
    <t>다음 낮 초기화</t>
  </si>
  <si>
    <t>다음 낮이 시작되면 완료/미완료 미니게임이 모두 초기화된다.</t>
  </si>
  <si>
    <t>CHK-0053</t>
  </si>
  <si>
    <t>보상 지급</t>
  </si>
  <si>
    <t>성공 시 메모 1장 또는 설정된 아이템 보상이 정확히 지급된다.</t>
  </si>
  <si>
    <t>CHK-0054</t>
  </si>
  <si>
    <t>중복 보상 방지</t>
  </si>
  <si>
    <t>동일 미니게임에서 동일 플레이어가 중복 보상을 받을 수 없다.</t>
  </si>
  <si>
    <t>CHK-0055</t>
  </si>
  <si>
    <t>미니게임 위치 랜덤</t>
  </si>
  <si>
    <t>스폰 위치가 반복되지 않고 맵 동선이 분산된다.</t>
  </si>
  <si>
    <t>CHK-0056</t>
  </si>
  <si>
    <t>실패/취소 처리</t>
  </si>
  <si>
    <t>미니게임 중 이동/공격/사망 시 정상 취소된다.</t>
  </si>
  <si>
    <t>CHK-0057</t>
  </si>
  <si>
    <t>난이도 단계</t>
  </si>
  <si>
    <t>후반 낮으로 갈수록 제한 시간 또는 입력 복잡도가 소폭 상승한다.</t>
  </si>
  <si>
    <t>CHK-0058</t>
  </si>
  <si>
    <t>미니게임 1</t>
  </si>
  <si>
    <t>버튼 순서 맞히기</t>
  </si>
  <si>
    <t>순서 입력 미니게임이 10초 이내 완료 가능한 난이도로 동작한다.</t>
  </si>
  <si>
    <t>CHK-0059</t>
  </si>
  <si>
    <t>미니게임 2</t>
  </si>
  <si>
    <t>색깔 패널 정렬</t>
  </si>
  <si>
    <t>색상 판독성이 색약 접근성 기준을 만족한다.</t>
  </si>
  <si>
    <t>CHK-0060</t>
  </si>
  <si>
    <t>미니게임 3</t>
  </si>
  <si>
    <t>리듬 입력</t>
  </si>
  <si>
    <t>입력 지연 보정이 있고 네트워크 환경에서도 판정이 안정적이다.</t>
  </si>
  <si>
    <t>CHK-0061</t>
  </si>
  <si>
    <t>미니게임 4</t>
  </si>
  <si>
    <t>같은 그림 찾기</t>
  </si>
  <si>
    <t>UI가 작은 화면에서도 식별 가능하다.</t>
  </si>
  <si>
    <t>CHK-0062</t>
  </si>
  <si>
    <t>미니게임 5</t>
  </si>
  <si>
    <t>물건 운반</t>
  </si>
  <si>
    <t>운반 중 메모 부착/아이템 사용 규칙이 명확히 적용된다.</t>
  </si>
  <si>
    <t>CHK-0063</t>
  </si>
  <si>
    <t>밤</t>
  </si>
  <si>
    <t>중앙 집합</t>
  </si>
  <si>
    <t>밤 시작 시 생존자 전원이 중앙 또는 회의 장소로 이동/유도된다.</t>
  </si>
  <si>
    <t>CHK-0064</t>
  </si>
  <si>
    <t>메모 부착 비활성화</t>
  </si>
  <si>
    <t>밤 시간에는 메모 부착과 아이템 공격 기능이 비활성화된다.</t>
  </si>
  <si>
    <t>CHK-0065</t>
  </si>
  <si>
    <t>대화 제한</t>
  </si>
  <si>
    <t>밤 설정에 따라 음성/채팅/이모트가 제한된다.</t>
  </si>
  <si>
    <t>CHK-0066</t>
  </si>
  <si>
    <t>아이템 공통</t>
  </si>
  <si>
    <t>스폰 매니저</t>
  </si>
  <si>
    <t>낮 시작 시 아이템 3~5개가 맵 규칙에 따라 생성된다.</t>
  </si>
  <si>
    <t>CHK-0067</t>
  </si>
  <si>
    <t>희귀도 테이블</t>
  </si>
  <si>
    <t>Common/Rare/Epic/Legendary 확률이 데이터 테이블로 관리된다.</t>
  </si>
  <si>
    <t>CHK-0068</t>
  </si>
  <si>
    <t>아이템 획득 UI</t>
  </si>
  <si>
    <t>획득 시 아이템 이름, 아이콘, 사용 키가 즉시 표시된다.</t>
  </si>
  <si>
    <t>CHK-0069</t>
  </si>
  <si>
    <t>보유 슬롯</t>
  </si>
  <si>
    <t>기본 보유 슬롯 수와 레벨업 확장 슬롯이 정상 작동한다.</t>
  </si>
  <si>
    <t>CHK-0070</t>
  </si>
  <si>
    <t>사용 키 바인딩</t>
  </si>
  <si>
    <t>PC/모바일/패드별 아이템 사용 입력이 구현된다.</t>
  </si>
  <si>
    <t>CHK-0071</t>
  </si>
  <si>
    <t>사용 횟수 소모</t>
  </si>
  <si>
    <t>사용 성공/실패/빗나감 시 소모 정책이 아이템별로 적용된다.</t>
  </si>
  <si>
    <t>CHK-0072</t>
  </si>
  <si>
    <t>쿨타임 표시</t>
  </si>
  <si>
    <t>재사용 대기시간 또는 1회성 사용 여부가 HUD에 명확히 표시된다.</t>
  </si>
  <si>
    <t>CHK-0073</t>
  </si>
  <si>
    <t>서버 권한 판정</t>
  </si>
  <si>
    <t>아이템 효과는 서버 판정 기준으로 적용되어 치트 가능성을 줄인다.</t>
  </si>
  <si>
    <t>CHK-0074</t>
  </si>
  <si>
    <t>사운드/이펙트 공통</t>
  </si>
  <si>
    <t>획득, 사용, 실패, 피격, 만료 효과가 구분된다.</t>
  </si>
  <si>
    <t>CHK-0075</t>
  </si>
  <si>
    <t>카메라</t>
  </si>
  <si>
    <t>촬영 조준 UI</t>
  </si>
  <si>
    <t>전방 촬영 범위와 셔터 입력이 UI로 표시된다.</t>
  </si>
  <si>
    <t>Beta</t>
  </si>
  <si>
    <t>CHK-0076</t>
  </si>
  <si>
    <t>사진 캡처</t>
  </si>
  <si>
    <t>서버 기준 스냅샷 데이터가 생성되고 조작 불가능하게 저장된다.</t>
  </si>
  <si>
    <t>CHK-0077</t>
  </si>
  <si>
    <t>사진 메모 생성</t>
  </si>
  <si>
    <t>촬영 결과가 사진 메모 아이템으로 변환된다.</t>
  </si>
  <si>
    <t>CHK-0078</t>
  </si>
  <si>
    <t>사진 메모 부착</t>
  </si>
  <si>
    <t>사진 메모가 일반 메모처럼 등에 부착된다.</t>
  </si>
  <si>
    <t>CHK-0079</t>
  </si>
  <si>
    <t>사진 품질 제한</t>
  </si>
  <si>
    <t>사진이 완전 증거가 되지 않도록 흐림/거리/각도 제한이 적용된다.</t>
  </si>
  <si>
    <t>CHK-0080</t>
  </si>
  <si>
    <t>위조 정책</t>
  </si>
  <si>
    <t>마피아가 사진 메모 색상 위조를 할 수 있는지 룸 설정으로 통제된다.</t>
  </si>
  <si>
    <t>CHK-0081</t>
  </si>
  <si>
    <t>로프</t>
  </si>
  <si>
    <t>조준 UI</t>
  </si>
  <si>
    <t>사거리, 조준점, 장애물 충돌 가능성이 표시된다.</t>
  </si>
  <si>
    <t>CHK-0082</t>
  </si>
  <si>
    <t>투척 물리</t>
  </si>
  <si>
    <t>로프 투척 궤적과 명중 판정이 네트워크에서 동기화된다.</t>
  </si>
  <si>
    <t>CHK-0083</t>
  </si>
  <si>
    <t>명중 효과</t>
  </si>
  <si>
    <t>명중 시 대상 이동 불가 또는 대폭 감속이 2~3초 적용된다.</t>
  </si>
  <si>
    <t>CHK-0084</t>
  </si>
  <si>
    <t>탈출 입력</t>
  </si>
  <si>
    <t>설정 시 피격자가 짧은 저항 입력으로 지속 시간을 줄일 수 있다.</t>
  </si>
  <si>
    <t>CHK-0085</t>
  </si>
  <si>
    <t>연속 피격 방지</t>
  </si>
  <si>
    <t>같은 플레이어에게 로프 연속 사용 제한이 적용된다.</t>
  </si>
  <si>
    <t>CHK-0086</t>
  </si>
  <si>
    <t>벽 충돌</t>
  </si>
  <si>
    <t>벽/장애물 뒤 대상에게 로프가 관통하지 않는다.</t>
  </si>
  <si>
    <t>CHK-0087</t>
  </si>
  <si>
    <t>투명화 주스</t>
  </si>
  <si>
    <t>투명화 이펙트</t>
  </si>
  <si>
    <t>사용자 본인과 타인에게 적절한 투명/반투명 연출이 적용된다.</t>
  </si>
  <si>
    <t>CHK-0088</t>
  </si>
  <si>
    <t>지속 시간</t>
  </si>
  <si>
    <t>4~5초 지속 후 자동 해제된다.</t>
  </si>
  <si>
    <t>CHK-0089</t>
  </si>
  <si>
    <t>근거리 실루엣</t>
  </si>
  <si>
    <t>근거리에서는 희미한 실루엣이 보여 완전 무적 은신이 되지 않는다.</t>
  </si>
  <si>
    <t>CHK-0090</t>
  </si>
  <si>
    <t>메모 부착 시 해제</t>
  </si>
  <si>
    <t>메모 부착 시작 시 투명화가 해제된다.</t>
  </si>
  <si>
    <t>CHK-0091</t>
  </si>
  <si>
    <t>피격 판정 유지</t>
  </si>
  <si>
    <t>투명 상태에서도 로프/접착제 등 피격 판정이 유지된다.</t>
  </si>
  <si>
    <t>CHK-0092</t>
  </si>
  <si>
    <t>밤 사용 제한</t>
  </si>
  <si>
    <t>밤에는 투명화 주스를 사용할 수 없다.</t>
  </si>
  <si>
    <t>CHK-0093</t>
  </si>
  <si>
    <t>힐</t>
  </si>
  <si>
    <t>자기 힐</t>
  </si>
  <si>
    <t>자신의 등에 붙은 최근 메모 1장을 제거할 수 있다.</t>
  </si>
  <si>
    <t>CHK-0094</t>
  </si>
  <si>
    <t>타인 힐</t>
  </si>
  <si>
    <t>다른 플레이어의 등에 붙은 최근 메모 1장을 제거할 수 있다.</t>
  </si>
  <si>
    <t>CHK-0095</t>
  </si>
  <si>
    <t>사용 시간</t>
  </si>
  <si>
    <t>1.5~2초 사용 시간이 있고 이동/거리 실패 조건이 적용된다.</t>
  </si>
  <si>
    <t>CHK-0096</t>
  </si>
  <si>
    <t>사용 모션 노출</t>
  </si>
  <si>
    <t>힐 사용 모션이 주변 플레이어에게 보인다.</t>
  </si>
  <si>
    <t>CHK-0097</t>
  </si>
  <si>
    <t>불확실성 유지</t>
  </si>
  <si>
    <t>자기 힐 사용자는 어떤 메모가 사라졌는지 직접 알 수 없다.</t>
  </si>
  <si>
    <t>CHK-0098</t>
  </si>
  <si>
    <t>희귀도 제한</t>
  </si>
  <si>
    <t>맵 내 힐 등장량이 과도하지 않도록 스폰 테이블에 제한이 있다.</t>
  </si>
  <si>
    <t>CHK-0099</t>
  </si>
  <si>
    <t>잉크 폭탄</t>
  </si>
  <si>
    <t>범위 시야 방해</t>
  </si>
  <si>
    <t>좁은 범위 플레이어의 시야가 3초간 방해된다.</t>
  </si>
  <si>
    <t>P1</t>
  </si>
  <si>
    <t>권장</t>
  </si>
  <si>
    <t>Post Launch</t>
  </si>
  <si>
    <t>CHK-0100</t>
  </si>
  <si>
    <t>피아 구분 없음</t>
  </si>
  <si>
    <t>사용자 포함 범위 내 모든 플레이어에게 효과가 적용된다.</t>
  </si>
  <si>
    <t>CHK-0101</t>
  </si>
  <si>
    <t>해제 연출</t>
  </si>
  <si>
    <t>효과 종료 시 시야가 자연스럽게 복귀한다.</t>
  </si>
  <si>
    <t>CHK-0102</t>
  </si>
  <si>
    <t>메모 악용 제한</t>
  </si>
  <si>
    <t>시야 방해 중 메모 부착 판독성이 완전히 사라지지 않도록 조정된다.</t>
  </si>
  <si>
    <t>CHK-0103</t>
  </si>
  <si>
    <t>가짜 메모지</t>
  </si>
  <si>
    <t>가짜 메모 생성</t>
  </si>
  <si>
    <t>사망 카운트에 포함되지 않는 가짜 메모를 생성한다.</t>
  </si>
  <si>
    <t>CHK-0104</t>
  </si>
  <si>
    <t>질감 차이</t>
  </si>
  <si>
    <t>가까이 보면 일반 메모와 구분되는 약한 차이가 있다.</t>
  </si>
  <si>
    <t>CHK-0105</t>
  </si>
  <si>
    <t>카운트 제외</t>
  </si>
  <si>
    <t>가짜 메모가 3장 사망 판정에 절대 포함되지 않는다.</t>
  </si>
  <si>
    <t>CHK-0106</t>
  </si>
  <si>
    <t>UI 혼란 한계</t>
  </si>
  <si>
    <t>가짜 메모가 지나치게 많아 가독성을 깨지 않도록 제한된다.</t>
  </si>
  <si>
    <t>CHK-0107</t>
  </si>
  <si>
    <t>메모 방패</t>
  </si>
  <si>
    <t>방어 활성화</t>
  </si>
  <si>
    <t>일정 시간 동안 등에 붙는 메모 1회를 차단한다.</t>
  </si>
  <si>
    <t>CHK-0108</t>
  </si>
  <si>
    <t>차단 피드백</t>
  </si>
  <si>
    <t>차단 성공 시 양측에게 효과음/이펙트가 표시된다.</t>
  </si>
  <si>
    <t>CHK-0109</t>
  </si>
  <si>
    <t>기본 8초 지속 후 자동 종료된다.</t>
  </si>
  <si>
    <t>CHK-0110</t>
  </si>
  <si>
    <t>희귀도</t>
  </si>
  <si>
    <t>Epic 이상 희귀도로 스폰량이 제한된다.</t>
  </si>
  <si>
    <t>CHK-0111</t>
  </si>
  <si>
    <t>메모 탐지기</t>
  </si>
  <si>
    <t>주변 메모 개수 탐지</t>
  </si>
  <si>
    <t>짧은 시간 주변 플레이어의 메모 개수만 표시한다.</t>
  </si>
  <si>
    <t>CHK-0112</t>
  </si>
  <si>
    <t>내용 비공개</t>
  </si>
  <si>
    <t>메모 내용/작성자/위조 여부는 표시하지 않는다.</t>
  </si>
  <si>
    <t>CHK-0113</t>
  </si>
  <si>
    <t>범위 제한</t>
  </si>
  <si>
    <t>탐지 범위가 넓지 않아 위험 대상 수색용으로만 동작한다.</t>
  </si>
  <si>
    <t>CHK-0114</t>
  </si>
  <si>
    <t>쿨타임</t>
  </si>
  <si>
    <t>연속 사용으로 정보가 과도하게 공개되지 않는다.</t>
  </si>
  <si>
    <t>CHK-0115</t>
  </si>
  <si>
    <t>발소리 증폭기</t>
  </si>
  <si>
    <t>발소리 강화</t>
  </si>
  <si>
    <t>주변 발소리 볼륨과 방향성이 일시 강화된다.</t>
  </si>
  <si>
    <t>CHK-0116</t>
  </si>
  <si>
    <t>투명화 대응</t>
  </si>
  <si>
    <t>투명화 사용자의 접근도 발소리로 간접 감지 가능하다.</t>
  </si>
  <si>
    <t>CHK-0117</t>
  </si>
  <si>
    <t>잡음 제한</t>
  </si>
  <si>
    <t>여러 플레이어가 있을 때 사운드가 과하게 혼잡하지 않다.</t>
  </si>
  <si>
    <t>CHK-0118</t>
  </si>
  <si>
    <t>미끼 인형</t>
  </si>
  <si>
    <t>더미 생성</t>
  </si>
  <si>
    <t>자신과 비슷한 실루엣의 더미가 짧게 생성된다.</t>
  </si>
  <si>
    <t>CHK-0119</t>
  </si>
  <si>
    <t>로프 낭비 유도</t>
  </si>
  <si>
    <t>로프가 더미에 명중할 수 있으나 가까이 보면 가짜임을 알 수 있다.</t>
  </si>
  <si>
    <t>CHK-0120</t>
  </si>
  <si>
    <t>수명 제한</t>
  </si>
  <si>
    <t>더미는 짧은 시간 후 사라진다.</t>
  </si>
  <si>
    <t>CHK-0121</t>
  </si>
  <si>
    <t>접착제</t>
  </si>
  <si>
    <t>바닥 설치</t>
  </si>
  <si>
    <t>바닥에 설치되어 밟은 플레이어 이동 속도를 감소시킨다.</t>
  </si>
  <si>
    <t>CHK-0122</t>
  </si>
  <si>
    <t>설치물 지속 시간과 감속 시간이 데이터로 조정 가능하다.</t>
  </si>
  <si>
    <t>CHK-0123</t>
  </si>
  <si>
    <t>시각 단서</t>
  </si>
  <si>
    <t>주의 깊게 보면 바닥 설치물을 발견할 수 있다.</t>
  </si>
  <si>
    <t>CHK-0124</t>
  </si>
  <si>
    <t>메모 복사기</t>
  </si>
  <si>
    <t>메모 복사</t>
  </si>
  <si>
    <t>타인 등에 붙은 메모 1장을 복사해 새 메모로 만든다.</t>
  </si>
  <si>
    <t>CHK-0125</t>
  </si>
  <si>
    <t>복사 표시</t>
  </si>
  <si>
    <t>복사본은 원본과 구분되는 작은 표시가 있다.</t>
  </si>
  <si>
    <t>CHK-0126</t>
  </si>
  <si>
    <t>복사 제한</t>
  </si>
  <si>
    <t>사진 메모/가짜 메모 등 특수 메모 복사 가능 여부가 데이터로 통제된다.</t>
  </si>
  <si>
    <t>CHK-0127</t>
  </si>
  <si>
    <t>해독 렌즈</t>
  </si>
  <si>
    <t>위조 의심 판정</t>
  </si>
  <si>
    <t>메모 하나에 대해 색이 수상하다는 정도의 약한 힌트를 제공한다.</t>
  </si>
  <si>
    <t>CHK-0128</t>
  </si>
  <si>
    <t>정답 미공개</t>
  </si>
  <si>
    <t>실제 작성자나 마피아 여부는 공개하지 않는다.</t>
  </si>
  <si>
    <t>CHK-0129</t>
  </si>
  <si>
    <t>근거리 사용</t>
  </si>
  <si>
    <t>대상과 가까운 거리에서만 사용할 수 있다.</t>
  </si>
  <si>
    <t>CHK-0130</t>
  </si>
  <si>
    <t>위치 핑 메모</t>
  </si>
  <si>
    <t>위치 자동 기록</t>
  </si>
  <si>
    <t>메모 생성 시 대략적 위치 정보가 문구에 포함된다.</t>
  </si>
  <si>
    <t>CHK-0131</t>
  </si>
  <si>
    <t>정확도 제한</t>
  </si>
  <si>
    <t>정확 좌표가 아닌 구역명 단위로 표시된다.</t>
  </si>
  <si>
    <t>CHK-0132</t>
  </si>
  <si>
    <t>위조 연동</t>
  </si>
  <si>
    <t>마피아 색 위조와 결합해도 위치 정보는 규칙대로 표시된다.</t>
  </si>
  <si>
    <t>CHK-0133</t>
  </si>
  <si>
    <t>경험치</t>
  </si>
  <si>
    <t>경험치 획득 규칙</t>
  </si>
  <si>
    <t>생존 시간, 최종 승리, 미니게임, 아이템 활용, 사망 보너스별 XP 테이블이 정의된다.</t>
  </si>
  <si>
    <t>Backend</t>
  </si>
  <si>
    <t>Season 1</t>
  </si>
  <si>
    <t>CHK-0134</t>
  </si>
  <si>
    <t>XP 서버 저장</t>
  </si>
  <si>
    <t>XP 지급이 서버에서 검증되고 중복 지급/조작이 방지된다.</t>
  </si>
  <si>
    <t>CHK-0135</t>
  </si>
  <si>
    <t>레벨업 UI</t>
  </si>
  <si>
    <t>경기 종료 및 로비에서 XP 증가와 레벨업 연출이 표시된다.</t>
  </si>
  <si>
    <t>CHK-0136</t>
  </si>
  <si>
    <t>성장 트리</t>
  </si>
  <si>
    <t>생존 트리</t>
  </si>
  <si>
    <t>이동 속도, 힐 속도, 방패 지속 시간 등 생존 계열 강화가 구현된다.</t>
  </si>
  <si>
    <t>CHK-0137</t>
  </si>
  <si>
    <t>추격 트리</t>
  </si>
  <si>
    <t>로프 투척 속도, 메모 부착 속도, 접착제 지속 시간 강화가 구현된다.</t>
  </si>
  <si>
    <t>CHK-0138</t>
  </si>
  <si>
    <t>조작 트리</t>
  </si>
  <si>
    <t>카메라, 가짜 메모, 투명화 관련 강화가 구현된다.</t>
  </si>
  <si>
    <t>CHK-0139</t>
  </si>
  <si>
    <t>능력치 상한</t>
  </si>
  <si>
    <t>모든 강화가 5~10% 이내 상한을 넘지 않는다.</t>
  </si>
  <si>
    <t>CHK-0140</t>
  </si>
  <si>
    <t>초기화/재분배</t>
  </si>
  <si>
    <t>전생 또는 지정 재화로 성장 포인트 초기화가 가능하다.</t>
  </si>
  <si>
    <t>CHK-0141</t>
  </si>
  <si>
    <t>랭크 보정</t>
  </si>
  <si>
    <t>레벨 보정 OFF</t>
  </si>
  <si>
    <t>랭크/경쟁 모드에서 성장 보정을 끄는 옵션이 있다.</t>
  </si>
  <si>
    <t>CHK-0142</t>
  </si>
  <si>
    <t>전생</t>
  </si>
  <si>
    <t>전생 조건</t>
  </si>
  <si>
    <t>최대 레벨 도달 시 전생 가능 상태가 표시된다.</t>
  </si>
  <si>
    <t>CHK-0143</t>
  </si>
  <si>
    <t>레벨/성장치 초기화</t>
  </si>
  <si>
    <t>전생 후 레벨 1 및 성장치 0으로 정확히 초기화된다.</t>
  </si>
  <si>
    <t>CHK-0144</t>
  </si>
  <si>
    <t>칭호 보상</t>
  </si>
  <si>
    <t>전생 횟수별 칭호가 지급되고 프로필에 표시된다.</t>
  </si>
  <si>
    <t>CHK-0145</t>
  </si>
  <si>
    <t>외형 보상</t>
  </si>
  <si>
    <t>이름표, LED 효과, 메모 스킨, 로비 배지 등 능력 없는 보상이 지급된다.</t>
  </si>
  <si>
    <t>CHK-0146</t>
  </si>
  <si>
    <t>반복 전생</t>
  </si>
  <si>
    <t>다회 전생 시 보상 단계와 표시가 누적된다.</t>
  </si>
  <si>
    <t>CHK-0147</t>
  </si>
  <si>
    <t>P2W 방지</t>
  </si>
  <si>
    <t>전생 보상이 게임 능력에 직접 영향을 주지 않는다.</t>
  </si>
  <si>
    <t>CHK-0148</t>
  </si>
  <si>
    <t>캐릭터</t>
  </si>
  <si>
    <t>등 메모 가시성</t>
  </si>
  <si>
    <t>모든 기본 캐릭터와 스킨에서 등 메모가 중거리에서 확인 가능하다.</t>
  </si>
  <si>
    <t>UI/UX</t>
  </si>
  <si>
    <t>UX</t>
  </si>
  <si>
    <t>CHK-0149</t>
  </si>
  <si>
    <t>플레이어 색상 판독</t>
  </si>
  <si>
    <t>캐릭터 색상, UI 이름표, 메모 색상이 일관되게 연결된다.</t>
  </si>
  <si>
    <t>CHK-0150</t>
  </si>
  <si>
    <t>LED 헤드 표정</t>
  </si>
  <si>
    <t>기본 LED 표정/아이콘이 게임 판독성을 방해하지 않는다.</t>
  </si>
  <si>
    <t>CHK-0151</t>
  </si>
  <si>
    <t>금지 외형 규칙</t>
  </si>
  <si>
    <t>망토/큰 날개/과도한 이펙트 등 등 메모를 가리는 외형을 제한한다.</t>
  </si>
  <si>
    <t>CHK-0152</t>
  </si>
  <si>
    <t>HUD</t>
  </si>
  <si>
    <t>메모 보유 UI</t>
  </si>
  <si>
    <t>보유 중인 일반/특수 메모 수가 명확히 표시된다.</t>
  </si>
  <si>
    <t>CHK-0153</t>
  </si>
  <si>
    <t>아이템 슬롯 UI</t>
  </si>
  <si>
    <t>아이템 아이콘, 희귀도, 사용 가능 여부, 쿨타임이 표시된다.</t>
  </si>
  <si>
    <t>CHK-0154</t>
  </si>
  <si>
    <t>위험 알림</t>
  </si>
  <si>
    <t>타인의 2장 위험 상태, 마피아 사망, 유전 타이머 등 핵심 이벤트가 표시된다.</t>
  </si>
  <si>
    <t>CHK-0155</t>
  </si>
  <si>
    <t>자기 정보 제한</t>
  </si>
  <si>
    <t>자기 등 메모 개수/내용이 HUD에서 직접 노출되지 않는다.</t>
  </si>
  <si>
    <t>CHK-0156</t>
  </si>
  <si>
    <t>튜토리얼</t>
  </si>
  <si>
    <t>기본 규칙 튜토리얼</t>
  </si>
  <si>
    <t>메모 3장 사망, 자기 등 비공개, 마지막 생존 목표를 3분 내 이해시킨다.</t>
  </si>
  <si>
    <t>CHK-0157</t>
  </si>
  <si>
    <t>아이템 튜토리얼</t>
  </si>
  <si>
    <t>카메라/로프/투명화/힐 사용법을 실습할 수 있다.</t>
  </si>
  <si>
    <t>CHK-0158</t>
  </si>
  <si>
    <t>마피아 튜토리얼</t>
  </si>
  <si>
    <t>색 위조, 진실 이용, 분위기 조작의 기본 플레이 예시를 제공한다.</t>
  </si>
  <si>
    <t>CHK-0159</t>
  </si>
  <si>
    <t>접근성</t>
  </si>
  <si>
    <t>색약 모드</t>
  </si>
  <si>
    <t>색상만이 아니라 패턴/아이콘으로 플레이어 색을 구분할 수 있다.</t>
  </si>
  <si>
    <t>CHK-0160</t>
  </si>
  <si>
    <t>자막/텍스트 크기</t>
  </si>
  <si>
    <t>알림, 메모, 회의 UI의 텍스트 크기 옵션이 제공된다.</t>
  </si>
  <si>
    <t>CHK-0161</t>
  </si>
  <si>
    <t>키 리매핑</t>
  </si>
  <si>
    <t>아이템 사용, 메모 부착, 상호작용 키를 재설정할 수 있다.</t>
  </si>
  <si>
    <t>CHK-0162</t>
  </si>
  <si>
    <t>서버 권한</t>
  </si>
  <si>
    <t>상태 권한</t>
  </si>
  <si>
    <t>역할, 메모, 사망, 아이템 효과, 승리 판정은 서버가 권한을 가진다.</t>
  </si>
  <si>
    <t>CHK-0163</t>
  </si>
  <si>
    <t>부착 검증</t>
  </si>
  <si>
    <t>메모 부착 거리/각도/시간 조건을 서버가 최종 검증한다.</t>
  </si>
  <si>
    <t>CHK-0164</t>
  </si>
  <si>
    <t>아이템 검증</t>
  </si>
  <si>
    <t>로프 명중, 힐 제거, 카메라 촬영, 투명화 해제 등 효과가 서버 기준으로 결정된다.</t>
  </si>
  <si>
    <t>CHK-0165</t>
  </si>
  <si>
    <t>동기화</t>
  </si>
  <si>
    <t>메모 동기화</t>
  </si>
  <si>
    <t>모든 플레이어가 같은 메모 순서와 사망 판정을 본다.</t>
  </si>
  <si>
    <t>CHK-0166</t>
  </si>
  <si>
    <t>아이템 동기화</t>
  </si>
  <si>
    <t>이펙트, 지속시간, 피격 상태가 지연 환경에서도 어긋나지 않는다.</t>
  </si>
  <si>
    <t>CHK-0167</t>
  </si>
  <si>
    <t>시간 동기화</t>
  </si>
  <si>
    <t>낮/밤/회의/유전 타이머가 서버 시간 기준으로 표시된다.</t>
  </si>
  <si>
    <t>CHK-0168</t>
  </si>
  <si>
    <t>성능</t>
  </si>
  <si>
    <t>최대 인원 부하</t>
  </si>
  <si>
    <t>8인 매치에서 60fps 목표 또는 플랫폼 목표 프레임을 유지한다.</t>
  </si>
  <si>
    <t>CHK-0169</t>
  </si>
  <si>
    <t>서버 틱 부하</t>
  </si>
  <si>
    <t>아이템/메모/미니게임 이벤트가 집중되어도 서버 틱 지연이 허용 범위다.</t>
  </si>
  <si>
    <t>CHK-0170</t>
  </si>
  <si>
    <t>네트워크 패킷 최적화</t>
  </si>
  <si>
    <t>메모/사진/리플레이 데이터가 과도한 대역폭을 사용하지 않는다.</t>
  </si>
  <si>
    <t>CHK-0171</t>
  </si>
  <si>
    <t>보안</t>
  </si>
  <si>
    <t>패킷 변조 방지</t>
  </si>
  <si>
    <t>클라이언트가 역할, 보유 메모, 아이템 효과를 임의 변경할 수 없다.</t>
  </si>
  <si>
    <t>CHK-0172</t>
  </si>
  <si>
    <t>사진 메모 악용 방지</t>
  </si>
  <si>
    <t>사진 데이터가 외부 이미지 주입이나 부적절한 콘텐츠 주입을 허용하지 않는다.</t>
  </si>
  <si>
    <t>CHK-0173</t>
  </si>
  <si>
    <t>비밀 정보 노출 검사</t>
  </si>
  <si>
    <t>클라이언트 메모리/로그/리플레이에서 역할 정답과 위조 여부가 노출되지 않는다.</t>
  </si>
  <si>
    <t>CHK-0174</t>
  </si>
  <si>
    <t>매치메이킹</t>
  </si>
  <si>
    <t>공개방</t>
  </si>
  <si>
    <t>공개 매치 검색, 입장, 인원 충족, 시작 흐름이 동작한다.</t>
  </si>
  <si>
    <t>CHK-0175</t>
  </si>
  <si>
    <t>비공개방</t>
  </si>
  <si>
    <t>초대 코드로 비공개방을 생성/입장할 수 있다.</t>
  </si>
  <si>
    <t>CHK-0176</t>
  </si>
  <si>
    <t>준비 상태</t>
  </si>
  <si>
    <t>모든 플레이어 준비 완료 또는 방장 시작 조건이 정상 작동한다.</t>
  </si>
  <si>
    <t>CHK-0177</t>
  </si>
  <si>
    <t>맵</t>
  </si>
  <si>
    <t>기본 맵 1개 완성</t>
  </si>
  <si>
    <t>미니게임 5개, 아이템 스폰, 추격/은신/회의 공간이 균형 있게 배치된다.</t>
  </si>
  <si>
    <t>아트</t>
  </si>
  <si>
    <t>CHK-0178</t>
  </si>
  <si>
    <t>동선 밸런스</t>
  </si>
  <si>
    <t>도망만 유리하거나 로프만 유리한 긴 직선/막다른길 비율이 조정된다.</t>
  </si>
  <si>
    <t>CHK-0179</t>
  </si>
  <si>
    <t>스폰 포인트</t>
  </si>
  <si>
    <t>플레이어/아이템/미니게임 스폰이 즉시 사망 또는 고립을 만들지 않는다.</t>
  </si>
  <si>
    <t>CHK-0180</t>
  </si>
  <si>
    <t>시야 차폐</t>
  </si>
  <si>
    <t>마피아 조작과 도주가 가능하지만 완전 은신 지대가 과하지 않다.</t>
  </si>
  <si>
    <t>CHK-0181</t>
  </si>
  <si>
    <t>애니메이션</t>
  </si>
  <si>
    <t>메모 부착 모션</t>
  </si>
  <si>
    <t>부착 중 상태가 명확히 보이고 취소/실패/성공 모션이 구분된다.</t>
  </si>
  <si>
    <t>CHK-0182</t>
  </si>
  <si>
    <t>사망 모션</t>
  </si>
  <si>
    <t>3장 사망이 비폭력적이고 파티게임 톤에 맞게 표현된다.</t>
  </si>
  <si>
    <t>CHK-0183</t>
  </si>
  <si>
    <t>아이템 모션</t>
  </si>
  <si>
    <t>로프/카메라/힐/투명화 등 주요 아이템 모션이 명확하다.</t>
  </si>
  <si>
    <t>CHK-0184</t>
  </si>
  <si>
    <t>사운드</t>
  </si>
  <si>
    <t>핵심 이벤트 사운드</t>
  </si>
  <si>
    <t>메모 부착, 위험 상태, 사망, 마피아 유전, 아이템 사용 사운드가 구분된다.</t>
  </si>
  <si>
    <t>CHK-0185</t>
  </si>
  <si>
    <t>공간 음향</t>
  </si>
  <si>
    <t>근거리 대화와 발소리 증폭 아이템이 공간감 있게 동작한다.</t>
  </si>
  <si>
    <t>CHK-0186</t>
  </si>
  <si>
    <t>VFX</t>
  </si>
  <si>
    <t>투명화 VFX</t>
  </si>
  <si>
    <t>투명화가 너무 안 보이거나 너무 잘 보이지 않도록 중간 단계가 잡혀 있다.</t>
  </si>
  <si>
    <t>CHK-0187</t>
  </si>
  <si>
    <t>위험도 VFX</t>
  </si>
  <si>
    <t>2장 위험 상태가 관찰자에게만 적절히 강조된다.</t>
  </si>
  <si>
    <t>CHK-0188</t>
  </si>
  <si>
    <t>전생 보상 VFX</t>
  </si>
  <si>
    <t>전생 보상은 과시 가능하지만 게임 판독성을 해치지 않는다.</t>
  </si>
  <si>
    <t>CHK-0189</t>
  </si>
  <si>
    <t>테스트 계획</t>
  </si>
  <si>
    <t>QA 테스트 케이스 작성</t>
  </si>
  <si>
    <t>모든 필수 기능에 대해 정상/예외/악용 케이스가 작성된다.</t>
  </si>
  <si>
    <t>QA</t>
  </si>
  <si>
    <t>회귀</t>
  </si>
  <si>
    <t>RC</t>
  </si>
  <si>
    <t>CHK-0190</t>
  </si>
  <si>
    <t>자동화</t>
  </si>
  <si>
    <t>핵심 서버 유닛 테스트</t>
  </si>
  <si>
    <t>승리 판정, 사망 판정, 마피아 유전, 아이템 효과 테스트가 자동화된다.</t>
  </si>
  <si>
    <t>CHK-0191</t>
  </si>
  <si>
    <t>회귀 테스트</t>
  </si>
  <si>
    <t>빌드마다 필수 체크리스트 P0/P1 기능이 회귀 테스트 대상에 포함된다.</t>
  </si>
  <si>
    <t>CHK-0192</t>
  </si>
  <si>
    <t>밸런스</t>
  </si>
  <si>
    <t>메모 사망 속도 측정</t>
  </si>
  <si>
    <t>평균 사망 시간, 2장 유지 시간, 최종 생존 시간 지표가 수집된다.</t>
  </si>
  <si>
    <t>CHK-0193</t>
  </si>
  <si>
    <t>마피아 승률</t>
  </si>
  <si>
    <t>마피아 유전 ON/OFF, 인원별 마피아 승률이 목표 범위에 들어온다.</t>
  </si>
  <si>
    <t>CHK-0194</t>
  </si>
  <si>
    <t>아이템 승률 영향</t>
  </si>
  <si>
    <t>로프/힐/투명화/카메라 보유자가 과도하게 승리하지 않는다.</t>
  </si>
  <si>
    <t>CHK-0195</t>
  </si>
  <si>
    <t>도망 메타 검증</t>
  </si>
  <si>
    <t>도망만 하는 플레이가 승률 최적 전략이 되지 않는다.</t>
  </si>
  <si>
    <t>CHK-0196</t>
  </si>
  <si>
    <t>레벨업 격차 검증</t>
  </si>
  <si>
    <t>고레벨과 저레벨 매치에서 신규 유저가 이길 가능성이 유지된다.</t>
  </si>
  <si>
    <t>CHK-0197</t>
  </si>
  <si>
    <t>성능 QA</t>
  </si>
  <si>
    <t>프레임 측정</t>
  </si>
  <si>
    <t>최소/권장 사양에서 전투적 상황, 회의, 아이템 난전 프레임을 측정한다.</t>
  </si>
  <si>
    <t>CHK-0198</t>
  </si>
  <si>
    <t>메모/사진 부하</t>
  </si>
  <si>
    <t>사진 메모가 많아져도 메모리와 네트워크 부하가 허용 범위다.</t>
  </si>
  <si>
    <t>CHK-0199</t>
  </si>
  <si>
    <t>네트워크 QA</t>
  </si>
  <si>
    <t>지연 테스트</t>
  </si>
  <si>
    <t>50/100/200ms 지연 환경에서 부착/로프/힐 판정이 납득 가능하다.</t>
  </si>
  <si>
    <t>CHK-0200</t>
  </si>
  <si>
    <t>패킷 손실 테스트</t>
  </si>
  <si>
    <t>패킷 손실 상황에서도 동기화 복구와 재접속이 안정적이다.</t>
  </si>
  <si>
    <t>CHK-0201</t>
  </si>
  <si>
    <t>보안 QA</t>
  </si>
  <si>
    <t>치트 시나리오</t>
  </si>
  <si>
    <t>속도핵, 벽통과, 아이템 무한 사용, 역할 노출 시도가 차단된다.</t>
  </si>
  <si>
    <t>CHK-0202</t>
  </si>
  <si>
    <t>UX QA</t>
  </si>
  <si>
    <t>초보자 테스트</t>
  </si>
  <si>
    <t>신규 플레이어가 1판 후 메모 3장 사망과 마지막 생존 목표를 설명할 수 있다.</t>
  </si>
  <si>
    <t>CHK-0203</t>
  </si>
  <si>
    <t>혼란도 테스트</t>
  </si>
  <si>
    <t>의도된 심리전과 UI 이해 불가로 인한 혼란이 구분되어 개선된다.</t>
  </si>
  <si>
    <t>CHK-0204</t>
  </si>
  <si>
    <t>릴리즈 QA</t>
  </si>
  <si>
    <t>크래시 프리 기준</t>
  </si>
  <si>
    <t>RC 빌드에서 크래시 프리 세션 비율이 목표값 이상이다.</t>
  </si>
  <si>
    <t>CHK-0205</t>
  </si>
  <si>
    <t>세이브/계정 검증</t>
  </si>
  <si>
    <t>XP, 전생, 보상, 구매 아이템 저장이 유실되지 않는다.</t>
  </si>
  <si>
    <t>CHK-0206</t>
  </si>
  <si>
    <t>분석</t>
  </si>
  <si>
    <t>핵심 이벤트 로깅</t>
  </si>
  <si>
    <t>메모 부착, 사망, 아이템 사용, 마피아 유전, 승리, 이탈 이벤트가 기록된다.</t>
  </si>
  <si>
    <t>운영</t>
  </si>
  <si>
    <t>LiveOps</t>
  </si>
  <si>
    <t>Launch</t>
  </si>
  <si>
    <t>CHK-0207</t>
  </si>
  <si>
    <t>밸런스 대시보드</t>
  </si>
  <si>
    <t>승률, 평균 경기 시간, 사망 원인, 아이템 픽률/승률을 볼 수 있다.</t>
  </si>
  <si>
    <t>CHK-0208</t>
  </si>
  <si>
    <t>퍼널 추적</t>
  </si>
  <si>
    <t>튜토리얼 완료, 첫 매치, 3매치 유지, 레벨업, 전생 전환이 측정된다.</t>
  </si>
  <si>
    <t>CHK-0209</t>
  </si>
  <si>
    <t>원격 밸런스 설정</t>
  </si>
  <si>
    <t>아이템 확률, 쿨타임, 지속시간, XP 보상을 서버 설정으로 조정 가능하다.</t>
  </si>
  <si>
    <t>CHK-0210</t>
  </si>
  <si>
    <t>공지/점검 시스템</t>
  </si>
  <si>
    <t>클라이언트에서 공지, 점검, 패치 알림을 표시할 수 있다.</t>
  </si>
  <si>
    <t>CHK-0211</t>
  </si>
  <si>
    <t>신고/제재</t>
  </si>
  <si>
    <t>비매너, 욕설, 게임 방해 신고와 운영자 제재 플로우가 있다.</t>
  </si>
  <si>
    <t>CHK-0212</t>
  </si>
  <si>
    <t>CS 로그 조회</t>
  </si>
  <si>
    <t>운영자가 매치 로그, 보상 로그, 신고 내역을 조회할 수 있다.</t>
  </si>
  <si>
    <t>CHK-0213</t>
  </si>
  <si>
    <t>과금</t>
  </si>
  <si>
    <t>상점 UI</t>
  </si>
  <si>
    <t>외형, LED, 메모 스킨, 전생 보상 미리보기를 제공한다.</t>
  </si>
  <si>
    <t>CHK-0214</t>
  </si>
  <si>
    <t>랜덤 박스 확률 표시</t>
  </si>
  <si>
    <t>확률형 상품이 있다면 지역 법규에 맞게 확률을 표시한다.</t>
  </si>
  <si>
    <t>CHK-0215</t>
  </si>
  <si>
    <t>P2W 금지 검수</t>
  </si>
  <si>
    <t>판매 아이템이 게임 능력에 직접 영향을 주지 않는다.</t>
  </si>
  <si>
    <t>CHK-0216</t>
  </si>
  <si>
    <t>구매 복구</t>
  </si>
  <si>
    <t>구매 실패/재접속/재설치 후 상품 복구가 가능하다.</t>
  </si>
  <si>
    <t>CHK-0217</t>
  </si>
  <si>
    <t>법무</t>
  </si>
  <si>
    <t>개인정보 처리</t>
  </si>
  <si>
    <t>계정, 로그, 신고, 결제 데이터 처리 방침이 준비된다.</t>
  </si>
  <si>
    <t>CHK-0218</t>
  </si>
  <si>
    <t>이용약관</t>
  </si>
  <si>
    <t>서비스 약관, 커뮤니티 가이드, 환불 정책이 준비된다.</t>
  </si>
  <si>
    <t>CHK-0219</t>
  </si>
  <si>
    <t>연령 등급</t>
  </si>
  <si>
    <t>출시 국가별 등급 심의 또는 자체 등급 절차가 완료된다.</t>
  </si>
  <si>
    <t>CHK-0220</t>
  </si>
  <si>
    <t>스토어</t>
  </si>
  <si>
    <t>스토어 페이지</t>
  </si>
  <si>
    <t>스크린샷, 트레일러, 설명문, 태그, 언어 정보가 준비된다.</t>
  </si>
  <si>
    <t>CHK-0221</t>
  </si>
  <si>
    <t>빌드 업로드</t>
  </si>
  <si>
    <t>Steam/모바일/플랫폼별 릴리즈 빌드가 업로드 검증을 통과한다.</t>
  </si>
  <si>
    <t>CHK-0222</t>
  </si>
  <si>
    <t>업적/통계</t>
  </si>
  <si>
    <t>플랫폼 업적, 리치 프레즌스, 클라우드 저장 정책이 정상 동작한다.</t>
  </si>
  <si>
    <t>CHK-0223</t>
  </si>
  <si>
    <t>문서</t>
  </si>
  <si>
    <t>개발 문서</t>
  </si>
  <si>
    <t>핵심 시스템 설계, 데이터 테이블, 서버 API, 운영 런북이 정리된다.</t>
  </si>
  <si>
    <t>CHK-0224</t>
  </si>
  <si>
    <t>패치노트 템플릿</t>
  </si>
  <si>
    <t>출시 및 업데이트용 패치노트 템플릿이 준비된다.</t>
  </si>
  <si>
    <t>CHK-0225</t>
  </si>
  <si>
    <t>런칭</t>
  </si>
  <si>
    <t>런칭 체크 회의</t>
  </si>
  <si>
    <t>필수 체크리스트가 모두 OK이고 잔여 리스크가 승인되어야 판매 시작 가능하다.</t>
  </si>
  <si>
    <t>CHK-0226</t>
  </si>
  <si>
    <t>리플레이</t>
  </si>
  <si>
    <t>사망 리플레이</t>
  </si>
  <si>
    <t>사망 직전 10초를 정답 공개 없이 보여준다.</t>
  </si>
  <si>
    <t>PM</t>
  </si>
  <si>
    <t>P2</t>
  </si>
  <si>
    <t>CHK-0227</t>
  </si>
  <si>
    <t>하이라이트 저장</t>
  </si>
  <si>
    <t>최종 생존자 장면을 짧게 저장/공유할 수 있다.</t>
  </si>
  <si>
    <t>CHK-0228</t>
  </si>
  <si>
    <t>소셜</t>
  </si>
  <si>
    <t>친구 초대</t>
  </si>
  <si>
    <t>친구 초대, 파티 생성, 최근 플레이어 초대가 가능하다.</t>
  </si>
  <si>
    <t>CHK-0229</t>
  </si>
  <si>
    <t>커스텀 룸 공유</t>
  </si>
  <si>
    <t>방 설정 프리셋을 코드나 링크로 공유할 수 있다.</t>
  </si>
  <si>
    <t>CHK-0230</t>
  </si>
  <si>
    <t>시즌</t>
  </si>
  <si>
    <t>시즌 패스 설계</t>
  </si>
  <si>
    <t>전생/외형 중심 보상 구조가 P2W 없이 설계된다.</t>
  </si>
  <si>
    <t>CHK-0231</t>
  </si>
  <si>
    <t>이벤트 모드</t>
  </si>
  <si>
    <t>마피아 유전/아이템 확률을 바꾸는 기간 한정 모드가 가능하다.</t>
  </si>
  <si>
    <t>CHK-0232</t>
  </si>
  <si>
    <t>로컬라이즈</t>
  </si>
  <si>
    <t>한국어</t>
  </si>
  <si>
    <t>모든 UI, 알림, 튜토리얼이 한국어로 검수된다.</t>
  </si>
  <si>
    <t>CHK-0233</t>
  </si>
  <si>
    <t>일본어</t>
  </si>
  <si>
    <t>일본어 번역과 줄바꿈, UI 깨짐이 검수된다.</t>
  </si>
  <si>
    <t>CHK-0234</t>
  </si>
  <si>
    <t>영어</t>
  </si>
  <si>
    <t>영어 번역과 스토어 문구가 검수된다.</t>
  </si>
  <si>
    <t>CHK-0235</t>
  </si>
  <si>
    <t>광과민 옵션</t>
  </si>
  <si>
    <t>강한 점멸/VFX를 줄이는 옵션이 있다.</t>
  </si>
  <si>
    <t>CHK-0236</t>
  </si>
  <si>
    <t>음성 대체 정보</t>
  </si>
  <si>
    <t>중요 사운드 이벤트가 시각 UI로도 표시된다.</t>
  </si>
  <si>
    <t>CHK-0237</t>
  </si>
  <si>
    <t>데이터</t>
  </si>
  <si>
    <t>데이터 테이블 핫리로드</t>
  </si>
  <si>
    <t>개발/운영 환경에서 밸런스 데이터 변경이 안전하게 반영된다.</t>
  </si>
  <si>
    <t>CHK-0238</t>
  </si>
  <si>
    <t>버전 호환</t>
  </si>
  <si>
    <t>이전 버전 클라이언트가 최신 서버 데이터와 충돌하지 않도록 버전 체크가 있다.</t>
  </si>
  <si>
    <t>CHK-0239</t>
  </si>
  <si>
    <t>빌드</t>
  </si>
  <si>
    <t>CI/CD</t>
  </si>
  <si>
    <t>자동 빌드, 테스트, 패키징, 업로드 파이프라인이 구성된다.</t>
  </si>
  <si>
    <t>CHK-0240</t>
  </si>
  <si>
    <t>크래시 리포팅</t>
  </si>
  <si>
    <t>클라이언트/서버 크래시 리포트가 수집된다.</t>
  </si>
  <si>
    <t>CHK-0241</t>
  </si>
  <si>
    <t>로그 레벨</t>
  </si>
  <si>
    <t>개발/스테이징/라이브 로그 레벨이 분리되어 있다.</t>
  </si>
  <si>
    <t>Gate ID</t>
  </si>
  <si>
    <t>Gate</t>
  </si>
  <si>
    <t>Required Criteria</t>
  </si>
  <si>
    <t>Open Required Tasks</t>
  </si>
  <si>
    <t>Release Decision</t>
  </si>
  <si>
    <t>Evidence / Link</t>
  </si>
  <si>
    <t>GATE-01</t>
  </si>
  <si>
    <t>Core Rule Lock</t>
  </si>
  <si>
    <t>최후 생존자, 메모 3장 사망, 자기 등 비공개, 투표 제거가 모두 확정</t>
  </si>
  <si>
    <t>Producer</t>
  </si>
  <si>
    <t>GATE-02</t>
  </si>
  <si>
    <t>Network Authority</t>
  </si>
  <si>
    <t>메모/아이템/역할/사망/승리 판정 서버 권한 검증 완료</t>
  </si>
  <si>
    <t>Server Engineer</t>
  </si>
  <si>
    <t>GATE-03</t>
  </si>
  <si>
    <t>색 위조, 빠른 메모 수급, 마피아 유전, 비공개 정보 정책 완료</t>
  </si>
  <si>
    <t>Game Designer</t>
  </si>
  <si>
    <t>GATE-04</t>
  </si>
  <si>
    <t>Item Core</t>
  </si>
  <si>
    <t>카메라, 로프, 투명화 주스, 힐이 사용 가능하고 밸런스 검증 완료</t>
  </si>
  <si>
    <t>Client Engineer</t>
  </si>
  <si>
    <t>GATE-05</t>
  </si>
  <si>
    <t>UX Readability</t>
  </si>
  <si>
    <t>등 메모, 색상, 위험 상태, 아이템 HUD가 초보자에게 이해 가능</t>
  </si>
  <si>
    <t>UI/UX Designer</t>
  </si>
  <si>
    <t>GATE-06</t>
  </si>
  <si>
    <t>Balance</t>
  </si>
  <si>
    <t>도망 메타, 마피아 승률, 아이템 승률 영향이 목표 범위</t>
  </si>
  <si>
    <t>Balance Designer</t>
  </si>
  <si>
    <t>GATE-07</t>
  </si>
  <si>
    <t>QA Regression</t>
  </si>
  <si>
    <t>P0/P1 필수 기능 회귀 테스트 통과, 크래시 프리 기준 달성</t>
  </si>
  <si>
    <t>QA Lead</t>
  </si>
  <si>
    <t>GATE-08</t>
  </si>
  <si>
    <t>Security &amp; Moderation</t>
  </si>
  <si>
    <t>치트, 정보 노출, 신고/제재, 금칙어/콘텐츠 악용 방지</t>
  </si>
  <si>
    <t>Security Lead</t>
  </si>
  <si>
    <t>GATE-09</t>
  </si>
  <si>
    <t>Progression &amp; Economy</t>
  </si>
  <si>
    <t>레벨업/전생/보상/상점이 P2W 없이 정상 저장</t>
  </si>
  <si>
    <t>LiveOps Manager</t>
  </si>
  <si>
    <t>GATE-10</t>
  </si>
  <si>
    <t>Store &amp; Legal</t>
  </si>
  <si>
    <t>스토어, 약관, 개인정보, 등급, 빌드 업로드 준비 완료</t>
  </si>
  <si>
    <t>Store Manager</t>
  </si>
  <si>
    <t>Item</t>
  </si>
  <si>
    <t>Rarity</t>
  </si>
  <si>
    <t>Primary Role</t>
  </si>
  <si>
    <t>Default Uses</t>
  </si>
  <si>
    <t>Cooldown / Duration</t>
  </si>
  <si>
    <t>Counterplay</t>
  </si>
  <si>
    <t>Core Risk</t>
  </si>
  <si>
    <t>Tuning Owner</t>
  </si>
  <si>
    <t>Balance KPI</t>
  </si>
  <si>
    <t>Rare</t>
  </si>
  <si>
    <t>증거/분탕 단서</t>
  </si>
  <si>
    <t>1~2회</t>
  </si>
  <si>
    <t>촬영 즉시 / 사진 메모</t>
  </si>
  <si>
    <t>사진 흐림, 시간 미표시</t>
  </si>
  <si>
    <t>증거력이 너무 강해짐</t>
  </si>
  <si>
    <t>사진 보유자 승률 편차 &lt; +5%</t>
  </si>
  <si>
    <t>도망 메타 견제</t>
  </si>
  <si>
    <t>1회</t>
  </si>
  <si>
    <t>2~3초 구속</t>
  </si>
  <si>
    <t>조준 난이도, 벽 충돌, 탈출 입력</t>
  </si>
  <si>
    <t>맞으면 확정 사망 느낌</t>
  </si>
  <si>
    <t>로프 명중 후 10초 내 사망률 목표 이하</t>
  </si>
  <si>
    <t>Epic</t>
  </si>
  <si>
    <t>접근/도주 변수</t>
  </si>
  <si>
    <t>4~5초</t>
  </si>
  <si>
    <t>근거리 실루엣, 부착 시 해제</t>
  </si>
  <si>
    <t>완전 은신으로 추리 붕괴</t>
  </si>
  <si>
    <t>투명화 사용자 승률 편차 &lt; +7%</t>
  </si>
  <si>
    <t>방어/거래</t>
  </si>
  <si>
    <t>1.5~2초 사용</t>
  </si>
  <si>
    <t>사용 모션 노출, 희귀 스폰</t>
  </si>
  <si>
    <t>3장 사망 긴장감 약화</t>
  </si>
  <si>
    <t>평균 경기 시간 과도 증가 없음</t>
  </si>
  <si>
    <t>Common</t>
  </si>
  <si>
    <t>시야 방해</t>
  </si>
  <si>
    <t>3초</t>
  </si>
  <si>
    <t>좁은 범위, 피아 구분 없음</t>
  </si>
  <si>
    <t>난전 가독성 저하</t>
  </si>
  <si>
    <t>사용 후 이탈/불만 지표 낮음</t>
  </si>
  <si>
    <t>심리 압박</t>
  </si>
  <si>
    <t>영구/카운트 제외</t>
  </si>
  <si>
    <t>메모 카운트 혼란 과다</t>
  </si>
  <si>
    <t>초보자 오해율 목표 이하</t>
  </si>
  <si>
    <t>방어</t>
  </si>
  <si>
    <t>8초</t>
  </si>
  <si>
    <t>짧은 지속, 희귀</t>
  </si>
  <si>
    <t>후반 교착</t>
  </si>
  <si>
    <t>2장 생존률 조정 가능</t>
  </si>
  <si>
    <t>상태 파악</t>
  </si>
  <si>
    <t>짧은 지속</t>
  </si>
  <si>
    <t>개수만 표시</t>
  </si>
  <si>
    <t>정보 공개 과다</t>
  </si>
  <si>
    <t>탐지 후 사망 유도율 목표 범위</t>
  </si>
  <si>
    <t>접근 감지</t>
  </si>
  <si>
    <t>시야 정보 없음</t>
  </si>
  <si>
    <t>사운드 혼잡</t>
  </si>
  <si>
    <t>Sound Designer</t>
  </si>
  <si>
    <t>투명화 대응 체감 확보</t>
  </si>
  <si>
    <t>교란/도주</t>
  </si>
  <si>
    <t>짧은 수명</t>
  </si>
  <si>
    <t>가까이 보면 가짜</t>
  </si>
  <si>
    <t>혼란 과다</t>
  </si>
  <si>
    <t>로프 낭비율 목표 범위</t>
  </si>
  <si>
    <t>지역 통제</t>
  </si>
  <si>
    <t>감속</t>
  </si>
  <si>
    <t>바닥 시각 단서</t>
  </si>
  <si>
    <t>맵 특정 구역 봉쇄</t>
  </si>
  <si>
    <t>Level Designer</t>
  </si>
  <si>
    <t>특정 위치 사망률 편중 없음</t>
  </si>
  <si>
    <t>Legendary</t>
  </si>
  <si>
    <t>여론 확산</t>
  </si>
  <si>
    <t>즉시</t>
  </si>
  <si>
    <t>복사 표시, 복사 제한</t>
  </si>
  <si>
    <t>집단 린치 가속</t>
  </si>
  <si>
    <t>복사 메모 사망 기여율 목표 이하</t>
  </si>
  <si>
    <t>위조 대응</t>
  </si>
  <si>
    <t>의심 메시지만 제공</t>
  </si>
  <si>
    <t>마피아 정답 공개 위험</t>
  </si>
  <si>
    <t>마피아 승률 급락 없음</t>
  </si>
  <si>
    <t>알리바이 단서</t>
  </si>
  <si>
    <t>구역명 기록</t>
  </si>
  <si>
    <t>정확 좌표 미표시</t>
  </si>
  <si>
    <t>추리 과도 단순화</t>
  </si>
  <si>
    <t>회의 발언 근거 증가</t>
  </si>
  <si>
    <t>Goal</t>
  </si>
  <si>
    <t>Entry Criteria</t>
  </si>
  <si>
    <t>Exit Criteria</t>
  </si>
  <si>
    <t>Target Build</t>
  </si>
  <si>
    <t>Open P0</t>
  </si>
  <si>
    <t>핵심 규칙 플레이 가능</t>
  </si>
  <si>
    <t>역할/메모/사망/낮밤 기초 구현</t>
  </si>
  <si>
    <t>4~6인에서 최후 생존자 승리까지 한 판 완료</t>
  </si>
  <si>
    <t>Internal</t>
  </si>
  <si>
    <t>서버 권한과 핵심 시스템 안정화</t>
  </si>
  <si>
    <t>MVP 통과</t>
  </si>
  <si>
    <t>마피아 유전, 아이템 공통, 네트워크 동기화 통과</t>
  </si>
  <si>
    <t>Closed Alpha</t>
  </si>
  <si>
    <t>콘텐츠와 UX 검증</t>
  </si>
  <si>
    <t>Alpha 통과</t>
  </si>
  <si>
    <t>카메라/로프/힐/투명화, UI, 맵, 튜토리얼 검증</t>
  </si>
  <si>
    <t>Closed Beta</t>
  </si>
  <si>
    <t>출시 후보</t>
  </si>
  <si>
    <t>Beta 통과</t>
  </si>
  <si>
    <t>QA 회귀, 성능, 보안, 밸런스 기준 통과</t>
  </si>
  <si>
    <t>Release Candidate</t>
  </si>
  <si>
    <t>판매 시작</t>
  </si>
  <si>
    <t>RC 통과</t>
  </si>
  <si>
    <t>스토어/법무/운영/런칭 체크 회의 완료</t>
  </si>
  <si>
    <t>Live</t>
  </si>
  <si>
    <t>성장/전생/라이브 운영</t>
  </si>
  <si>
    <t>Launch 안정화</t>
  </si>
  <si>
    <t>레벨업, 전생, 시즌 보상 공개</t>
  </si>
  <si>
    <t>Live Update</t>
  </si>
  <si>
    <t>PC</t>
  </si>
  <si>
    <t>실험</t>
  </si>
  <si>
    <t>Mobile</t>
  </si>
  <si>
    <t>P3</t>
  </si>
  <si>
    <t>Console</t>
  </si>
  <si>
    <t>Gameplay Artist</t>
  </si>
  <si>
    <t>Animator</t>
  </si>
  <si>
    <t>Store</t>
  </si>
  <si>
    <t>플랫폼</t>
  </si>
  <si>
    <t>Data Analyst</t>
  </si>
  <si>
    <t>법무/사업</t>
  </si>
  <si>
    <t>Legal/Business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</si>
</sst>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%"/>
  </numFmts>
  <fonts count="7">
    <font>
      <sz val="11"/>
      <name val="Carlito"/>
    </font>
    <font>
      <b/>
      <sz val="11"/>
      <color rgb="FFFFFFFF"/>
      <name val="Carlito"/>
    </font>
    <font>
      <sz val="10"/>
      <color rgb="FF111827"/>
      <name val="Carlito"/>
    </font>
    <font>
      <b/>
      <sz val="16"/>
      <color rgb="FFFFFFFF"/>
      <name val="Carlito"/>
    </font>
    <font>
      <b/>
      <sz val="10"/>
      <color rgb="FF111827"/>
      <name val="Carlito"/>
    </font>
    <font>
      <sz val="11"/>
      <name val="Carlito"/>
    </font>
    <font>
      <sz val="6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2" fillId="0" borderId="0" xfId="1" applyFont="1" applyAlignment="1">
      <alignment vertical="top" wrapText="1"/>
    </xf>
    <xf numFmtId="176" fontId="2" fillId="0" borderId="0" xfId="1" applyNumberFormat="1" applyFont="1" applyAlignment="1">
      <alignment vertical="top" wrapText="1"/>
    </xf>
    <xf numFmtId="0" fontId="4" fillId="3" borderId="0" xfId="1" applyFont="1" applyFill="1" applyAlignment="1">
      <alignment vertical="top" wrapText="1"/>
    </xf>
    <xf numFmtId="177" fontId="2" fillId="0" borderId="0" xfId="1" applyNumberFormat="1" applyFont="1" applyAlignment="1">
      <alignment vertical="top" wrapText="1"/>
    </xf>
    <xf numFmtId="0" fontId="0" fillId="0" borderId="0" xfId="1" applyFont="1" applyAlignment="1">
      <alignment vertical="top"/>
    </xf>
    <xf numFmtId="0" fontId="1" fillId="2" borderId="0" xfId="1" applyFont="1" applyFill="1" applyAlignment="1">
      <alignment horizontal="center" vertical="top" wrapText="1"/>
    </xf>
    <xf numFmtId="0" fontId="3" fillId="2" borderId="0" xfId="1" applyFont="1" applyFill="1" applyAlignment="1">
      <alignment horizontal="center" vertical="top"/>
    </xf>
    <xf numFmtId="0" fontId="0" fillId="0" borderId="0" xfId="1" applyFont="1" applyAlignment="1">
      <alignment vertical="top"/>
    </xf>
  </cellXfs>
  <cellStyles count="2">
    <cellStyle name="Normal" xfId="1" xr:uid="{00000000-0005-0000-0000-000000000000}"/>
    <cellStyle name="標準" xfId="0" builtinId="0"/>
  </cellStyles>
  <dxfs count="12"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E40AF"/>
      </font>
      <fill>
        <patternFill patternType="solid">
          <bgColor rgb="FFDBEAFE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DC2626"/>
      </font>
    </dxf>
    <dxf>
      <font>
        <b/>
        <color rgb="FF9D174D"/>
      </font>
      <fill>
        <patternFill patternType="solid">
          <bgColor rgb="FFFCE7F3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Tasks</c:v>
          </c:tx>
          <c:invertIfNegative val="1"/>
          <c:cat>
            <c:strRef>
              <c:f>'00_Dashboard'!$E$3:$E$9</c:f>
              <c:strCache>
                <c:ptCount val="7"/>
                <c:pt idx="0">
                  <c:v>대기</c:v>
                </c:pt>
                <c:pt idx="1">
                  <c:v>진행중</c:v>
                </c:pt>
                <c:pt idx="2">
                  <c:v>검토중</c:v>
                </c:pt>
                <c:pt idx="3">
                  <c:v>차단</c:v>
                </c:pt>
                <c:pt idx="4">
                  <c:v>OK</c:v>
                </c:pt>
                <c:pt idx="5">
                  <c:v>보류</c:v>
                </c:pt>
                <c:pt idx="6">
                  <c:v>N/A</c:v>
                </c:pt>
              </c:strCache>
            </c:strRef>
          </c:cat>
          <c:val>
            <c:numRef>
              <c:f>'00_Dashboard'!$F$3:$F$9</c:f>
              <c:numCache>
                <c:formatCode>General</c:formatCode>
                <c:ptCount val="7"/>
                <c:pt idx="0">
                  <c:v>241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DD-4342-A2F5-DC89237EF4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17</xdr:col>
      <xdr:colOff>0</xdr:colOff>
      <xdr:row>16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sterChecklist" displayName="MasterChecklist" ref="A1:R242">
  <tableColumns count="18">
    <tableColumn id="1" xr3:uid="{00000000-0010-0000-0000-000001000000}" name="ID"/>
    <tableColumn id="2" xr3:uid="{00000000-0010-0000-0000-000002000000}" name="Domain"/>
    <tableColumn id="3" xr3:uid="{00000000-0010-0000-0000-000003000000}" name="Feature"/>
    <tableColumn id="4" xr3:uid="{00000000-0010-0000-0000-000004000000}" name="Task"/>
    <tableColumn id="5" xr3:uid="{00000000-0010-0000-0000-000005000000}" name="Acceptance Criteria"/>
    <tableColumn id="6" xr3:uid="{00000000-0010-0000-0000-000006000000}" name="Owner"/>
    <tableColumn id="7" xr3:uid="{00000000-0010-0000-0000-000007000000}" name="Role"/>
    <tableColumn id="8" xr3:uid="{00000000-0010-0000-0000-000008000000}" name="Priority"/>
    <tableColumn id="9" xr3:uid="{00000000-0010-0000-0000-000009000000}" name="Ship Gate"/>
    <tableColumn id="10" xr3:uid="{00000000-0010-0000-0000-00000A000000}" name="STATUS"/>
    <tableColumn id="11" xr3:uid="{00000000-0010-0000-0000-00000B000000}" name="QA Type"/>
    <tableColumn id="12" xr3:uid="{00000000-0010-0000-0000-00000C000000}" name="Platform"/>
    <tableColumn id="13" xr3:uid="{00000000-0010-0000-0000-00000D000000}" name="Milestone"/>
    <tableColumn id="14" xr3:uid="{00000000-0010-0000-0000-00000E000000}" name="Dependency"/>
    <tableColumn id="15" xr3:uid="{00000000-0010-0000-0000-00000F000000}" name="Risk"/>
    <tableColumn id="16" xr3:uid="{00000000-0010-0000-0000-000010000000}" name="Evidence Link"/>
    <tableColumn id="17" xr3:uid="{00000000-0010-0000-0000-000011000000}" name="Due Date"/>
    <tableColumn id="18" xr3:uid="{00000000-0010-0000-0000-000012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leaseGates" displayName="ReleaseGates" ref="A1:I11">
  <tableColumns count="9">
    <tableColumn id="1" xr3:uid="{00000000-0010-0000-0100-000001000000}" name="Gate ID"/>
    <tableColumn id="2" xr3:uid="{00000000-0010-0000-0100-000002000000}" name="Gate"/>
    <tableColumn id="3" xr3:uid="{00000000-0010-0000-0100-000003000000}" name="Required Criteria"/>
    <tableColumn id="4" xr3:uid="{00000000-0010-0000-0100-000004000000}" name="Owner"/>
    <tableColumn id="5" xr3:uid="{00000000-0010-0000-0100-000005000000}" name="STATUS"/>
    <tableColumn id="6" xr3:uid="{00000000-0010-0000-0100-000006000000}" name="Open Required Tasks"/>
    <tableColumn id="7" xr3:uid="{00000000-0010-0000-0100-000007000000}" name="Release Decision"/>
    <tableColumn id="8" xr3:uid="{00000000-0010-0000-0100-000008000000}" name="Evidence / Link"/>
    <tableColumn id="9" xr3:uid="{00000000-0010-0000-0100-000009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temBalance" displayName="ItemBalance" ref="A1:J15">
  <tableColumns count="10">
    <tableColumn id="1" xr3:uid="{00000000-0010-0000-0200-000001000000}" name="Item"/>
    <tableColumn id="2" xr3:uid="{00000000-0010-0000-0200-000002000000}" name="Rarity"/>
    <tableColumn id="3" xr3:uid="{00000000-0010-0000-0200-000003000000}" name="Primary Role"/>
    <tableColumn id="4" xr3:uid="{00000000-0010-0000-0200-000004000000}" name="Default Uses"/>
    <tableColumn id="5" xr3:uid="{00000000-0010-0000-0200-000005000000}" name="Cooldown / Duration"/>
    <tableColumn id="6" xr3:uid="{00000000-0010-0000-0200-000006000000}" name="Counterplay"/>
    <tableColumn id="7" xr3:uid="{00000000-0010-0000-0200-000007000000}" name="Core Risk"/>
    <tableColumn id="8" xr3:uid="{00000000-0010-0000-0200-000008000000}" name="Tuning Owner"/>
    <tableColumn id="9" xr3:uid="{00000000-0010-0000-0200-000009000000}" name="STATUS"/>
    <tableColumn id="10" xr3:uid="{00000000-0010-0000-0200-00000A000000}" name="Balance KPI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Milestones" displayName="Milestones" ref="A1:I7">
  <tableColumns count="9">
    <tableColumn id="1" xr3:uid="{00000000-0010-0000-0300-000001000000}" name="Milestone"/>
    <tableColumn id="2" xr3:uid="{00000000-0010-0000-0300-000002000000}" name="Goal"/>
    <tableColumn id="3" xr3:uid="{00000000-0010-0000-0300-000003000000}" name="Entry Criteria"/>
    <tableColumn id="4" xr3:uid="{00000000-0010-0000-0300-000004000000}" name="Exit Criteria"/>
    <tableColumn id="5" xr3:uid="{00000000-0010-0000-0300-000005000000}" name="Target Build"/>
    <tableColumn id="6" xr3:uid="{00000000-0010-0000-0300-000006000000}" name="Owner"/>
    <tableColumn id="7" xr3:uid="{00000000-0010-0000-0300-000007000000}" name="STATUS"/>
    <tableColumn id="8" xr3:uid="{00000000-0010-0000-0300-000008000000}" name="Open P0"/>
    <tableColumn id="9" xr3:uid="{00000000-0010-0000-0300-000009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5"/>
  <sheetViews>
    <sheetView tabSelected="1" workbookViewId="0">
      <selection activeCell="G19" sqref="G19"/>
    </sheetView>
  </sheetViews>
  <sheetFormatPr defaultRowHeight="14.25"/>
  <cols>
    <col min="1" max="1" width="26" customWidth="1"/>
    <col min="2" max="2" width="14" customWidth="1"/>
    <col min="3" max="3" width="32" customWidth="1"/>
    <col min="4" max="4" width="16" customWidth="1"/>
    <col min="5" max="5" width="24" customWidth="1"/>
    <col min="6" max="7" width="12" customWidth="1"/>
    <col min="8" max="8" width="26" customWidth="1"/>
  </cols>
  <sheetData>
    <row r="1" spans="1:26" ht="33.950000000000003" customHeight="1">
      <c r="A1" s="8" t="s">
        <v>0</v>
      </c>
      <c r="B1" s="9"/>
      <c r="C1" s="9"/>
      <c r="D1" s="9"/>
      <c r="E1" s="9"/>
      <c r="F1" s="9"/>
      <c r="G1" s="9"/>
      <c r="H1" s="9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">
      <c r="A2" s="1" t="s">
        <v>1</v>
      </c>
      <c r="B2" s="1" t="s">
        <v>2</v>
      </c>
      <c r="C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26">
      <c r="A3" s="4" t="s">
        <v>8</v>
      </c>
      <c r="B3" s="2">
        <f>COUNTA('01_Master_Checklist'!$A$2:$A$242)</f>
        <v>241</v>
      </c>
      <c r="C3" s="2" t="s">
        <v>9</v>
      </c>
      <c r="E3" s="2" t="s">
        <v>10</v>
      </c>
      <c r="F3" s="2">
        <f>COUNTIF('01_Master_Checklist'!$J$2:$J$242,E3)</f>
        <v>241</v>
      </c>
      <c r="G3" s="5">
        <f t="shared" ref="G3:G9" si="0">IFERROR(F3/$B$3,0)</f>
        <v>1</v>
      </c>
      <c r="H3" s="2" t="s">
        <v>11</v>
      </c>
    </row>
    <row r="4" spans="1:26">
      <c r="A4" s="4" t="s">
        <v>12</v>
      </c>
      <c r="B4" s="2">
        <f>COUNTIF('01_Master_Checklist'!$J$2:$J$242,"OK")</f>
        <v>0</v>
      </c>
      <c r="C4" s="2" t="s">
        <v>13</v>
      </c>
      <c r="E4" s="2" t="s">
        <v>14</v>
      </c>
      <c r="F4" s="2">
        <f>COUNTIF('01_Master_Checklist'!$J$2:$J$242,E4)</f>
        <v>0</v>
      </c>
      <c r="G4" s="5">
        <f t="shared" si="0"/>
        <v>0</v>
      </c>
      <c r="H4" s="2" t="s">
        <v>15</v>
      </c>
    </row>
    <row r="5" spans="1:26">
      <c r="A5" s="4" t="s">
        <v>14</v>
      </c>
      <c r="B5" s="2">
        <f>COUNTIF('01_Master_Checklist'!$J$2:$J$242,"진행중")</f>
        <v>0</v>
      </c>
      <c r="C5" s="2" t="s">
        <v>16</v>
      </c>
      <c r="E5" s="2" t="s">
        <v>17</v>
      </c>
      <c r="F5" s="2">
        <f>COUNTIF('01_Master_Checklist'!$J$2:$J$242,E5)</f>
        <v>0</v>
      </c>
      <c r="G5" s="5">
        <f t="shared" si="0"/>
        <v>0</v>
      </c>
      <c r="H5" s="2" t="s">
        <v>18</v>
      </c>
    </row>
    <row r="6" spans="1:26">
      <c r="A6" s="4" t="s">
        <v>19</v>
      </c>
      <c r="B6" s="2">
        <f>COUNTIF('01_Master_Checklist'!$J$2:$J$242,"차단")</f>
        <v>0</v>
      </c>
      <c r="C6" s="2" t="s">
        <v>20</v>
      </c>
      <c r="E6" s="2" t="s">
        <v>19</v>
      </c>
      <c r="F6" s="2">
        <f>COUNTIF('01_Master_Checklist'!$J$2:$J$242,E6)</f>
        <v>0</v>
      </c>
      <c r="G6" s="5">
        <f t="shared" si="0"/>
        <v>0</v>
      </c>
      <c r="H6" s="2" t="s">
        <v>21</v>
      </c>
    </row>
    <row r="7" spans="1:26">
      <c r="A7" s="4" t="s">
        <v>22</v>
      </c>
      <c r="B7" s="2">
        <f>COUNTIFS('01_Master_Checklist'!$I$2:$I$242,"필수",'01_Master_Checklist'!$J$2:$J$242,"&lt;&gt;OK")</f>
        <v>191</v>
      </c>
      <c r="C7" s="2" t="s">
        <v>23</v>
      </c>
      <c r="E7" s="2" t="s">
        <v>12</v>
      </c>
      <c r="F7" s="2">
        <f>COUNTIF('01_Master_Checklist'!$J$2:$J$242,E7)</f>
        <v>0</v>
      </c>
      <c r="G7" s="5">
        <f t="shared" si="0"/>
        <v>0</v>
      </c>
      <c r="H7" s="2" t="s">
        <v>24</v>
      </c>
    </row>
    <row r="8" spans="1:26">
      <c r="A8" s="4" t="s">
        <v>25</v>
      </c>
      <c r="B8" s="2">
        <f>COUNTIF('01_Master_Checklist'!$J$2:$J$242,"&lt;&gt;OK")</f>
        <v>241</v>
      </c>
      <c r="C8" s="2" t="s">
        <v>26</v>
      </c>
      <c r="E8" s="2" t="s">
        <v>27</v>
      </c>
      <c r="F8" s="2">
        <f>COUNTIF('01_Master_Checklist'!$J$2:$J$242,E8)</f>
        <v>0</v>
      </c>
      <c r="G8" s="5">
        <f t="shared" si="0"/>
        <v>0</v>
      </c>
      <c r="H8" s="2" t="s">
        <v>28</v>
      </c>
    </row>
    <row r="9" spans="1:26">
      <c r="A9" s="4" t="s">
        <v>29</v>
      </c>
      <c r="B9" s="5">
        <f>IFERROR(B4/B3,0)</f>
        <v>0</v>
      </c>
      <c r="C9" s="2" t="s">
        <v>30</v>
      </c>
      <c r="E9" s="2" t="s">
        <v>31</v>
      </c>
      <c r="F9" s="2">
        <f>COUNTIF('01_Master_Checklist'!$J$2:$J$242,E9)</f>
        <v>0</v>
      </c>
      <c r="G9" s="5">
        <f t="shared" si="0"/>
        <v>0</v>
      </c>
      <c r="H9" s="2" t="s">
        <v>32</v>
      </c>
    </row>
    <row r="10" spans="1:26">
      <c r="A10" s="4" t="s">
        <v>33</v>
      </c>
      <c r="B10" s="2" t="str">
        <f>IF(AND(B6=0,B7=0),"READY","NOT READY")</f>
        <v>NOT READY</v>
      </c>
      <c r="C10" s="2" t="s">
        <v>34</v>
      </c>
    </row>
    <row r="13" spans="1:26" ht="15">
      <c r="A13" s="1" t="s">
        <v>35</v>
      </c>
      <c r="B13" s="1" t="s">
        <v>36</v>
      </c>
      <c r="C13" s="1" t="s">
        <v>12</v>
      </c>
      <c r="D13" s="1" t="s">
        <v>22</v>
      </c>
      <c r="E13" s="1" t="s">
        <v>37</v>
      </c>
    </row>
    <row r="14" spans="1:26">
      <c r="A14" s="2" t="s">
        <v>38</v>
      </c>
      <c r="B14" s="2">
        <f>COUNTIF('01_Master_Checklist'!$B$2:$B$242,A14)</f>
        <v>15</v>
      </c>
      <c r="C14" s="2">
        <f>COUNTIFS('01_Master_Checklist'!$B$2:$B$242,A14,'01_Master_Checklist'!$J$2:$J$242,"OK")</f>
        <v>0</v>
      </c>
      <c r="D14" s="2">
        <f>COUNTIFS('01_Master_Checklist'!$B$2:$B$242,A14,'01_Master_Checklist'!$I$2:$I$242,"필수",'01_Master_Checklist'!$J$2:$J$242,"&lt;&gt;OK")</f>
        <v>15</v>
      </c>
      <c r="E14" s="5">
        <f t="shared" ref="E14:E25" si="1">IFERROR(C14/B14,0)</f>
        <v>0</v>
      </c>
    </row>
    <row r="15" spans="1:26">
      <c r="A15" s="2" t="s">
        <v>39</v>
      </c>
      <c r="B15" s="2">
        <f>COUNTIF('01_Master_Checklist'!$B$2:$B$242,A15)</f>
        <v>18</v>
      </c>
      <c r="C15" s="2">
        <f>COUNTIFS('01_Master_Checklist'!$B$2:$B$242,A15,'01_Master_Checklist'!$J$2:$J$242,"OK")</f>
        <v>0</v>
      </c>
      <c r="D15" s="2">
        <f>COUNTIFS('01_Master_Checklist'!$B$2:$B$242,A15,'01_Master_Checklist'!$I$2:$I$242,"필수",'01_Master_Checklist'!$J$2:$J$242,"&lt;&gt;OK")</f>
        <v>18</v>
      </c>
      <c r="E15" s="5">
        <f t="shared" si="1"/>
        <v>0</v>
      </c>
    </row>
    <row r="16" spans="1:26">
      <c r="A16" s="2" t="s">
        <v>40</v>
      </c>
      <c r="B16" s="2">
        <f>COUNTIF('01_Master_Checklist'!$B$2:$B$242,A16)</f>
        <v>17</v>
      </c>
      <c r="C16" s="2">
        <f>COUNTIFS('01_Master_Checklist'!$B$2:$B$242,A16,'01_Master_Checklist'!$J$2:$J$242,"OK")</f>
        <v>0</v>
      </c>
      <c r="D16" s="2">
        <f>COUNTIFS('01_Master_Checklist'!$B$2:$B$242,A16,'01_Master_Checklist'!$I$2:$I$242,"필수",'01_Master_Checklist'!$J$2:$J$242,"&lt;&gt;OK")</f>
        <v>17</v>
      </c>
      <c r="E16" s="5">
        <f t="shared" si="1"/>
        <v>0</v>
      </c>
    </row>
    <row r="17" spans="1:5">
      <c r="A17" s="2" t="s">
        <v>41</v>
      </c>
      <c r="B17" s="2">
        <f>COUNTIF('01_Master_Checklist'!$B$2:$B$242,A17)</f>
        <v>15</v>
      </c>
      <c r="C17" s="2">
        <f>COUNTIFS('01_Master_Checklist'!$B$2:$B$242,A17,'01_Master_Checklist'!$J$2:$J$242,"OK")</f>
        <v>0</v>
      </c>
      <c r="D17" s="2">
        <f>COUNTIFS('01_Master_Checklist'!$B$2:$B$242,A17,'01_Master_Checklist'!$I$2:$I$242,"필수",'01_Master_Checklist'!$J$2:$J$242,"&lt;&gt;OK")</f>
        <v>15</v>
      </c>
      <c r="E17" s="5">
        <f t="shared" si="1"/>
        <v>0</v>
      </c>
    </row>
    <row r="18" spans="1:5">
      <c r="A18" s="2" t="s">
        <v>42</v>
      </c>
      <c r="B18" s="2">
        <f>COUNTIF('01_Master_Checklist'!$B$2:$B$242,A18)</f>
        <v>67</v>
      </c>
      <c r="C18" s="2">
        <f>COUNTIFS('01_Master_Checklist'!$B$2:$B$242,A18,'01_Master_Checklist'!$J$2:$J$242,"OK")</f>
        <v>0</v>
      </c>
      <c r="D18" s="2">
        <f>COUNTIFS('01_Master_Checklist'!$B$2:$B$242,A18,'01_Master_Checklist'!$I$2:$I$242,"필수",'01_Master_Checklist'!$J$2:$J$242,"&lt;&gt;OK")</f>
        <v>33</v>
      </c>
      <c r="E18" s="5">
        <f t="shared" si="1"/>
        <v>0</v>
      </c>
    </row>
    <row r="19" spans="1:5">
      <c r="A19" s="2" t="s">
        <v>43</v>
      </c>
      <c r="B19" s="2">
        <f>COUNTIF('01_Master_Checklist'!$B$2:$B$242,A19)</f>
        <v>15</v>
      </c>
      <c r="C19" s="2">
        <f>COUNTIFS('01_Master_Checklist'!$B$2:$B$242,A19,'01_Master_Checklist'!$J$2:$J$242,"OK")</f>
        <v>0</v>
      </c>
      <c r="D19" s="2">
        <f>COUNTIFS('01_Master_Checklist'!$B$2:$B$242,A19,'01_Master_Checklist'!$I$2:$I$242,"필수",'01_Master_Checklist'!$J$2:$J$242,"&lt;&gt;OK")</f>
        <v>15</v>
      </c>
      <c r="E19" s="5">
        <f t="shared" si="1"/>
        <v>0</v>
      </c>
    </row>
    <row r="20" spans="1:5">
      <c r="A20" s="2" t="s">
        <v>44</v>
      </c>
      <c r="B20" s="2">
        <f>COUNTIF('01_Master_Checklist'!$B$2:$B$242,A20)</f>
        <v>14</v>
      </c>
      <c r="C20" s="2">
        <f>COUNTIFS('01_Master_Checklist'!$B$2:$B$242,A20,'01_Master_Checklist'!$J$2:$J$242,"OK")</f>
        <v>0</v>
      </c>
      <c r="D20" s="2">
        <f>COUNTIFS('01_Master_Checklist'!$B$2:$B$242,A20,'01_Master_Checklist'!$I$2:$I$242,"필수",'01_Master_Checklist'!$J$2:$J$242,"&lt;&gt;OK")</f>
        <v>14</v>
      </c>
      <c r="E20" s="5">
        <f t="shared" si="1"/>
        <v>0</v>
      </c>
    </row>
    <row r="21" spans="1:5">
      <c r="A21" s="2" t="s">
        <v>45</v>
      </c>
      <c r="B21" s="2">
        <f>COUNTIF('01_Master_Checklist'!$B$2:$B$242,A21)</f>
        <v>15</v>
      </c>
      <c r="C21" s="2">
        <f>COUNTIFS('01_Master_Checklist'!$B$2:$B$242,A21,'01_Master_Checklist'!$J$2:$J$242,"OK")</f>
        <v>0</v>
      </c>
      <c r="D21" s="2">
        <f>COUNTIFS('01_Master_Checklist'!$B$2:$B$242,A21,'01_Master_Checklist'!$I$2:$I$242,"필수",'01_Master_Checklist'!$J$2:$J$242,"&lt;&gt;OK")</f>
        <v>15</v>
      </c>
      <c r="E21" s="5">
        <f t="shared" si="1"/>
        <v>0</v>
      </c>
    </row>
    <row r="22" spans="1:5">
      <c r="A22" s="2" t="s">
        <v>46</v>
      </c>
      <c r="B22" s="2">
        <f>COUNTIF('01_Master_Checklist'!$B$2:$B$242,A22)</f>
        <v>12</v>
      </c>
      <c r="C22" s="2">
        <f>COUNTIFS('01_Master_Checklist'!$B$2:$B$242,A22,'01_Master_Checklist'!$J$2:$J$242,"OK")</f>
        <v>0</v>
      </c>
      <c r="D22" s="2">
        <f>COUNTIFS('01_Master_Checklist'!$B$2:$B$242,A22,'01_Master_Checklist'!$I$2:$I$242,"필수",'01_Master_Checklist'!$J$2:$J$242,"&lt;&gt;OK")</f>
        <v>12</v>
      </c>
      <c r="E22" s="5">
        <f t="shared" si="1"/>
        <v>0</v>
      </c>
    </row>
    <row r="23" spans="1:5">
      <c r="A23" s="2" t="s">
        <v>47</v>
      </c>
      <c r="B23" s="2">
        <f>COUNTIF('01_Master_Checklist'!$B$2:$B$242,A23)</f>
        <v>17</v>
      </c>
      <c r="C23" s="2">
        <f>COUNTIFS('01_Master_Checklist'!$B$2:$B$242,A23,'01_Master_Checklist'!$J$2:$J$242,"OK")</f>
        <v>0</v>
      </c>
      <c r="D23" s="2">
        <f>COUNTIFS('01_Master_Checklist'!$B$2:$B$242,A23,'01_Master_Checklist'!$I$2:$I$242,"필수",'01_Master_Checklist'!$J$2:$J$242,"&lt;&gt;OK")</f>
        <v>17</v>
      </c>
      <c r="E23" s="5">
        <f t="shared" si="1"/>
        <v>0</v>
      </c>
    </row>
    <row r="24" spans="1:5">
      <c r="A24" s="2" t="s">
        <v>48</v>
      </c>
      <c r="B24" s="2">
        <f>COUNTIF('01_Master_Checklist'!$B$2:$B$242,A24)</f>
        <v>20</v>
      </c>
      <c r="C24" s="2">
        <f>COUNTIFS('01_Master_Checklist'!$B$2:$B$242,A24,'01_Master_Checklist'!$J$2:$J$242,"OK")</f>
        <v>0</v>
      </c>
      <c r="D24" s="2">
        <f>COUNTIFS('01_Master_Checklist'!$B$2:$B$242,A24,'01_Master_Checklist'!$I$2:$I$242,"필수",'01_Master_Checklist'!$J$2:$J$242,"&lt;&gt;OK")</f>
        <v>20</v>
      </c>
      <c r="E24" s="5">
        <f t="shared" si="1"/>
        <v>0</v>
      </c>
    </row>
    <row r="25" spans="1:5">
      <c r="A25" s="2" t="s">
        <v>49</v>
      </c>
      <c r="B25" s="2">
        <f>COUNTIF('01_Master_Checklist'!$B$2:$B$242,A25)</f>
        <v>16</v>
      </c>
      <c r="C25" s="2">
        <f>COUNTIFS('01_Master_Checklist'!$B$2:$B$242,A25,'01_Master_Checklist'!$J$2:$J$242,"OK")</f>
        <v>0</v>
      </c>
      <c r="D25" s="2">
        <f>COUNTIFS('01_Master_Checklist'!$B$2:$B$242,A25,'01_Master_Checklist'!$I$2:$I$242,"필수",'01_Master_Checklist'!$J$2:$J$242,"&lt;&gt;OK")</f>
        <v>0</v>
      </c>
      <c r="E25" s="5">
        <f t="shared" si="1"/>
        <v>0</v>
      </c>
    </row>
  </sheetData>
  <mergeCells count="1">
    <mergeCell ref="A1:H1"/>
  </mergeCells>
  <phoneticPr fontId="6"/>
  <conditionalFormatting sqref="B10">
    <cfRule type="expression" dxfId="11" priority="1">
      <formula>B10="READY"</formula>
    </cfRule>
    <cfRule type="expression" dxfId="10" priority="2">
      <formula>B10="NOT READY"</formula>
    </cfRule>
  </conditionalFormatting>
  <conditionalFormatting sqref="D14:D25">
    <cfRule type="cellIs" dxfId="9" priority="5" operator="greaterThan">
      <formula>0</formula>
    </cfRule>
  </conditionalFormatting>
  <conditionalFormatting sqref="E14:E25">
    <cfRule type="dataBar" priority="4">
      <dataBar>
        <cfvo type="min"/>
        <cfvo type="max"/>
        <color rgb="FF22C55E"/>
      </dataBar>
    </cfRule>
    <cfRule type="dataBar" priority="7">
      <dataBar>
        <cfvo type="min"/>
        <cfvo type="max"/>
        <color rgb="FF22C55E"/>
      </dataBar>
      <extLst>
        <ext xmlns:x14="http://schemas.microsoft.com/office/spreadsheetml/2009/9/main" uri="{B025F937-C7B1-47D3-B67F-A62EFF666E3E}">
          <x14:id>{72B62A02-83B6-1913-AF54-D0B146551015}</x14:id>
        </ext>
      </extLst>
    </cfRule>
  </conditionalFormatting>
  <conditionalFormatting sqref="F3:F9">
    <cfRule type="dataBar" priority="3">
      <dataBar>
        <cfvo type="min"/>
        <cfvo type="max"/>
        <color rgb="FF60A5FA"/>
      </dataBar>
    </cfRule>
    <cfRule type="dataBar" priority="6">
      <dataBar>
        <cfvo type="min"/>
        <cfvo type="max"/>
        <color rgb="FF60A5FA"/>
      </dataBar>
      <extLst>
        <ext xmlns:x14="http://schemas.microsoft.com/office/spreadsheetml/2009/9/main" uri="{B025F937-C7B1-47D3-B67F-A62EFF666E3E}">
          <x14:id>{C70D83D8-D148-2DAB-CCB3-ED718FA55958}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2B62A02-83B6-1913-AF54-D0B146551015}">
            <x14:dataBar>
              <x14:cfvo type="min"/>
              <x14:cfvo type="max"/>
              <x14:negativeFillColor auto="1"/>
              <x14:axisColor auto="1"/>
            </x14:dataBar>
          </x14:cfRule>
          <xm:sqref>E14:E25</xm:sqref>
        </x14:conditionalFormatting>
        <x14:conditionalFormatting xmlns:xm="http://schemas.microsoft.com/office/excel/2006/main">
          <x14:cfRule type="dataBar" id="{C70D83D8-D148-2DAB-CCB3-ED718FA55958}">
            <x14:dataBar>
              <x14:cfvo type="min"/>
              <x14:cfvo type="max"/>
              <x14:negativeFillColor auto="1"/>
              <x14:axisColor auto="1"/>
            </x14:dataBar>
          </x14:cfRule>
          <xm:sqref>F3:F9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42"/>
  <sheetViews>
    <sheetView topLeftCell="A212" workbookViewId="0">
      <selection activeCell="G2" sqref="G2"/>
    </sheetView>
  </sheetViews>
  <sheetFormatPr defaultRowHeight="14.25"/>
  <cols>
    <col min="1" max="1" width="11" customWidth="1"/>
    <col min="2" max="2" width="18" customWidth="1"/>
    <col min="3" max="3" width="20" customWidth="1"/>
    <col min="4" max="4" width="32" customWidth="1"/>
    <col min="5" max="5" width="52" customWidth="1"/>
    <col min="6" max="6" width="18" customWidth="1"/>
    <col min="7" max="7" width="14" customWidth="1"/>
    <col min="8" max="8" width="9" customWidth="1"/>
    <col min="9" max="9" width="10" customWidth="1"/>
    <col min="10" max="12" width="12" customWidth="1"/>
    <col min="13" max="13" width="14" customWidth="1"/>
    <col min="14" max="14" width="24" customWidth="1"/>
    <col min="15" max="15" width="9" customWidth="1"/>
    <col min="16" max="16" width="24" customWidth="1"/>
    <col min="17" max="17" width="13" customWidth="1"/>
    <col min="18" max="18" width="28" customWidth="1"/>
  </cols>
  <sheetData>
    <row r="1" spans="1:26" ht="32.1" customHeight="1">
      <c r="A1" s="7" t="s">
        <v>50</v>
      </c>
      <c r="B1" s="7" t="s">
        <v>35</v>
      </c>
      <c r="C1" s="7" t="s">
        <v>51</v>
      </c>
      <c r="D1" s="7" t="s">
        <v>52</v>
      </c>
      <c r="E1" s="7" t="s">
        <v>53</v>
      </c>
      <c r="F1" s="7" t="s">
        <v>54</v>
      </c>
      <c r="G1" s="7" t="s">
        <v>55</v>
      </c>
      <c r="H1" s="7" t="s">
        <v>56</v>
      </c>
      <c r="I1" s="7" t="s">
        <v>57</v>
      </c>
      <c r="J1" s="7" t="s">
        <v>4</v>
      </c>
      <c r="K1" s="7" t="s">
        <v>58</v>
      </c>
      <c r="L1" s="7" t="s">
        <v>59</v>
      </c>
      <c r="M1" s="7" t="s">
        <v>60</v>
      </c>
      <c r="N1" s="7" t="s">
        <v>61</v>
      </c>
      <c r="O1" s="7" t="s">
        <v>62</v>
      </c>
      <c r="P1" s="7" t="s">
        <v>63</v>
      </c>
      <c r="Q1" s="7" t="s">
        <v>64</v>
      </c>
      <c r="R1" s="7" t="s">
        <v>65</v>
      </c>
      <c r="S1" s="6"/>
      <c r="T1" s="6"/>
      <c r="U1" s="6"/>
      <c r="V1" s="6"/>
      <c r="W1" s="6"/>
      <c r="X1" s="6"/>
      <c r="Y1" s="6"/>
      <c r="Z1" s="6"/>
    </row>
    <row r="2" spans="1:26" ht="25.5">
      <c r="A2" s="2" t="s">
        <v>66</v>
      </c>
      <c r="B2" s="2" t="s">
        <v>38</v>
      </c>
      <c r="C2" s="2" t="s">
        <v>67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10</v>
      </c>
      <c r="K2" s="2" t="s">
        <v>74</v>
      </c>
      <c r="L2" s="2" t="s">
        <v>75</v>
      </c>
      <c r="M2" s="2" t="s">
        <v>76</v>
      </c>
      <c r="N2" s="2"/>
      <c r="O2" s="2" t="s">
        <v>77</v>
      </c>
      <c r="P2" s="2"/>
      <c r="Q2" s="3"/>
      <c r="R2" s="2"/>
    </row>
    <row r="3" spans="1:26" ht="25.5">
      <c r="A3" s="2" t="s">
        <v>78</v>
      </c>
      <c r="B3" s="2" t="s">
        <v>38</v>
      </c>
      <c r="C3" s="2" t="s">
        <v>67</v>
      </c>
      <c r="D3" s="2" t="s">
        <v>79</v>
      </c>
      <c r="E3" s="2" t="s">
        <v>80</v>
      </c>
      <c r="F3" s="2" t="s">
        <v>70</v>
      </c>
      <c r="G3" s="2" t="s">
        <v>71</v>
      </c>
      <c r="H3" s="2" t="s">
        <v>72</v>
      </c>
      <c r="I3" s="2" t="s">
        <v>73</v>
      </c>
      <c r="J3" s="2" t="s">
        <v>10</v>
      </c>
      <c r="K3" s="2" t="s">
        <v>74</v>
      </c>
      <c r="L3" s="2" t="s">
        <v>75</v>
      </c>
      <c r="M3" s="2" t="s">
        <v>76</v>
      </c>
      <c r="N3" s="2"/>
      <c r="O3" s="2" t="s">
        <v>77</v>
      </c>
      <c r="P3" s="2"/>
      <c r="Q3" s="3"/>
      <c r="R3" s="2"/>
    </row>
    <row r="4" spans="1:26" ht="25.5">
      <c r="A4" s="2" t="s">
        <v>81</v>
      </c>
      <c r="B4" s="2" t="s">
        <v>38</v>
      </c>
      <c r="C4" s="2" t="s">
        <v>67</v>
      </c>
      <c r="D4" s="2" t="s">
        <v>82</v>
      </c>
      <c r="E4" s="2" t="s">
        <v>83</v>
      </c>
      <c r="F4" s="2" t="s">
        <v>70</v>
      </c>
      <c r="G4" s="2" t="s">
        <v>71</v>
      </c>
      <c r="H4" s="2" t="s">
        <v>72</v>
      </c>
      <c r="I4" s="2" t="s">
        <v>73</v>
      </c>
      <c r="J4" s="2" t="s">
        <v>10</v>
      </c>
      <c r="K4" s="2" t="s">
        <v>74</v>
      </c>
      <c r="L4" s="2" t="s">
        <v>75</v>
      </c>
      <c r="M4" s="2" t="s">
        <v>76</v>
      </c>
      <c r="N4" s="2"/>
      <c r="O4" s="2" t="s">
        <v>77</v>
      </c>
      <c r="P4" s="2"/>
      <c r="Q4" s="3"/>
      <c r="R4" s="2"/>
    </row>
    <row r="5" spans="1:26" ht="25.5">
      <c r="A5" s="2" t="s">
        <v>84</v>
      </c>
      <c r="B5" s="2" t="s">
        <v>38</v>
      </c>
      <c r="C5" s="2" t="s">
        <v>67</v>
      </c>
      <c r="D5" s="2" t="s">
        <v>85</v>
      </c>
      <c r="E5" s="2" t="s">
        <v>86</v>
      </c>
      <c r="F5" s="2" t="s">
        <v>70</v>
      </c>
      <c r="G5" s="2" t="s">
        <v>71</v>
      </c>
      <c r="H5" s="2" t="s">
        <v>72</v>
      </c>
      <c r="I5" s="2" t="s">
        <v>73</v>
      </c>
      <c r="J5" s="2" t="s">
        <v>10</v>
      </c>
      <c r="K5" s="2" t="s">
        <v>74</v>
      </c>
      <c r="L5" s="2" t="s">
        <v>75</v>
      </c>
      <c r="M5" s="2" t="s">
        <v>76</v>
      </c>
      <c r="N5" s="2"/>
      <c r="O5" s="2" t="s">
        <v>77</v>
      </c>
      <c r="P5" s="2"/>
      <c r="Q5" s="3"/>
      <c r="R5" s="2"/>
    </row>
    <row r="6" spans="1:26" ht="25.5">
      <c r="A6" s="2" t="s">
        <v>87</v>
      </c>
      <c r="B6" s="2" t="s">
        <v>38</v>
      </c>
      <c r="C6" s="2" t="s">
        <v>67</v>
      </c>
      <c r="D6" s="2" t="s">
        <v>88</v>
      </c>
      <c r="E6" s="2" t="s">
        <v>89</v>
      </c>
      <c r="F6" s="2" t="s">
        <v>70</v>
      </c>
      <c r="G6" s="2" t="s">
        <v>71</v>
      </c>
      <c r="H6" s="2" t="s">
        <v>72</v>
      </c>
      <c r="I6" s="2" t="s">
        <v>73</v>
      </c>
      <c r="J6" s="2" t="s">
        <v>10</v>
      </c>
      <c r="K6" s="2" t="s">
        <v>74</v>
      </c>
      <c r="L6" s="2" t="s">
        <v>75</v>
      </c>
      <c r="M6" s="2" t="s">
        <v>76</v>
      </c>
      <c r="N6" s="2"/>
      <c r="O6" s="2" t="s">
        <v>77</v>
      </c>
      <c r="P6" s="2"/>
      <c r="Q6" s="3"/>
      <c r="R6" s="2"/>
    </row>
    <row r="7" spans="1:26" ht="25.5">
      <c r="A7" s="2" t="s">
        <v>90</v>
      </c>
      <c r="B7" s="2" t="s">
        <v>38</v>
      </c>
      <c r="C7" s="2" t="s">
        <v>67</v>
      </c>
      <c r="D7" s="2" t="s">
        <v>91</v>
      </c>
      <c r="E7" s="2" t="s">
        <v>92</v>
      </c>
      <c r="F7" s="2" t="s">
        <v>70</v>
      </c>
      <c r="G7" s="2" t="s">
        <v>71</v>
      </c>
      <c r="H7" s="2" t="s">
        <v>72</v>
      </c>
      <c r="I7" s="2" t="s">
        <v>73</v>
      </c>
      <c r="J7" s="2" t="s">
        <v>10</v>
      </c>
      <c r="K7" s="2" t="s">
        <v>74</v>
      </c>
      <c r="L7" s="2" t="s">
        <v>75</v>
      </c>
      <c r="M7" s="2" t="s">
        <v>76</v>
      </c>
      <c r="N7" s="2"/>
      <c r="O7" s="2" t="s">
        <v>77</v>
      </c>
      <c r="P7" s="2"/>
      <c r="Q7" s="3"/>
      <c r="R7" s="2"/>
    </row>
    <row r="8" spans="1:26">
      <c r="A8" s="2" t="s">
        <v>93</v>
      </c>
      <c r="B8" s="2" t="s">
        <v>38</v>
      </c>
      <c r="C8" s="2" t="s">
        <v>94</v>
      </c>
      <c r="D8" s="2" t="s">
        <v>95</v>
      </c>
      <c r="E8" s="2" t="s">
        <v>96</v>
      </c>
      <c r="F8" s="2" t="s">
        <v>70</v>
      </c>
      <c r="G8" s="2" t="s">
        <v>71</v>
      </c>
      <c r="H8" s="2" t="s">
        <v>72</v>
      </c>
      <c r="I8" s="2" t="s">
        <v>73</v>
      </c>
      <c r="J8" s="2" t="s">
        <v>10</v>
      </c>
      <c r="K8" s="2" t="s">
        <v>74</v>
      </c>
      <c r="L8" s="2" t="s">
        <v>75</v>
      </c>
      <c r="M8" s="2" t="s">
        <v>76</v>
      </c>
      <c r="N8" s="2"/>
      <c r="O8" s="2" t="s">
        <v>77</v>
      </c>
      <c r="P8" s="2"/>
      <c r="Q8" s="3"/>
      <c r="R8" s="2"/>
    </row>
    <row r="9" spans="1:26">
      <c r="A9" s="2" t="s">
        <v>97</v>
      </c>
      <c r="B9" s="2" t="s">
        <v>38</v>
      </c>
      <c r="C9" s="2" t="s">
        <v>94</v>
      </c>
      <c r="D9" s="2" t="s">
        <v>98</v>
      </c>
      <c r="E9" s="2" t="s">
        <v>99</v>
      </c>
      <c r="F9" s="2" t="s">
        <v>70</v>
      </c>
      <c r="G9" s="2" t="s">
        <v>71</v>
      </c>
      <c r="H9" s="2" t="s">
        <v>72</v>
      </c>
      <c r="I9" s="2" t="s">
        <v>73</v>
      </c>
      <c r="J9" s="2" t="s">
        <v>10</v>
      </c>
      <c r="K9" s="2" t="s">
        <v>74</v>
      </c>
      <c r="L9" s="2" t="s">
        <v>75</v>
      </c>
      <c r="M9" s="2" t="s">
        <v>76</v>
      </c>
      <c r="N9" s="2"/>
      <c r="O9" s="2" t="s">
        <v>77</v>
      </c>
      <c r="P9" s="2"/>
      <c r="Q9" s="3"/>
      <c r="R9" s="2"/>
    </row>
    <row r="10" spans="1:26">
      <c r="A10" s="2" t="s">
        <v>100</v>
      </c>
      <c r="B10" s="2" t="s">
        <v>38</v>
      </c>
      <c r="C10" s="2" t="s">
        <v>94</v>
      </c>
      <c r="D10" s="2" t="s">
        <v>101</v>
      </c>
      <c r="E10" s="2" t="s">
        <v>102</v>
      </c>
      <c r="F10" s="2" t="s">
        <v>70</v>
      </c>
      <c r="G10" s="2" t="s">
        <v>71</v>
      </c>
      <c r="H10" s="2" t="s">
        <v>72</v>
      </c>
      <c r="I10" s="2" t="s">
        <v>73</v>
      </c>
      <c r="J10" s="2" t="s">
        <v>10</v>
      </c>
      <c r="K10" s="2" t="s">
        <v>74</v>
      </c>
      <c r="L10" s="2" t="s">
        <v>75</v>
      </c>
      <c r="M10" s="2" t="s">
        <v>76</v>
      </c>
      <c r="N10" s="2"/>
      <c r="O10" s="2" t="s">
        <v>77</v>
      </c>
      <c r="P10" s="2"/>
      <c r="Q10" s="3"/>
      <c r="R10" s="2"/>
    </row>
    <row r="11" spans="1:26" ht="25.5">
      <c r="A11" s="2" t="s">
        <v>103</v>
      </c>
      <c r="B11" s="2" t="s">
        <v>38</v>
      </c>
      <c r="C11" s="2" t="s">
        <v>94</v>
      </c>
      <c r="D11" s="2" t="s">
        <v>104</v>
      </c>
      <c r="E11" s="2" t="s">
        <v>105</v>
      </c>
      <c r="F11" s="2" t="s">
        <v>70</v>
      </c>
      <c r="G11" s="2" t="s">
        <v>71</v>
      </c>
      <c r="H11" s="2" t="s">
        <v>72</v>
      </c>
      <c r="I11" s="2" t="s">
        <v>73</v>
      </c>
      <c r="J11" s="2" t="s">
        <v>10</v>
      </c>
      <c r="K11" s="2" t="s">
        <v>74</v>
      </c>
      <c r="L11" s="2" t="s">
        <v>75</v>
      </c>
      <c r="M11" s="2" t="s">
        <v>76</v>
      </c>
      <c r="N11" s="2"/>
      <c r="O11" s="2" t="s">
        <v>77</v>
      </c>
      <c r="P11" s="2"/>
      <c r="Q11" s="3"/>
      <c r="R11" s="2"/>
    </row>
    <row r="12" spans="1:26" ht="25.5">
      <c r="A12" s="2" t="s">
        <v>106</v>
      </c>
      <c r="B12" s="2" t="s">
        <v>38</v>
      </c>
      <c r="C12" s="2" t="s">
        <v>107</v>
      </c>
      <c r="D12" s="2" t="s">
        <v>108</v>
      </c>
      <c r="E12" s="2" t="s">
        <v>109</v>
      </c>
      <c r="F12" s="2" t="s">
        <v>70</v>
      </c>
      <c r="G12" s="2" t="s">
        <v>71</v>
      </c>
      <c r="H12" s="2" t="s">
        <v>72</v>
      </c>
      <c r="I12" s="2" t="s">
        <v>73</v>
      </c>
      <c r="J12" s="2" t="s">
        <v>10</v>
      </c>
      <c r="K12" s="2" t="s">
        <v>74</v>
      </c>
      <c r="L12" s="2" t="s">
        <v>75</v>
      </c>
      <c r="M12" s="2" t="s">
        <v>76</v>
      </c>
      <c r="N12" s="2"/>
      <c r="O12" s="2" t="s">
        <v>77</v>
      </c>
      <c r="P12" s="2"/>
      <c r="Q12" s="3"/>
      <c r="R12" s="2"/>
    </row>
    <row r="13" spans="1:26">
      <c r="A13" s="2" t="s">
        <v>110</v>
      </c>
      <c r="B13" s="2" t="s">
        <v>38</v>
      </c>
      <c r="C13" s="2" t="s">
        <v>107</v>
      </c>
      <c r="D13" s="2" t="s">
        <v>111</v>
      </c>
      <c r="E13" s="2" t="s">
        <v>112</v>
      </c>
      <c r="F13" s="2" t="s">
        <v>70</v>
      </c>
      <c r="G13" s="2" t="s">
        <v>71</v>
      </c>
      <c r="H13" s="2" t="s">
        <v>72</v>
      </c>
      <c r="I13" s="2" t="s">
        <v>73</v>
      </c>
      <c r="J13" s="2" t="s">
        <v>10</v>
      </c>
      <c r="K13" s="2" t="s">
        <v>74</v>
      </c>
      <c r="L13" s="2" t="s">
        <v>75</v>
      </c>
      <c r="M13" s="2" t="s">
        <v>76</v>
      </c>
      <c r="N13" s="2"/>
      <c r="O13" s="2" t="s">
        <v>77</v>
      </c>
      <c r="P13" s="2"/>
      <c r="Q13" s="3"/>
      <c r="R13" s="2"/>
    </row>
    <row r="14" spans="1:26">
      <c r="A14" s="2" t="s">
        <v>113</v>
      </c>
      <c r="B14" s="2" t="s">
        <v>38</v>
      </c>
      <c r="C14" s="2" t="s">
        <v>107</v>
      </c>
      <c r="D14" s="2" t="s">
        <v>114</v>
      </c>
      <c r="E14" s="2" t="s">
        <v>115</v>
      </c>
      <c r="F14" s="2" t="s">
        <v>70</v>
      </c>
      <c r="G14" s="2" t="s">
        <v>71</v>
      </c>
      <c r="H14" s="2" t="s">
        <v>72</v>
      </c>
      <c r="I14" s="2" t="s">
        <v>73</v>
      </c>
      <c r="J14" s="2" t="s">
        <v>10</v>
      </c>
      <c r="K14" s="2" t="s">
        <v>74</v>
      </c>
      <c r="L14" s="2" t="s">
        <v>75</v>
      </c>
      <c r="M14" s="2" t="s">
        <v>76</v>
      </c>
      <c r="N14" s="2"/>
      <c r="O14" s="2" t="s">
        <v>77</v>
      </c>
      <c r="P14" s="2"/>
      <c r="Q14" s="3"/>
      <c r="R14" s="2"/>
    </row>
    <row r="15" spans="1:26" ht="25.5">
      <c r="A15" s="2" t="s">
        <v>116</v>
      </c>
      <c r="B15" s="2" t="s">
        <v>38</v>
      </c>
      <c r="C15" s="2" t="s">
        <v>107</v>
      </c>
      <c r="D15" s="2" t="s">
        <v>117</v>
      </c>
      <c r="E15" s="2" t="s">
        <v>118</v>
      </c>
      <c r="F15" s="2" t="s">
        <v>70</v>
      </c>
      <c r="G15" s="2" t="s">
        <v>71</v>
      </c>
      <c r="H15" s="2" t="s">
        <v>72</v>
      </c>
      <c r="I15" s="2" t="s">
        <v>73</v>
      </c>
      <c r="J15" s="2" t="s">
        <v>10</v>
      </c>
      <c r="K15" s="2" t="s">
        <v>74</v>
      </c>
      <c r="L15" s="2" t="s">
        <v>75</v>
      </c>
      <c r="M15" s="2" t="s">
        <v>76</v>
      </c>
      <c r="N15" s="2"/>
      <c r="O15" s="2" t="s">
        <v>77</v>
      </c>
      <c r="P15" s="2"/>
      <c r="Q15" s="3"/>
      <c r="R15" s="2"/>
    </row>
    <row r="16" spans="1:26" ht="25.5">
      <c r="A16" s="2" t="s">
        <v>119</v>
      </c>
      <c r="B16" s="2" t="s">
        <v>38</v>
      </c>
      <c r="C16" s="2" t="s">
        <v>120</v>
      </c>
      <c r="D16" s="2" t="s">
        <v>121</v>
      </c>
      <c r="E16" s="2" t="s">
        <v>122</v>
      </c>
      <c r="F16" s="2" t="s">
        <v>70</v>
      </c>
      <c r="G16" s="2" t="s">
        <v>71</v>
      </c>
      <c r="H16" s="2" t="s">
        <v>72</v>
      </c>
      <c r="I16" s="2" t="s">
        <v>73</v>
      </c>
      <c r="J16" s="2" t="s">
        <v>10</v>
      </c>
      <c r="K16" s="2" t="s">
        <v>74</v>
      </c>
      <c r="L16" s="2" t="s">
        <v>75</v>
      </c>
      <c r="M16" s="2" t="s">
        <v>76</v>
      </c>
      <c r="N16" s="2"/>
      <c r="O16" s="2" t="s">
        <v>77</v>
      </c>
      <c r="P16" s="2"/>
      <c r="Q16" s="3"/>
      <c r="R16" s="2"/>
    </row>
    <row r="17" spans="1:18">
      <c r="A17" s="2" t="s">
        <v>123</v>
      </c>
      <c r="B17" s="2" t="s">
        <v>39</v>
      </c>
      <c r="C17" s="2" t="s">
        <v>124</v>
      </c>
      <c r="D17" s="2" t="s">
        <v>125</v>
      </c>
      <c r="E17" s="2" t="s">
        <v>126</v>
      </c>
      <c r="F17" s="2" t="s">
        <v>70</v>
      </c>
      <c r="G17" s="2" t="s">
        <v>127</v>
      </c>
      <c r="H17" s="2" t="s">
        <v>72</v>
      </c>
      <c r="I17" s="2" t="s">
        <v>73</v>
      </c>
      <c r="J17" s="2" t="s">
        <v>10</v>
      </c>
      <c r="K17" s="2" t="s">
        <v>128</v>
      </c>
      <c r="L17" s="2" t="s">
        <v>75</v>
      </c>
      <c r="M17" s="2" t="s">
        <v>76</v>
      </c>
      <c r="N17" s="2"/>
      <c r="O17" s="2" t="s">
        <v>77</v>
      </c>
      <c r="P17" s="2"/>
      <c r="Q17" s="3"/>
      <c r="R17" s="2"/>
    </row>
    <row r="18" spans="1:18">
      <c r="A18" s="2" t="s">
        <v>129</v>
      </c>
      <c r="B18" s="2" t="s">
        <v>39</v>
      </c>
      <c r="C18" s="2" t="s">
        <v>124</v>
      </c>
      <c r="D18" s="2" t="s">
        <v>130</v>
      </c>
      <c r="E18" s="2" t="s">
        <v>131</v>
      </c>
      <c r="F18" s="2" t="s">
        <v>70</v>
      </c>
      <c r="G18" s="2" t="s">
        <v>127</v>
      </c>
      <c r="H18" s="2" t="s">
        <v>72</v>
      </c>
      <c r="I18" s="2" t="s">
        <v>73</v>
      </c>
      <c r="J18" s="2" t="s">
        <v>10</v>
      </c>
      <c r="K18" s="2" t="s">
        <v>128</v>
      </c>
      <c r="L18" s="2" t="s">
        <v>75</v>
      </c>
      <c r="M18" s="2" t="s">
        <v>76</v>
      </c>
      <c r="N18" s="2"/>
      <c r="O18" s="2" t="s">
        <v>77</v>
      </c>
      <c r="P18" s="2"/>
      <c r="Q18" s="3"/>
      <c r="R18" s="2"/>
    </row>
    <row r="19" spans="1:18" ht="25.5">
      <c r="A19" s="2" t="s">
        <v>132</v>
      </c>
      <c r="B19" s="2" t="s">
        <v>39</v>
      </c>
      <c r="C19" s="2" t="s">
        <v>124</v>
      </c>
      <c r="D19" s="2" t="s">
        <v>133</v>
      </c>
      <c r="E19" s="2" t="s">
        <v>134</v>
      </c>
      <c r="F19" s="2" t="s">
        <v>70</v>
      </c>
      <c r="G19" s="2" t="s">
        <v>127</v>
      </c>
      <c r="H19" s="2" t="s">
        <v>72</v>
      </c>
      <c r="I19" s="2" t="s">
        <v>73</v>
      </c>
      <c r="J19" s="2" t="s">
        <v>10</v>
      </c>
      <c r="K19" s="2" t="s">
        <v>128</v>
      </c>
      <c r="L19" s="2" t="s">
        <v>75</v>
      </c>
      <c r="M19" s="2" t="s">
        <v>76</v>
      </c>
      <c r="N19" s="2"/>
      <c r="O19" s="2" t="s">
        <v>77</v>
      </c>
      <c r="P19" s="2"/>
      <c r="Q19" s="3"/>
      <c r="R19" s="2"/>
    </row>
    <row r="20" spans="1:18" ht="25.5">
      <c r="A20" s="2" t="s">
        <v>135</v>
      </c>
      <c r="B20" s="2" t="s">
        <v>39</v>
      </c>
      <c r="C20" s="2" t="s">
        <v>124</v>
      </c>
      <c r="D20" s="2" t="s">
        <v>136</v>
      </c>
      <c r="E20" s="2" t="s">
        <v>137</v>
      </c>
      <c r="F20" s="2" t="s">
        <v>70</v>
      </c>
      <c r="G20" s="2" t="s">
        <v>127</v>
      </c>
      <c r="H20" s="2" t="s">
        <v>72</v>
      </c>
      <c r="I20" s="2" t="s">
        <v>73</v>
      </c>
      <c r="J20" s="2" t="s">
        <v>10</v>
      </c>
      <c r="K20" s="2" t="s">
        <v>128</v>
      </c>
      <c r="L20" s="2" t="s">
        <v>75</v>
      </c>
      <c r="M20" s="2" t="s">
        <v>76</v>
      </c>
      <c r="N20" s="2"/>
      <c r="O20" s="2" t="s">
        <v>77</v>
      </c>
      <c r="P20" s="2"/>
      <c r="Q20" s="3"/>
      <c r="R20" s="2"/>
    </row>
    <row r="21" spans="1:18" ht="25.5">
      <c r="A21" s="2" t="s">
        <v>138</v>
      </c>
      <c r="B21" s="2" t="s">
        <v>39</v>
      </c>
      <c r="C21" s="2" t="s">
        <v>124</v>
      </c>
      <c r="D21" s="2" t="s">
        <v>139</v>
      </c>
      <c r="E21" s="2" t="s">
        <v>140</v>
      </c>
      <c r="F21" s="2" t="s">
        <v>70</v>
      </c>
      <c r="G21" s="2" t="s">
        <v>127</v>
      </c>
      <c r="H21" s="2" t="s">
        <v>72</v>
      </c>
      <c r="I21" s="2" t="s">
        <v>73</v>
      </c>
      <c r="J21" s="2" t="s">
        <v>10</v>
      </c>
      <c r="K21" s="2" t="s">
        <v>128</v>
      </c>
      <c r="L21" s="2" t="s">
        <v>75</v>
      </c>
      <c r="M21" s="2" t="s">
        <v>76</v>
      </c>
      <c r="N21" s="2"/>
      <c r="O21" s="2" t="s">
        <v>77</v>
      </c>
      <c r="P21" s="2"/>
      <c r="Q21" s="3"/>
      <c r="R21" s="2"/>
    </row>
    <row r="22" spans="1:18">
      <c r="A22" s="2" t="s">
        <v>141</v>
      </c>
      <c r="B22" s="2" t="s">
        <v>39</v>
      </c>
      <c r="C22" s="2" t="s">
        <v>142</v>
      </c>
      <c r="D22" s="2" t="s">
        <v>143</v>
      </c>
      <c r="E22" s="2" t="s">
        <v>144</v>
      </c>
      <c r="F22" s="2" t="s">
        <v>70</v>
      </c>
      <c r="G22" s="2" t="s">
        <v>127</v>
      </c>
      <c r="H22" s="2" t="s">
        <v>72</v>
      </c>
      <c r="I22" s="2" t="s">
        <v>73</v>
      </c>
      <c r="J22" s="2" t="s">
        <v>10</v>
      </c>
      <c r="K22" s="2" t="s">
        <v>128</v>
      </c>
      <c r="L22" s="2" t="s">
        <v>75</v>
      </c>
      <c r="M22" s="2" t="s">
        <v>76</v>
      </c>
      <c r="N22" s="2"/>
      <c r="O22" s="2" t="s">
        <v>77</v>
      </c>
      <c r="P22" s="2"/>
      <c r="Q22" s="3"/>
      <c r="R22" s="2"/>
    </row>
    <row r="23" spans="1:18">
      <c r="A23" s="2" t="s">
        <v>145</v>
      </c>
      <c r="B23" s="2" t="s">
        <v>39</v>
      </c>
      <c r="C23" s="2" t="s">
        <v>142</v>
      </c>
      <c r="D23" s="2" t="s">
        <v>146</v>
      </c>
      <c r="E23" s="2" t="s">
        <v>147</v>
      </c>
      <c r="F23" s="2" t="s">
        <v>70</v>
      </c>
      <c r="G23" s="2" t="s">
        <v>127</v>
      </c>
      <c r="H23" s="2" t="s">
        <v>72</v>
      </c>
      <c r="I23" s="2" t="s">
        <v>73</v>
      </c>
      <c r="J23" s="2" t="s">
        <v>10</v>
      </c>
      <c r="K23" s="2" t="s">
        <v>128</v>
      </c>
      <c r="L23" s="2" t="s">
        <v>75</v>
      </c>
      <c r="M23" s="2" t="s">
        <v>76</v>
      </c>
      <c r="N23" s="2"/>
      <c r="O23" s="2" t="s">
        <v>77</v>
      </c>
      <c r="P23" s="2"/>
      <c r="Q23" s="3"/>
      <c r="R23" s="2"/>
    </row>
    <row r="24" spans="1:18">
      <c r="A24" s="2" t="s">
        <v>148</v>
      </c>
      <c r="B24" s="2" t="s">
        <v>39</v>
      </c>
      <c r="C24" s="2" t="s">
        <v>142</v>
      </c>
      <c r="D24" s="2" t="s">
        <v>149</v>
      </c>
      <c r="E24" s="2" t="s">
        <v>150</v>
      </c>
      <c r="F24" s="2" t="s">
        <v>70</v>
      </c>
      <c r="G24" s="2" t="s">
        <v>127</v>
      </c>
      <c r="H24" s="2" t="s">
        <v>72</v>
      </c>
      <c r="I24" s="2" t="s">
        <v>73</v>
      </c>
      <c r="J24" s="2" t="s">
        <v>10</v>
      </c>
      <c r="K24" s="2" t="s">
        <v>128</v>
      </c>
      <c r="L24" s="2" t="s">
        <v>75</v>
      </c>
      <c r="M24" s="2" t="s">
        <v>76</v>
      </c>
      <c r="N24" s="2"/>
      <c r="O24" s="2" t="s">
        <v>77</v>
      </c>
      <c r="P24" s="2"/>
      <c r="Q24" s="3"/>
      <c r="R24" s="2"/>
    </row>
    <row r="25" spans="1:18">
      <c r="A25" s="2" t="s">
        <v>151</v>
      </c>
      <c r="B25" s="2" t="s">
        <v>39</v>
      </c>
      <c r="C25" s="2" t="s">
        <v>142</v>
      </c>
      <c r="D25" s="2" t="s">
        <v>152</v>
      </c>
      <c r="E25" s="2" t="s">
        <v>153</v>
      </c>
      <c r="F25" s="2" t="s">
        <v>70</v>
      </c>
      <c r="G25" s="2" t="s">
        <v>127</v>
      </c>
      <c r="H25" s="2" t="s">
        <v>72</v>
      </c>
      <c r="I25" s="2" t="s">
        <v>73</v>
      </c>
      <c r="J25" s="2" t="s">
        <v>10</v>
      </c>
      <c r="K25" s="2" t="s">
        <v>128</v>
      </c>
      <c r="L25" s="2" t="s">
        <v>75</v>
      </c>
      <c r="M25" s="2" t="s">
        <v>76</v>
      </c>
      <c r="N25" s="2"/>
      <c r="O25" s="2" t="s">
        <v>77</v>
      </c>
      <c r="P25" s="2"/>
      <c r="Q25" s="3"/>
      <c r="R25" s="2"/>
    </row>
    <row r="26" spans="1:18">
      <c r="A26" s="2" t="s">
        <v>154</v>
      </c>
      <c r="B26" s="2" t="s">
        <v>39</v>
      </c>
      <c r="C26" s="2" t="s">
        <v>142</v>
      </c>
      <c r="D26" s="2" t="s">
        <v>155</v>
      </c>
      <c r="E26" s="2" t="s">
        <v>156</v>
      </c>
      <c r="F26" s="2" t="s">
        <v>70</v>
      </c>
      <c r="G26" s="2" t="s">
        <v>127</v>
      </c>
      <c r="H26" s="2" t="s">
        <v>72</v>
      </c>
      <c r="I26" s="2" t="s">
        <v>73</v>
      </c>
      <c r="J26" s="2" t="s">
        <v>10</v>
      </c>
      <c r="K26" s="2" t="s">
        <v>128</v>
      </c>
      <c r="L26" s="2" t="s">
        <v>75</v>
      </c>
      <c r="M26" s="2" t="s">
        <v>76</v>
      </c>
      <c r="N26" s="2"/>
      <c r="O26" s="2" t="s">
        <v>77</v>
      </c>
      <c r="P26" s="2"/>
      <c r="Q26" s="3"/>
      <c r="R26" s="2"/>
    </row>
    <row r="27" spans="1:18">
      <c r="A27" s="2" t="s">
        <v>157</v>
      </c>
      <c r="B27" s="2" t="s">
        <v>39</v>
      </c>
      <c r="C27" s="2" t="s">
        <v>158</v>
      </c>
      <c r="D27" s="2" t="s">
        <v>159</v>
      </c>
      <c r="E27" s="2" t="s">
        <v>160</v>
      </c>
      <c r="F27" s="2" t="s">
        <v>70</v>
      </c>
      <c r="G27" s="2" t="s">
        <v>127</v>
      </c>
      <c r="H27" s="2" t="s">
        <v>72</v>
      </c>
      <c r="I27" s="2" t="s">
        <v>73</v>
      </c>
      <c r="J27" s="2" t="s">
        <v>10</v>
      </c>
      <c r="K27" s="2" t="s">
        <v>128</v>
      </c>
      <c r="L27" s="2" t="s">
        <v>75</v>
      </c>
      <c r="M27" s="2" t="s">
        <v>76</v>
      </c>
      <c r="N27" s="2"/>
      <c r="O27" s="2" t="s">
        <v>77</v>
      </c>
      <c r="P27" s="2"/>
      <c r="Q27" s="3"/>
      <c r="R27" s="2"/>
    </row>
    <row r="28" spans="1:18">
      <c r="A28" s="2" t="s">
        <v>161</v>
      </c>
      <c r="B28" s="2" t="s">
        <v>39</v>
      </c>
      <c r="C28" s="2" t="s">
        <v>158</v>
      </c>
      <c r="D28" s="2" t="s">
        <v>162</v>
      </c>
      <c r="E28" s="2" t="s">
        <v>163</v>
      </c>
      <c r="F28" s="2" t="s">
        <v>70</v>
      </c>
      <c r="G28" s="2" t="s">
        <v>127</v>
      </c>
      <c r="H28" s="2" t="s">
        <v>72</v>
      </c>
      <c r="I28" s="2" t="s">
        <v>73</v>
      </c>
      <c r="J28" s="2" t="s">
        <v>10</v>
      </c>
      <c r="K28" s="2" t="s">
        <v>128</v>
      </c>
      <c r="L28" s="2" t="s">
        <v>75</v>
      </c>
      <c r="M28" s="2" t="s">
        <v>76</v>
      </c>
      <c r="N28" s="2"/>
      <c r="O28" s="2" t="s">
        <v>77</v>
      </c>
      <c r="P28" s="2"/>
      <c r="Q28" s="3"/>
      <c r="R28" s="2"/>
    </row>
    <row r="29" spans="1:18">
      <c r="A29" s="2" t="s">
        <v>164</v>
      </c>
      <c r="B29" s="2" t="s">
        <v>39</v>
      </c>
      <c r="C29" s="2" t="s">
        <v>165</v>
      </c>
      <c r="D29" s="2" t="s">
        <v>166</v>
      </c>
      <c r="E29" s="2" t="s">
        <v>167</v>
      </c>
      <c r="F29" s="2" t="s">
        <v>70</v>
      </c>
      <c r="G29" s="2" t="s">
        <v>127</v>
      </c>
      <c r="H29" s="2" t="s">
        <v>72</v>
      </c>
      <c r="I29" s="2" t="s">
        <v>73</v>
      </c>
      <c r="J29" s="2" t="s">
        <v>10</v>
      </c>
      <c r="K29" s="2" t="s">
        <v>128</v>
      </c>
      <c r="L29" s="2" t="s">
        <v>75</v>
      </c>
      <c r="M29" s="2" t="s">
        <v>76</v>
      </c>
      <c r="N29" s="2"/>
      <c r="O29" s="2" t="s">
        <v>77</v>
      </c>
      <c r="P29" s="2"/>
      <c r="Q29" s="3"/>
      <c r="R29" s="2"/>
    </row>
    <row r="30" spans="1:18">
      <c r="A30" s="2" t="s">
        <v>168</v>
      </c>
      <c r="B30" s="2" t="s">
        <v>39</v>
      </c>
      <c r="C30" s="2" t="s">
        <v>165</v>
      </c>
      <c r="D30" s="2" t="s">
        <v>169</v>
      </c>
      <c r="E30" s="2" t="s">
        <v>170</v>
      </c>
      <c r="F30" s="2" t="s">
        <v>70</v>
      </c>
      <c r="G30" s="2" t="s">
        <v>127</v>
      </c>
      <c r="H30" s="2" t="s">
        <v>72</v>
      </c>
      <c r="I30" s="2" t="s">
        <v>73</v>
      </c>
      <c r="J30" s="2" t="s">
        <v>10</v>
      </c>
      <c r="K30" s="2" t="s">
        <v>128</v>
      </c>
      <c r="L30" s="2" t="s">
        <v>75</v>
      </c>
      <c r="M30" s="2" t="s">
        <v>76</v>
      </c>
      <c r="N30" s="2"/>
      <c r="O30" s="2" t="s">
        <v>77</v>
      </c>
      <c r="P30" s="2"/>
      <c r="Q30" s="3"/>
      <c r="R30" s="2"/>
    </row>
    <row r="31" spans="1:18" ht="25.5">
      <c r="A31" s="2" t="s">
        <v>171</v>
      </c>
      <c r="B31" s="2" t="s">
        <v>39</v>
      </c>
      <c r="C31" s="2" t="s">
        <v>172</v>
      </c>
      <c r="D31" s="2" t="s">
        <v>173</v>
      </c>
      <c r="E31" s="2" t="s">
        <v>174</v>
      </c>
      <c r="F31" s="2" t="s">
        <v>70</v>
      </c>
      <c r="G31" s="2" t="s">
        <v>127</v>
      </c>
      <c r="H31" s="2" t="s">
        <v>72</v>
      </c>
      <c r="I31" s="2" t="s">
        <v>73</v>
      </c>
      <c r="J31" s="2" t="s">
        <v>10</v>
      </c>
      <c r="K31" s="2" t="s">
        <v>128</v>
      </c>
      <c r="L31" s="2" t="s">
        <v>75</v>
      </c>
      <c r="M31" s="2" t="s">
        <v>76</v>
      </c>
      <c r="N31" s="2"/>
      <c r="O31" s="2" t="s">
        <v>77</v>
      </c>
      <c r="P31" s="2"/>
      <c r="Q31" s="3"/>
      <c r="R31" s="2"/>
    </row>
    <row r="32" spans="1:18">
      <c r="A32" s="2" t="s">
        <v>175</v>
      </c>
      <c r="B32" s="2" t="s">
        <v>39</v>
      </c>
      <c r="C32" s="2" t="s">
        <v>172</v>
      </c>
      <c r="D32" s="2" t="s">
        <v>176</v>
      </c>
      <c r="E32" s="2" t="s">
        <v>177</v>
      </c>
      <c r="F32" s="2" t="s">
        <v>70</v>
      </c>
      <c r="G32" s="2" t="s">
        <v>127</v>
      </c>
      <c r="H32" s="2" t="s">
        <v>72</v>
      </c>
      <c r="I32" s="2" t="s">
        <v>73</v>
      </c>
      <c r="J32" s="2" t="s">
        <v>10</v>
      </c>
      <c r="K32" s="2" t="s">
        <v>128</v>
      </c>
      <c r="L32" s="2" t="s">
        <v>75</v>
      </c>
      <c r="M32" s="2" t="s">
        <v>76</v>
      </c>
      <c r="N32" s="2"/>
      <c r="O32" s="2" t="s">
        <v>77</v>
      </c>
      <c r="P32" s="2"/>
      <c r="Q32" s="3"/>
      <c r="R32" s="2"/>
    </row>
    <row r="33" spans="1:18" ht="25.5">
      <c r="A33" s="2" t="s">
        <v>178</v>
      </c>
      <c r="B33" s="2" t="s">
        <v>39</v>
      </c>
      <c r="C33" s="2" t="s">
        <v>179</v>
      </c>
      <c r="D33" s="2" t="s">
        <v>180</v>
      </c>
      <c r="E33" s="2" t="s">
        <v>181</v>
      </c>
      <c r="F33" s="2" t="s">
        <v>70</v>
      </c>
      <c r="G33" s="2" t="s">
        <v>127</v>
      </c>
      <c r="H33" s="2" t="s">
        <v>72</v>
      </c>
      <c r="I33" s="2" t="s">
        <v>73</v>
      </c>
      <c r="J33" s="2" t="s">
        <v>10</v>
      </c>
      <c r="K33" s="2" t="s">
        <v>128</v>
      </c>
      <c r="L33" s="2" t="s">
        <v>75</v>
      </c>
      <c r="M33" s="2" t="s">
        <v>76</v>
      </c>
      <c r="N33" s="2"/>
      <c r="O33" s="2" t="s">
        <v>77</v>
      </c>
      <c r="P33" s="2"/>
      <c r="Q33" s="3"/>
      <c r="R33" s="2"/>
    </row>
    <row r="34" spans="1:18">
      <c r="A34" s="2" t="s">
        <v>182</v>
      </c>
      <c r="B34" s="2" t="s">
        <v>39</v>
      </c>
      <c r="C34" s="2" t="s">
        <v>179</v>
      </c>
      <c r="D34" s="2" t="s">
        <v>183</v>
      </c>
      <c r="E34" s="2" t="s">
        <v>184</v>
      </c>
      <c r="F34" s="2" t="s">
        <v>70</v>
      </c>
      <c r="G34" s="2" t="s">
        <v>127</v>
      </c>
      <c r="H34" s="2" t="s">
        <v>72</v>
      </c>
      <c r="I34" s="2" t="s">
        <v>73</v>
      </c>
      <c r="J34" s="2" t="s">
        <v>10</v>
      </c>
      <c r="K34" s="2" t="s">
        <v>128</v>
      </c>
      <c r="L34" s="2" t="s">
        <v>75</v>
      </c>
      <c r="M34" s="2" t="s">
        <v>76</v>
      </c>
      <c r="N34" s="2"/>
      <c r="O34" s="2" t="s">
        <v>77</v>
      </c>
      <c r="P34" s="2"/>
      <c r="Q34" s="3"/>
      <c r="R34" s="2"/>
    </row>
    <row r="35" spans="1:18">
      <c r="A35" s="2" t="s">
        <v>185</v>
      </c>
      <c r="B35" s="2" t="s">
        <v>40</v>
      </c>
      <c r="C35" s="2" t="s">
        <v>186</v>
      </c>
      <c r="D35" s="2" t="s">
        <v>187</v>
      </c>
      <c r="E35" s="2" t="s">
        <v>188</v>
      </c>
      <c r="F35" s="2" t="s">
        <v>70</v>
      </c>
      <c r="G35" s="2" t="s">
        <v>189</v>
      </c>
      <c r="H35" s="2" t="s">
        <v>72</v>
      </c>
      <c r="I35" s="2" t="s">
        <v>73</v>
      </c>
      <c r="J35" s="2" t="s">
        <v>10</v>
      </c>
      <c r="K35" s="2" t="s">
        <v>74</v>
      </c>
      <c r="L35" s="2" t="s">
        <v>190</v>
      </c>
      <c r="M35" s="2" t="s">
        <v>191</v>
      </c>
      <c r="N35" s="2"/>
      <c r="O35" s="2" t="s">
        <v>77</v>
      </c>
      <c r="P35" s="2"/>
      <c r="Q35" s="3"/>
      <c r="R35" s="2"/>
    </row>
    <row r="36" spans="1:18">
      <c r="A36" s="2" t="s">
        <v>192</v>
      </c>
      <c r="B36" s="2" t="s">
        <v>40</v>
      </c>
      <c r="C36" s="2" t="s">
        <v>186</v>
      </c>
      <c r="D36" s="2" t="s">
        <v>193</v>
      </c>
      <c r="E36" s="2" t="s">
        <v>194</v>
      </c>
      <c r="F36" s="2" t="s">
        <v>70</v>
      </c>
      <c r="G36" s="2" t="s">
        <v>189</v>
      </c>
      <c r="H36" s="2" t="s">
        <v>72</v>
      </c>
      <c r="I36" s="2" t="s">
        <v>73</v>
      </c>
      <c r="J36" s="2" t="s">
        <v>10</v>
      </c>
      <c r="K36" s="2" t="s">
        <v>74</v>
      </c>
      <c r="L36" s="2" t="s">
        <v>190</v>
      </c>
      <c r="M36" s="2" t="s">
        <v>191</v>
      </c>
      <c r="N36" s="2"/>
      <c r="O36" s="2" t="s">
        <v>77</v>
      </c>
      <c r="P36" s="2"/>
      <c r="Q36" s="3"/>
      <c r="R36" s="2"/>
    </row>
    <row r="37" spans="1:18">
      <c r="A37" s="2" t="s">
        <v>195</v>
      </c>
      <c r="B37" s="2" t="s">
        <v>40</v>
      </c>
      <c r="C37" s="2" t="s">
        <v>186</v>
      </c>
      <c r="D37" s="2" t="s">
        <v>196</v>
      </c>
      <c r="E37" s="2" t="s">
        <v>197</v>
      </c>
      <c r="F37" s="2" t="s">
        <v>70</v>
      </c>
      <c r="G37" s="2" t="s">
        <v>189</v>
      </c>
      <c r="H37" s="2" t="s">
        <v>72</v>
      </c>
      <c r="I37" s="2" t="s">
        <v>73</v>
      </c>
      <c r="J37" s="2" t="s">
        <v>10</v>
      </c>
      <c r="K37" s="2" t="s">
        <v>74</v>
      </c>
      <c r="L37" s="2" t="s">
        <v>190</v>
      </c>
      <c r="M37" s="2" t="s">
        <v>191</v>
      </c>
      <c r="N37" s="2"/>
      <c r="O37" s="2" t="s">
        <v>77</v>
      </c>
      <c r="P37" s="2"/>
      <c r="Q37" s="3"/>
      <c r="R37" s="2"/>
    </row>
    <row r="38" spans="1:18" ht="25.5">
      <c r="A38" s="2" t="s">
        <v>198</v>
      </c>
      <c r="B38" s="2" t="s">
        <v>40</v>
      </c>
      <c r="C38" s="2" t="s">
        <v>186</v>
      </c>
      <c r="D38" s="2" t="s">
        <v>199</v>
      </c>
      <c r="E38" s="2" t="s">
        <v>200</v>
      </c>
      <c r="F38" s="2" t="s">
        <v>70</v>
      </c>
      <c r="G38" s="2" t="s">
        <v>189</v>
      </c>
      <c r="H38" s="2" t="s">
        <v>72</v>
      </c>
      <c r="I38" s="2" t="s">
        <v>73</v>
      </c>
      <c r="J38" s="2" t="s">
        <v>10</v>
      </c>
      <c r="K38" s="2" t="s">
        <v>74</v>
      </c>
      <c r="L38" s="2" t="s">
        <v>190</v>
      </c>
      <c r="M38" s="2" t="s">
        <v>191</v>
      </c>
      <c r="N38" s="2"/>
      <c r="O38" s="2" t="s">
        <v>77</v>
      </c>
      <c r="P38" s="2"/>
      <c r="Q38" s="3"/>
      <c r="R38" s="2"/>
    </row>
    <row r="39" spans="1:18">
      <c r="A39" s="2" t="s">
        <v>201</v>
      </c>
      <c r="B39" s="2" t="s">
        <v>40</v>
      </c>
      <c r="C39" s="2" t="s">
        <v>202</v>
      </c>
      <c r="D39" s="2" t="s">
        <v>203</v>
      </c>
      <c r="E39" s="2" t="s">
        <v>204</v>
      </c>
      <c r="F39" s="2" t="s">
        <v>70</v>
      </c>
      <c r="G39" s="2" t="s">
        <v>189</v>
      </c>
      <c r="H39" s="2" t="s">
        <v>72</v>
      </c>
      <c r="I39" s="2" t="s">
        <v>73</v>
      </c>
      <c r="J39" s="2" t="s">
        <v>10</v>
      </c>
      <c r="K39" s="2" t="s">
        <v>74</v>
      </c>
      <c r="L39" s="2" t="s">
        <v>190</v>
      </c>
      <c r="M39" s="2" t="s">
        <v>191</v>
      </c>
      <c r="N39" s="2"/>
      <c r="O39" s="2" t="s">
        <v>77</v>
      </c>
      <c r="P39" s="2"/>
      <c r="Q39" s="3"/>
      <c r="R39" s="2"/>
    </row>
    <row r="40" spans="1:18">
      <c r="A40" s="2" t="s">
        <v>205</v>
      </c>
      <c r="B40" s="2" t="s">
        <v>40</v>
      </c>
      <c r="C40" s="2" t="s">
        <v>202</v>
      </c>
      <c r="D40" s="2" t="s">
        <v>206</v>
      </c>
      <c r="E40" s="2" t="s">
        <v>207</v>
      </c>
      <c r="F40" s="2" t="s">
        <v>70</v>
      </c>
      <c r="G40" s="2" t="s">
        <v>189</v>
      </c>
      <c r="H40" s="2" t="s">
        <v>72</v>
      </c>
      <c r="I40" s="2" t="s">
        <v>73</v>
      </c>
      <c r="J40" s="2" t="s">
        <v>10</v>
      </c>
      <c r="K40" s="2" t="s">
        <v>74</v>
      </c>
      <c r="L40" s="2" t="s">
        <v>190</v>
      </c>
      <c r="M40" s="2" t="s">
        <v>191</v>
      </c>
      <c r="N40" s="2"/>
      <c r="O40" s="2" t="s">
        <v>77</v>
      </c>
      <c r="P40" s="2"/>
      <c r="Q40" s="3"/>
      <c r="R40" s="2"/>
    </row>
    <row r="41" spans="1:18">
      <c r="A41" s="2" t="s">
        <v>208</v>
      </c>
      <c r="B41" s="2" t="s">
        <v>40</v>
      </c>
      <c r="C41" s="2" t="s">
        <v>202</v>
      </c>
      <c r="D41" s="2" t="s">
        <v>209</v>
      </c>
      <c r="E41" s="2" t="s">
        <v>210</v>
      </c>
      <c r="F41" s="2" t="s">
        <v>70</v>
      </c>
      <c r="G41" s="2" t="s">
        <v>189</v>
      </c>
      <c r="H41" s="2" t="s">
        <v>72</v>
      </c>
      <c r="I41" s="2" t="s">
        <v>73</v>
      </c>
      <c r="J41" s="2" t="s">
        <v>10</v>
      </c>
      <c r="K41" s="2" t="s">
        <v>74</v>
      </c>
      <c r="L41" s="2" t="s">
        <v>190</v>
      </c>
      <c r="M41" s="2" t="s">
        <v>191</v>
      </c>
      <c r="N41" s="2"/>
      <c r="O41" s="2" t="s">
        <v>77</v>
      </c>
      <c r="P41" s="2"/>
      <c r="Q41" s="3"/>
      <c r="R41" s="2"/>
    </row>
    <row r="42" spans="1:18" ht="25.5">
      <c r="A42" s="2" t="s">
        <v>211</v>
      </c>
      <c r="B42" s="2" t="s">
        <v>40</v>
      </c>
      <c r="C42" s="2" t="s">
        <v>212</v>
      </c>
      <c r="D42" s="2" t="s">
        <v>213</v>
      </c>
      <c r="E42" s="2" t="s">
        <v>214</v>
      </c>
      <c r="F42" s="2" t="s">
        <v>70</v>
      </c>
      <c r="G42" s="2" t="s">
        <v>189</v>
      </c>
      <c r="H42" s="2" t="s">
        <v>72</v>
      </c>
      <c r="I42" s="2" t="s">
        <v>73</v>
      </c>
      <c r="J42" s="2" t="s">
        <v>10</v>
      </c>
      <c r="K42" s="2" t="s">
        <v>74</v>
      </c>
      <c r="L42" s="2" t="s">
        <v>190</v>
      </c>
      <c r="M42" s="2" t="s">
        <v>191</v>
      </c>
      <c r="N42" s="2"/>
      <c r="O42" s="2" t="s">
        <v>77</v>
      </c>
      <c r="P42" s="2"/>
      <c r="Q42" s="3"/>
      <c r="R42" s="2"/>
    </row>
    <row r="43" spans="1:18" ht="25.5">
      <c r="A43" s="2" t="s">
        <v>215</v>
      </c>
      <c r="B43" s="2" t="s">
        <v>40</v>
      </c>
      <c r="C43" s="2" t="s">
        <v>212</v>
      </c>
      <c r="D43" s="2" t="s">
        <v>216</v>
      </c>
      <c r="E43" s="2" t="s">
        <v>217</v>
      </c>
      <c r="F43" s="2" t="s">
        <v>70</v>
      </c>
      <c r="G43" s="2" t="s">
        <v>189</v>
      </c>
      <c r="H43" s="2" t="s">
        <v>72</v>
      </c>
      <c r="I43" s="2" t="s">
        <v>73</v>
      </c>
      <c r="J43" s="2" t="s">
        <v>10</v>
      </c>
      <c r="K43" s="2" t="s">
        <v>74</v>
      </c>
      <c r="L43" s="2" t="s">
        <v>190</v>
      </c>
      <c r="M43" s="2" t="s">
        <v>191</v>
      </c>
      <c r="N43" s="2"/>
      <c r="O43" s="2" t="s">
        <v>77</v>
      </c>
      <c r="P43" s="2"/>
      <c r="Q43" s="3"/>
      <c r="R43" s="2"/>
    </row>
    <row r="44" spans="1:18">
      <c r="A44" s="2" t="s">
        <v>218</v>
      </c>
      <c r="B44" s="2" t="s">
        <v>40</v>
      </c>
      <c r="C44" s="2" t="s">
        <v>219</v>
      </c>
      <c r="D44" s="2" t="s">
        <v>220</v>
      </c>
      <c r="E44" s="2" t="s">
        <v>221</v>
      </c>
      <c r="F44" s="2" t="s">
        <v>70</v>
      </c>
      <c r="G44" s="2" t="s">
        <v>189</v>
      </c>
      <c r="H44" s="2" t="s">
        <v>72</v>
      </c>
      <c r="I44" s="2" t="s">
        <v>73</v>
      </c>
      <c r="J44" s="2" t="s">
        <v>10</v>
      </c>
      <c r="K44" s="2" t="s">
        <v>74</v>
      </c>
      <c r="L44" s="2" t="s">
        <v>190</v>
      </c>
      <c r="M44" s="2" t="s">
        <v>191</v>
      </c>
      <c r="N44" s="2"/>
      <c r="O44" s="2" t="s">
        <v>77</v>
      </c>
      <c r="P44" s="2"/>
      <c r="Q44" s="3"/>
      <c r="R44" s="2"/>
    </row>
    <row r="45" spans="1:18" ht="25.5">
      <c r="A45" s="2" t="s">
        <v>222</v>
      </c>
      <c r="B45" s="2" t="s">
        <v>40</v>
      </c>
      <c r="C45" s="2" t="s">
        <v>219</v>
      </c>
      <c r="D45" s="2" t="s">
        <v>223</v>
      </c>
      <c r="E45" s="2" t="s">
        <v>224</v>
      </c>
      <c r="F45" s="2" t="s">
        <v>70</v>
      </c>
      <c r="G45" s="2" t="s">
        <v>189</v>
      </c>
      <c r="H45" s="2" t="s">
        <v>72</v>
      </c>
      <c r="I45" s="2" t="s">
        <v>73</v>
      </c>
      <c r="J45" s="2" t="s">
        <v>10</v>
      </c>
      <c r="K45" s="2" t="s">
        <v>74</v>
      </c>
      <c r="L45" s="2" t="s">
        <v>190</v>
      </c>
      <c r="M45" s="2" t="s">
        <v>191</v>
      </c>
      <c r="N45" s="2"/>
      <c r="O45" s="2" t="s">
        <v>77</v>
      </c>
      <c r="P45" s="2"/>
      <c r="Q45" s="3"/>
      <c r="R45" s="2"/>
    </row>
    <row r="46" spans="1:18">
      <c r="A46" s="2" t="s">
        <v>225</v>
      </c>
      <c r="B46" s="2" t="s">
        <v>40</v>
      </c>
      <c r="C46" s="2" t="s">
        <v>219</v>
      </c>
      <c r="D46" s="2" t="s">
        <v>226</v>
      </c>
      <c r="E46" s="2" t="s">
        <v>227</v>
      </c>
      <c r="F46" s="2" t="s">
        <v>70</v>
      </c>
      <c r="G46" s="2" t="s">
        <v>189</v>
      </c>
      <c r="H46" s="2" t="s">
        <v>72</v>
      </c>
      <c r="I46" s="2" t="s">
        <v>73</v>
      </c>
      <c r="J46" s="2" t="s">
        <v>10</v>
      </c>
      <c r="K46" s="2" t="s">
        <v>74</v>
      </c>
      <c r="L46" s="2" t="s">
        <v>190</v>
      </c>
      <c r="M46" s="2" t="s">
        <v>191</v>
      </c>
      <c r="N46" s="2"/>
      <c r="O46" s="2" t="s">
        <v>77</v>
      </c>
      <c r="P46" s="2"/>
      <c r="Q46" s="3"/>
      <c r="R46" s="2"/>
    </row>
    <row r="47" spans="1:18">
      <c r="A47" s="2" t="s">
        <v>228</v>
      </c>
      <c r="B47" s="2" t="s">
        <v>40</v>
      </c>
      <c r="C47" s="2" t="s">
        <v>219</v>
      </c>
      <c r="D47" s="2" t="s">
        <v>229</v>
      </c>
      <c r="E47" s="2" t="s">
        <v>230</v>
      </c>
      <c r="F47" s="2" t="s">
        <v>70</v>
      </c>
      <c r="G47" s="2" t="s">
        <v>189</v>
      </c>
      <c r="H47" s="2" t="s">
        <v>72</v>
      </c>
      <c r="I47" s="2" t="s">
        <v>73</v>
      </c>
      <c r="J47" s="2" t="s">
        <v>10</v>
      </c>
      <c r="K47" s="2" t="s">
        <v>74</v>
      </c>
      <c r="L47" s="2" t="s">
        <v>190</v>
      </c>
      <c r="M47" s="2" t="s">
        <v>191</v>
      </c>
      <c r="N47" s="2"/>
      <c r="O47" s="2" t="s">
        <v>77</v>
      </c>
      <c r="P47" s="2"/>
      <c r="Q47" s="3"/>
      <c r="R47" s="2"/>
    </row>
    <row r="48" spans="1:18">
      <c r="A48" s="2" t="s">
        <v>231</v>
      </c>
      <c r="B48" s="2" t="s">
        <v>40</v>
      </c>
      <c r="C48" s="2" t="s">
        <v>219</v>
      </c>
      <c r="D48" s="2" t="s">
        <v>232</v>
      </c>
      <c r="E48" s="2" t="s">
        <v>233</v>
      </c>
      <c r="F48" s="2" t="s">
        <v>70</v>
      </c>
      <c r="G48" s="2" t="s">
        <v>189</v>
      </c>
      <c r="H48" s="2" t="s">
        <v>72</v>
      </c>
      <c r="I48" s="2" t="s">
        <v>73</v>
      </c>
      <c r="J48" s="2" t="s">
        <v>10</v>
      </c>
      <c r="K48" s="2" t="s">
        <v>74</v>
      </c>
      <c r="L48" s="2" t="s">
        <v>190</v>
      </c>
      <c r="M48" s="2" t="s">
        <v>191</v>
      </c>
      <c r="N48" s="2"/>
      <c r="O48" s="2" t="s">
        <v>77</v>
      </c>
      <c r="P48" s="2"/>
      <c r="Q48" s="3"/>
      <c r="R48" s="2"/>
    </row>
    <row r="49" spans="1:18">
      <c r="A49" s="2" t="s">
        <v>234</v>
      </c>
      <c r="B49" s="2" t="s">
        <v>40</v>
      </c>
      <c r="C49" s="2" t="s">
        <v>219</v>
      </c>
      <c r="D49" s="2" t="s">
        <v>235</v>
      </c>
      <c r="E49" s="2" t="s">
        <v>236</v>
      </c>
      <c r="F49" s="2" t="s">
        <v>70</v>
      </c>
      <c r="G49" s="2" t="s">
        <v>189</v>
      </c>
      <c r="H49" s="2" t="s">
        <v>72</v>
      </c>
      <c r="I49" s="2" t="s">
        <v>73</v>
      </c>
      <c r="J49" s="2" t="s">
        <v>10</v>
      </c>
      <c r="K49" s="2" t="s">
        <v>74</v>
      </c>
      <c r="L49" s="2" t="s">
        <v>190</v>
      </c>
      <c r="M49" s="2" t="s">
        <v>191</v>
      </c>
      <c r="N49" s="2"/>
      <c r="O49" s="2" t="s">
        <v>77</v>
      </c>
      <c r="P49" s="2"/>
      <c r="Q49" s="3"/>
      <c r="R49" s="2"/>
    </row>
    <row r="50" spans="1:18">
      <c r="A50" s="2" t="s">
        <v>237</v>
      </c>
      <c r="B50" s="2" t="s">
        <v>40</v>
      </c>
      <c r="C50" s="2" t="s">
        <v>219</v>
      </c>
      <c r="D50" s="2" t="s">
        <v>238</v>
      </c>
      <c r="E50" s="2" t="s">
        <v>239</v>
      </c>
      <c r="F50" s="2" t="s">
        <v>70</v>
      </c>
      <c r="G50" s="2" t="s">
        <v>189</v>
      </c>
      <c r="H50" s="2" t="s">
        <v>72</v>
      </c>
      <c r="I50" s="2" t="s">
        <v>73</v>
      </c>
      <c r="J50" s="2" t="s">
        <v>10</v>
      </c>
      <c r="K50" s="2" t="s">
        <v>74</v>
      </c>
      <c r="L50" s="2" t="s">
        <v>190</v>
      </c>
      <c r="M50" s="2" t="s">
        <v>191</v>
      </c>
      <c r="N50" s="2"/>
      <c r="O50" s="2" t="s">
        <v>77</v>
      </c>
      <c r="P50" s="2"/>
      <c r="Q50" s="3"/>
      <c r="R50" s="2"/>
    </row>
    <row r="51" spans="1:18" ht="25.5">
      <c r="A51" s="2" t="s">
        <v>240</v>
      </c>
      <c r="B51" s="2" t="s">
        <v>40</v>
      </c>
      <c r="C51" s="2" t="s">
        <v>219</v>
      </c>
      <c r="D51" s="2" t="s">
        <v>241</v>
      </c>
      <c r="E51" s="2" t="s">
        <v>242</v>
      </c>
      <c r="F51" s="2" t="s">
        <v>70</v>
      </c>
      <c r="G51" s="2" t="s">
        <v>189</v>
      </c>
      <c r="H51" s="2" t="s">
        <v>72</v>
      </c>
      <c r="I51" s="2" t="s">
        <v>73</v>
      </c>
      <c r="J51" s="2" t="s">
        <v>10</v>
      </c>
      <c r="K51" s="2" t="s">
        <v>74</v>
      </c>
      <c r="L51" s="2" t="s">
        <v>190</v>
      </c>
      <c r="M51" s="2" t="s">
        <v>191</v>
      </c>
      <c r="N51" s="2"/>
      <c r="O51" s="2" t="s">
        <v>77</v>
      </c>
      <c r="P51" s="2"/>
      <c r="Q51" s="3"/>
      <c r="R51" s="2"/>
    </row>
    <row r="52" spans="1:18">
      <c r="A52" s="2" t="s">
        <v>243</v>
      </c>
      <c r="B52" s="2" t="s">
        <v>41</v>
      </c>
      <c r="C52" s="2" t="s">
        <v>244</v>
      </c>
      <c r="D52" s="2" t="s">
        <v>245</v>
      </c>
      <c r="E52" s="2" t="s">
        <v>246</v>
      </c>
      <c r="F52" s="2" t="s">
        <v>70</v>
      </c>
      <c r="G52" s="2" t="s">
        <v>127</v>
      </c>
      <c r="H52" s="2" t="s">
        <v>72</v>
      </c>
      <c r="I52" s="2" t="s">
        <v>73</v>
      </c>
      <c r="J52" s="2" t="s">
        <v>10</v>
      </c>
      <c r="K52" s="2" t="s">
        <v>128</v>
      </c>
      <c r="L52" s="2" t="s">
        <v>75</v>
      </c>
      <c r="M52" s="2" t="s">
        <v>76</v>
      </c>
      <c r="N52" s="2"/>
      <c r="O52" s="2" t="s">
        <v>77</v>
      </c>
      <c r="P52" s="2"/>
      <c r="Q52" s="3"/>
      <c r="R52" s="2"/>
    </row>
    <row r="53" spans="1:18">
      <c r="A53" s="2" t="s">
        <v>247</v>
      </c>
      <c r="B53" s="2" t="s">
        <v>41</v>
      </c>
      <c r="C53" s="2" t="s">
        <v>244</v>
      </c>
      <c r="D53" s="2" t="s">
        <v>248</v>
      </c>
      <c r="E53" s="2" t="s">
        <v>249</v>
      </c>
      <c r="F53" s="2" t="s">
        <v>70</v>
      </c>
      <c r="G53" s="2" t="s">
        <v>127</v>
      </c>
      <c r="H53" s="2" t="s">
        <v>72</v>
      </c>
      <c r="I53" s="2" t="s">
        <v>73</v>
      </c>
      <c r="J53" s="2" t="s">
        <v>10</v>
      </c>
      <c r="K53" s="2" t="s">
        <v>128</v>
      </c>
      <c r="L53" s="2" t="s">
        <v>75</v>
      </c>
      <c r="M53" s="2" t="s">
        <v>76</v>
      </c>
      <c r="N53" s="2"/>
      <c r="O53" s="2" t="s">
        <v>77</v>
      </c>
      <c r="P53" s="2"/>
      <c r="Q53" s="3"/>
      <c r="R53" s="2"/>
    </row>
    <row r="54" spans="1:18">
      <c r="A54" s="2" t="s">
        <v>250</v>
      </c>
      <c r="B54" s="2" t="s">
        <v>41</v>
      </c>
      <c r="C54" s="2" t="s">
        <v>244</v>
      </c>
      <c r="D54" s="2" t="s">
        <v>251</v>
      </c>
      <c r="E54" s="2" t="s">
        <v>252</v>
      </c>
      <c r="F54" s="2" t="s">
        <v>70</v>
      </c>
      <c r="G54" s="2" t="s">
        <v>127</v>
      </c>
      <c r="H54" s="2" t="s">
        <v>72</v>
      </c>
      <c r="I54" s="2" t="s">
        <v>73</v>
      </c>
      <c r="J54" s="2" t="s">
        <v>10</v>
      </c>
      <c r="K54" s="2" t="s">
        <v>128</v>
      </c>
      <c r="L54" s="2" t="s">
        <v>75</v>
      </c>
      <c r="M54" s="2" t="s">
        <v>76</v>
      </c>
      <c r="N54" s="2"/>
      <c r="O54" s="2" t="s">
        <v>77</v>
      </c>
      <c r="P54" s="2"/>
      <c r="Q54" s="3"/>
      <c r="R54" s="2"/>
    </row>
    <row r="55" spans="1:18">
      <c r="A55" s="2" t="s">
        <v>253</v>
      </c>
      <c r="B55" s="2" t="s">
        <v>41</v>
      </c>
      <c r="C55" s="2" t="s">
        <v>244</v>
      </c>
      <c r="D55" s="2" t="s">
        <v>254</v>
      </c>
      <c r="E55" s="2" t="s">
        <v>255</v>
      </c>
      <c r="F55" s="2" t="s">
        <v>70</v>
      </c>
      <c r="G55" s="2" t="s">
        <v>127</v>
      </c>
      <c r="H55" s="2" t="s">
        <v>72</v>
      </c>
      <c r="I55" s="2" t="s">
        <v>73</v>
      </c>
      <c r="J55" s="2" t="s">
        <v>10</v>
      </c>
      <c r="K55" s="2" t="s">
        <v>128</v>
      </c>
      <c r="L55" s="2" t="s">
        <v>75</v>
      </c>
      <c r="M55" s="2" t="s">
        <v>76</v>
      </c>
      <c r="N55" s="2"/>
      <c r="O55" s="2" t="s">
        <v>77</v>
      </c>
      <c r="P55" s="2"/>
      <c r="Q55" s="3"/>
      <c r="R55" s="2"/>
    </row>
    <row r="56" spans="1:18">
      <c r="A56" s="2" t="s">
        <v>256</v>
      </c>
      <c r="B56" s="2" t="s">
        <v>41</v>
      </c>
      <c r="C56" s="2" t="s">
        <v>244</v>
      </c>
      <c r="D56" s="2" t="s">
        <v>257</v>
      </c>
      <c r="E56" s="2" t="s">
        <v>258</v>
      </c>
      <c r="F56" s="2" t="s">
        <v>70</v>
      </c>
      <c r="G56" s="2" t="s">
        <v>127</v>
      </c>
      <c r="H56" s="2" t="s">
        <v>72</v>
      </c>
      <c r="I56" s="2" t="s">
        <v>73</v>
      </c>
      <c r="J56" s="2" t="s">
        <v>10</v>
      </c>
      <c r="K56" s="2" t="s">
        <v>128</v>
      </c>
      <c r="L56" s="2" t="s">
        <v>75</v>
      </c>
      <c r="M56" s="2" t="s">
        <v>76</v>
      </c>
      <c r="N56" s="2"/>
      <c r="O56" s="2" t="s">
        <v>77</v>
      </c>
      <c r="P56" s="2"/>
      <c r="Q56" s="3"/>
      <c r="R56" s="2"/>
    </row>
    <row r="57" spans="1:18">
      <c r="A57" s="2" t="s">
        <v>259</v>
      </c>
      <c r="B57" s="2" t="s">
        <v>41</v>
      </c>
      <c r="C57" s="2" t="s">
        <v>244</v>
      </c>
      <c r="D57" s="2" t="s">
        <v>260</v>
      </c>
      <c r="E57" s="2" t="s">
        <v>261</v>
      </c>
      <c r="F57" s="2" t="s">
        <v>70</v>
      </c>
      <c r="G57" s="2" t="s">
        <v>127</v>
      </c>
      <c r="H57" s="2" t="s">
        <v>72</v>
      </c>
      <c r="I57" s="2" t="s">
        <v>73</v>
      </c>
      <c r="J57" s="2" t="s">
        <v>10</v>
      </c>
      <c r="K57" s="2" t="s">
        <v>128</v>
      </c>
      <c r="L57" s="2" t="s">
        <v>75</v>
      </c>
      <c r="M57" s="2" t="s">
        <v>76</v>
      </c>
      <c r="N57" s="2"/>
      <c r="O57" s="2" t="s">
        <v>77</v>
      </c>
      <c r="P57" s="2"/>
      <c r="Q57" s="3"/>
      <c r="R57" s="2"/>
    </row>
    <row r="58" spans="1:18">
      <c r="A58" s="2" t="s">
        <v>262</v>
      </c>
      <c r="B58" s="2" t="s">
        <v>41</v>
      </c>
      <c r="C58" s="2" t="s">
        <v>244</v>
      </c>
      <c r="D58" s="2" t="s">
        <v>263</v>
      </c>
      <c r="E58" s="2" t="s">
        <v>264</v>
      </c>
      <c r="F58" s="2" t="s">
        <v>70</v>
      </c>
      <c r="G58" s="2" t="s">
        <v>127</v>
      </c>
      <c r="H58" s="2" t="s">
        <v>72</v>
      </c>
      <c r="I58" s="2" t="s">
        <v>73</v>
      </c>
      <c r="J58" s="2" t="s">
        <v>10</v>
      </c>
      <c r="K58" s="2" t="s">
        <v>128</v>
      </c>
      <c r="L58" s="2" t="s">
        <v>75</v>
      </c>
      <c r="M58" s="2" t="s">
        <v>76</v>
      </c>
      <c r="N58" s="2"/>
      <c r="O58" s="2" t="s">
        <v>77</v>
      </c>
      <c r="P58" s="2"/>
      <c r="Q58" s="3"/>
      <c r="R58" s="2"/>
    </row>
    <row r="59" spans="1:18">
      <c r="A59" s="2" t="s">
        <v>265</v>
      </c>
      <c r="B59" s="2" t="s">
        <v>41</v>
      </c>
      <c r="C59" s="2" t="s">
        <v>266</v>
      </c>
      <c r="D59" s="2" t="s">
        <v>267</v>
      </c>
      <c r="E59" s="2" t="s">
        <v>268</v>
      </c>
      <c r="F59" s="2" t="s">
        <v>70</v>
      </c>
      <c r="G59" s="2" t="s">
        <v>127</v>
      </c>
      <c r="H59" s="2" t="s">
        <v>72</v>
      </c>
      <c r="I59" s="2" t="s">
        <v>73</v>
      </c>
      <c r="J59" s="2" t="s">
        <v>10</v>
      </c>
      <c r="K59" s="2" t="s">
        <v>128</v>
      </c>
      <c r="L59" s="2" t="s">
        <v>75</v>
      </c>
      <c r="M59" s="2" t="s">
        <v>76</v>
      </c>
      <c r="N59" s="2"/>
      <c r="O59" s="2" t="s">
        <v>77</v>
      </c>
      <c r="P59" s="2"/>
      <c r="Q59" s="3"/>
      <c r="R59" s="2"/>
    </row>
    <row r="60" spans="1:18">
      <c r="A60" s="2" t="s">
        <v>269</v>
      </c>
      <c r="B60" s="2" t="s">
        <v>41</v>
      </c>
      <c r="C60" s="2" t="s">
        <v>270</v>
      </c>
      <c r="D60" s="2" t="s">
        <v>271</v>
      </c>
      <c r="E60" s="2" t="s">
        <v>272</v>
      </c>
      <c r="F60" s="2" t="s">
        <v>70</v>
      </c>
      <c r="G60" s="2" t="s">
        <v>127</v>
      </c>
      <c r="H60" s="2" t="s">
        <v>72</v>
      </c>
      <c r="I60" s="2" t="s">
        <v>73</v>
      </c>
      <c r="J60" s="2" t="s">
        <v>10</v>
      </c>
      <c r="K60" s="2" t="s">
        <v>128</v>
      </c>
      <c r="L60" s="2" t="s">
        <v>75</v>
      </c>
      <c r="M60" s="2" t="s">
        <v>76</v>
      </c>
      <c r="N60" s="2"/>
      <c r="O60" s="2" t="s">
        <v>77</v>
      </c>
      <c r="P60" s="2"/>
      <c r="Q60" s="3"/>
      <c r="R60" s="2"/>
    </row>
    <row r="61" spans="1:18">
      <c r="A61" s="2" t="s">
        <v>273</v>
      </c>
      <c r="B61" s="2" t="s">
        <v>41</v>
      </c>
      <c r="C61" s="2" t="s">
        <v>274</v>
      </c>
      <c r="D61" s="2" t="s">
        <v>275</v>
      </c>
      <c r="E61" s="2" t="s">
        <v>276</v>
      </c>
      <c r="F61" s="2" t="s">
        <v>70</v>
      </c>
      <c r="G61" s="2" t="s">
        <v>127</v>
      </c>
      <c r="H61" s="2" t="s">
        <v>72</v>
      </c>
      <c r="I61" s="2" t="s">
        <v>73</v>
      </c>
      <c r="J61" s="2" t="s">
        <v>10</v>
      </c>
      <c r="K61" s="2" t="s">
        <v>128</v>
      </c>
      <c r="L61" s="2" t="s">
        <v>75</v>
      </c>
      <c r="M61" s="2" t="s">
        <v>76</v>
      </c>
      <c r="N61" s="2"/>
      <c r="O61" s="2" t="s">
        <v>77</v>
      </c>
      <c r="P61" s="2"/>
      <c r="Q61" s="3"/>
      <c r="R61" s="2"/>
    </row>
    <row r="62" spans="1:18">
      <c r="A62" s="2" t="s">
        <v>277</v>
      </c>
      <c r="B62" s="2" t="s">
        <v>41</v>
      </c>
      <c r="C62" s="2" t="s">
        <v>278</v>
      </c>
      <c r="D62" s="2" t="s">
        <v>279</v>
      </c>
      <c r="E62" s="2" t="s">
        <v>280</v>
      </c>
      <c r="F62" s="2" t="s">
        <v>70</v>
      </c>
      <c r="G62" s="2" t="s">
        <v>127</v>
      </c>
      <c r="H62" s="2" t="s">
        <v>72</v>
      </c>
      <c r="I62" s="2" t="s">
        <v>73</v>
      </c>
      <c r="J62" s="2" t="s">
        <v>10</v>
      </c>
      <c r="K62" s="2" t="s">
        <v>128</v>
      </c>
      <c r="L62" s="2" t="s">
        <v>75</v>
      </c>
      <c r="M62" s="2" t="s">
        <v>76</v>
      </c>
      <c r="N62" s="2"/>
      <c r="O62" s="2" t="s">
        <v>77</v>
      </c>
      <c r="P62" s="2"/>
      <c r="Q62" s="3"/>
      <c r="R62" s="2"/>
    </row>
    <row r="63" spans="1:18">
      <c r="A63" s="2" t="s">
        <v>281</v>
      </c>
      <c r="B63" s="2" t="s">
        <v>41</v>
      </c>
      <c r="C63" s="2" t="s">
        <v>282</v>
      </c>
      <c r="D63" s="2" t="s">
        <v>283</v>
      </c>
      <c r="E63" s="2" t="s">
        <v>284</v>
      </c>
      <c r="F63" s="2" t="s">
        <v>70</v>
      </c>
      <c r="G63" s="2" t="s">
        <v>127</v>
      </c>
      <c r="H63" s="2" t="s">
        <v>72</v>
      </c>
      <c r="I63" s="2" t="s">
        <v>73</v>
      </c>
      <c r="J63" s="2" t="s">
        <v>10</v>
      </c>
      <c r="K63" s="2" t="s">
        <v>128</v>
      </c>
      <c r="L63" s="2" t="s">
        <v>75</v>
      </c>
      <c r="M63" s="2" t="s">
        <v>76</v>
      </c>
      <c r="N63" s="2"/>
      <c r="O63" s="2" t="s">
        <v>77</v>
      </c>
      <c r="P63" s="2"/>
      <c r="Q63" s="3"/>
      <c r="R63" s="2"/>
    </row>
    <row r="64" spans="1:18">
      <c r="A64" s="2" t="s">
        <v>285</v>
      </c>
      <c r="B64" s="2" t="s">
        <v>41</v>
      </c>
      <c r="C64" s="2" t="s">
        <v>286</v>
      </c>
      <c r="D64" s="2" t="s">
        <v>287</v>
      </c>
      <c r="E64" s="2" t="s">
        <v>288</v>
      </c>
      <c r="F64" s="2" t="s">
        <v>70</v>
      </c>
      <c r="G64" s="2" t="s">
        <v>127</v>
      </c>
      <c r="H64" s="2" t="s">
        <v>72</v>
      </c>
      <c r="I64" s="2" t="s">
        <v>73</v>
      </c>
      <c r="J64" s="2" t="s">
        <v>10</v>
      </c>
      <c r="K64" s="2" t="s">
        <v>128</v>
      </c>
      <c r="L64" s="2" t="s">
        <v>75</v>
      </c>
      <c r="M64" s="2" t="s">
        <v>76</v>
      </c>
      <c r="N64" s="2"/>
      <c r="O64" s="2" t="s">
        <v>77</v>
      </c>
      <c r="P64" s="2"/>
      <c r="Q64" s="3"/>
      <c r="R64" s="2"/>
    </row>
    <row r="65" spans="1:18">
      <c r="A65" s="2" t="s">
        <v>289</v>
      </c>
      <c r="B65" s="2" t="s">
        <v>41</v>
      </c>
      <c r="C65" s="2" t="s">
        <v>286</v>
      </c>
      <c r="D65" s="2" t="s">
        <v>290</v>
      </c>
      <c r="E65" s="2" t="s">
        <v>291</v>
      </c>
      <c r="F65" s="2" t="s">
        <v>70</v>
      </c>
      <c r="G65" s="2" t="s">
        <v>127</v>
      </c>
      <c r="H65" s="2" t="s">
        <v>72</v>
      </c>
      <c r="I65" s="2" t="s">
        <v>73</v>
      </c>
      <c r="J65" s="2" t="s">
        <v>10</v>
      </c>
      <c r="K65" s="2" t="s">
        <v>128</v>
      </c>
      <c r="L65" s="2" t="s">
        <v>75</v>
      </c>
      <c r="M65" s="2" t="s">
        <v>76</v>
      </c>
      <c r="N65" s="2"/>
      <c r="O65" s="2" t="s">
        <v>77</v>
      </c>
      <c r="P65" s="2"/>
      <c r="Q65" s="3"/>
      <c r="R65" s="2"/>
    </row>
    <row r="66" spans="1:18">
      <c r="A66" s="2" t="s">
        <v>292</v>
      </c>
      <c r="B66" s="2" t="s">
        <v>41</v>
      </c>
      <c r="C66" s="2" t="s">
        <v>286</v>
      </c>
      <c r="D66" s="2" t="s">
        <v>293</v>
      </c>
      <c r="E66" s="2" t="s">
        <v>294</v>
      </c>
      <c r="F66" s="2" t="s">
        <v>70</v>
      </c>
      <c r="G66" s="2" t="s">
        <v>127</v>
      </c>
      <c r="H66" s="2" t="s">
        <v>72</v>
      </c>
      <c r="I66" s="2" t="s">
        <v>73</v>
      </c>
      <c r="J66" s="2" t="s">
        <v>10</v>
      </c>
      <c r="K66" s="2" t="s">
        <v>128</v>
      </c>
      <c r="L66" s="2" t="s">
        <v>75</v>
      </c>
      <c r="M66" s="2" t="s">
        <v>76</v>
      </c>
      <c r="N66" s="2"/>
      <c r="O66" s="2" t="s">
        <v>77</v>
      </c>
      <c r="P66" s="2"/>
      <c r="Q66" s="3"/>
      <c r="R66" s="2"/>
    </row>
    <row r="67" spans="1:18">
      <c r="A67" s="2" t="s">
        <v>295</v>
      </c>
      <c r="B67" s="2" t="s">
        <v>42</v>
      </c>
      <c r="C67" s="2" t="s">
        <v>296</v>
      </c>
      <c r="D67" s="2" t="s">
        <v>297</v>
      </c>
      <c r="E67" s="2" t="s">
        <v>298</v>
      </c>
      <c r="F67" s="2" t="s">
        <v>70</v>
      </c>
      <c r="G67" s="2" t="s">
        <v>127</v>
      </c>
      <c r="H67" s="2" t="s">
        <v>72</v>
      </c>
      <c r="I67" s="2" t="s">
        <v>73</v>
      </c>
      <c r="J67" s="2" t="s">
        <v>10</v>
      </c>
      <c r="K67" s="2" t="s">
        <v>74</v>
      </c>
      <c r="L67" s="2" t="s">
        <v>75</v>
      </c>
      <c r="M67" s="2" t="s">
        <v>191</v>
      </c>
      <c r="N67" s="2"/>
      <c r="O67" s="2" t="s">
        <v>77</v>
      </c>
      <c r="P67" s="2"/>
      <c r="Q67" s="3"/>
      <c r="R67" s="2"/>
    </row>
    <row r="68" spans="1:18">
      <c r="A68" s="2" t="s">
        <v>299</v>
      </c>
      <c r="B68" s="2" t="s">
        <v>42</v>
      </c>
      <c r="C68" s="2" t="s">
        <v>296</v>
      </c>
      <c r="D68" s="2" t="s">
        <v>300</v>
      </c>
      <c r="E68" s="2" t="s">
        <v>301</v>
      </c>
      <c r="F68" s="2" t="s">
        <v>70</v>
      </c>
      <c r="G68" s="2" t="s">
        <v>127</v>
      </c>
      <c r="H68" s="2" t="s">
        <v>72</v>
      </c>
      <c r="I68" s="2" t="s">
        <v>73</v>
      </c>
      <c r="J68" s="2" t="s">
        <v>10</v>
      </c>
      <c r="K68" s="2" t="s">
        <v>74</v>
      </c>
      <c r="L68" s="2" t="s">
        <v>75</v>
      </c>
      <c r="M68" s="2" t="s">
        <v>191</v>
      </c>
      <c r="N68" s="2"/>
      <c r="O68" s="2" t="s">
        <v>77</v>
      </c>
      <c r="P68" s="2"/>
      <c r="Q68" s="3"/>
      <c r="R68" s="2"/>
    </row>
    <row r="69" spans="1:18">
      <c r="A69" s="2" t="s">
        <v>302</v>
      </c>
      <c r="B69" s="2" t="s">
        <v>42</v>
      </c>
      <c r="C69" s="2" t="s">
        <v>296</v>
      </c>
      <c r="D69" s="2" t="s">
        <v>303</v>
      </c>
      <c r="E69" s="2" t="s">
        <v>304</v>
      </c>
      <c r="F69" s="2" t="s">
        <v>70</v>
      </c>
      <c r="G69" s="2" t="s">
        <v>127</v>
      </c>
      <c r="H69" s="2" t="s">
        <v>72</v>
      </c>
      <c r="I69" s="2" t="s">
        <v>73</v>
      </c>
      <c r="J69" s="2" t="s">
        <v>10</v>
      </c>
      <c r="K69" s="2" t="s">
        <v>74</v>
      </c>
      <c r="L69" s="2" t="s">
        <v>75</v>
      </c>
      <c r="M69" s="2" t="s">
        <v>191</v>
      </c>
      <c r="N69" s="2"/>
      <c r="O69" s="2" t="s">
        <v>77</v>
      </c>
      <c r="P69" s="2"/>
      <c r="Q69" s="3"/>
      <c r="R69" s="2"/>
    </row>
    <row r="70" spans="1:18">
      <c r="A70" s="2" t="s">
        <v>305</v>
      </c>
      <c r="B70" s="2" t="s">
        <v>42</v>
      </c>
      <c r="C70" s="2" t="s">
        <v>296</v>
      </c>
      <c r="D70" s="2" t="s">
        <v>306</v>
      </c>
      <c r="E70" s="2" t="s">
        <v>307</v>
      </c>
      <c r="F70" s="2" t="s">
        <v>70</v>
      </c>
      <c r="G70" s="2" t="s">
        <v>127</v>
      </c>
      <c r="H70" s="2" t="s">
        <v>72</v>
      </c>
      <c r="I70" s="2" t="s">
        <v>73</v>
      </c>
      <c r="J70" s="2" t="s">
        <v>10</v>
      </c>
      <c r="K70" s="2" t="s">
        <v>74</v>
      </c>
      <c r="L70" s="2" t="s">
        <v>75</v>
      </c>
      <c r="M70" s="2" t="s">
        <v>191</v>
      </c>
      <c r="N70" s="2"/>
      <c r="O70" s="2" t="s">
        <v>77</v>
      </c>
      <c r="P70" s="2"/>
      <c r="Q70" s="3"/>
      <c r="R70" s="2"/>
    </row>
    <row r="71" spans="1:18">
      <c r="A71" s="2" t="s">
        <v>308</v>
      </c>
      <c r="B71" s="2" t="s">
        <v>42</v>
      </c>
      <c r="C71" s="2" t="s">
        <v>296</v>
      </c>
      <c r="D71" s="2" t="s">
        <v>309</v>
      </c>
      <c r="E71" s="2" t="s">
        <v>310</v>
      </c>
      <c r="F71" s="2" t="s">
        <v>70</v>
      </c>
      <c r="G71" s="2" t="s">
        <v>127</v>
      </c>
      <c r="H71" s="2" t="s">
        <v>72</v>
      </c>
      <c r="I71" s="2" t="s">
        <v>73</v>
      </c>
      <c r="J71" s="2" t="s">
        <v>10</v>
      </c>
      <c r="K71" s="2" t="s">
        <v>74</v>
      </c>
      <c r="L71" s="2" t="s">
        <v>75</v>
      </c>
      <c r="M71" s="2" t="s">
        <v>191</v>
      </c>
      <c r="N71" s="2"/>
      <c r="O71" s="2" t="s">
        <v>77</v>
      </c>
      <c r="P71" s="2"/>
      <c r="Q71" s="3"/>
      <c r="R71" s="2"/>
    </row>
    <row r="72" spans="1:18">
      <c r="A72" s="2" t="s">
        <v>311</v>
      </c>
      <c r="B72" s="2" t="s">
        <v>42</v>
      </c>
      <c r="C72" s="2" t="s">
        <v>296</v>
      </c>
      <c r="D72" s="2" t="s">
        <v>312</v>
      </c>
      <c r="E72" s="2" t="s">
        <v>313</v>
      </c>
      <c r="F72" s="2" t="s">
        <v>70</v>
      </c>
      <c r="G72" s="2" t="s">
        <v>127</v>
      </c>
      <c r="H72" s="2" t="s">
        <v>72</v>
      </c>
      <c r="I72" s="2" t="s">
        <v>73</v>
      </c>
      <c r="J72" s="2" t="s">
        <v>10</v>
      </c>
      <c r="K72" s="2" t="s">
        <v>74</v>
      </c>
      <c r="L72" s="2" t="s">
        <v>75</v>
      </c>
      <c r="M72" s="2" t="s">
        <v>191</v>
      </c>
      <c r="N72" s="2"/>
      <c r="O72" s="2" t="s">
        <v>77</v>
      </c>
      <c r="P72" s="2"/>
      <c r="Q72" s="3"/>
      <c r="R72" s="2"/>
    </row>
    <row r="73" spans="1:18">
      <c r="A73" s="2" t="s">
        <v>314</v>
      </c>
      <c r="B73" s="2" t="s">
        <v>42</v>
      </c>
      <c r="C73" s="2" t="s">
        <v>296</v>
      </c>
      <c r="D73" s="2" t="s">
        <v>315</v>
      </c>
      <c r="E73" s="2" t="s">
        <v>316</v>
      </c>
      <c r="F73" s="2" t="s">
        <v>70</v>
      </c>
      <c r="G73" s="2" t="s">
        <v>127</v>
      </c>
      <c r="H73" s="2" t="s">
        <v>72</v>
      </c>
      <c r="I73" s="2" t="s">
        <v>73</v>
      </c>
      <c r="J73" s="2" t="s">
        <v>10</v>
      </c>
      <c r="K73" s="2" t="s">
        <v>74</v>
      </c>
      <c r="L73" s="2" t="s">
        <v>75</v>
      </c>
      <c r="M73" s="2" t="s">
        <v>191</v>
      </c>
      <c r="N73" s="2"/>
      <c r="O73" s="2" t="s">
        <v>77</v>
      </c>
      <c r="P73" s="2"/>
      <c r="Q73" s="3"/>
      <c r="R73" s="2"/>
    </row>
    <row r="74" spans="1:18">
      <c r="A74" s="2" t="s">
        <v>317</v>
      </c>
      <c r="B74" s="2" t="s">
        <v>42</v>
      </c>
      <c r="C74" s="2" t="s">
        <v>296</v>
      </c>
      <c r="D74" s="2" t="s">
        <v>318</v>
      </c>
      <c r="E74" s="2" t="s">
        <v>319</v>
      </c>
      <c r="F74" s="2" t="s">
        <v>70</v>
      </c>
      <c r="G74" s="2" t="s">
        <v>127</v>
      </c>
      <c r="H74" s="2" t="s">
        <v>72</v>
      </c>
      <c r="I74" s="2" t="s">
        <v>73</v>
      </c>
      <c r="J74" s="2" t="s">
        <v>10</v>
      </c>
      <c r="K74" s="2" t="s">
        <v>74</v>
      </c>
      <c r="L74" s="2" t="s">
        <v>75</v>
      </c>
      <c r="M74" s="2" t="s">
        <v>191</v>
      </c>
      <c r="N74" s="2"/>
      <c r="O74" s="2" t="s">
        <v>77</v>
      </c>
      <c r="P74" s="2"/>
      <c r="Q74" s="3"/>
      <c r="R74" s="2"/>
    </row>
    <row r="75" spans="1:18">
      <c r="A75" s="2" t="s">
        <v>320</v>
      </c>
      <c r="B75" s="2" t="s">
        <v>42</v>
      </c>
      <c r="C75" s="2" t="s">
        <v>296</v>
      </c>
      <c r="D75" s="2" t="s">
        <v>321</v>
      </c>
      <c r="E75" s="2" t="s">
        <v>322</v>
      </c>
      <c r="F75" s="2" t="s">
        <v>70</v>
      </c>
      <c r="G75" s="2" t="s">
        <v>127</v>
      </c>
      <c r="H75" s="2" t="s">
        <v>72</v>
      </c>
      <c r="I75" s="2" t="s">
        <v>73</v>
      </c>
      <c r="J75" s="2" t="s">
        <v>10</v>
      </c>
      <c r="K75" s="2" t="s">
        <v>74</v>
      </c>
      <c r="L75" s="2" t="s">
        <v>75</v>
      </c>
      <c r="M75" s="2" t="s">
        <v>191</v>
      </c>
      <c r="N75" s="2"/>
      <c r="O75" s="2" t="s">
        <v>77</v>
      </c>
      <c r="P75" s="2"/>
      <c r="Q75" s="3"/>
      <c r="R75" s="2"/>
    </row>
    <row r="76" spans="1:18">
      <c r="A76" s="2" t="s">
        <v>323</v>
      </c>
      <c r="B76" s="2" t="s">
        <v>42</v>
      </c>
      <c r="C76" s="2" t="s">
        <v>324</v>
      </c>
      <c r="D76" s="2" t="s">
        <v>325</v>
      </c>
      <c r="E76" s="2" t="s">
        <v>326</v>
      </c>
      <c r="F76" s="2" t="s">
        <v>70</v>
      </c>
      <c r="G76" s="2" t="s">
        <v>127</v>
      </c>
      <c r="H76" s="2" t="s">
        <v>72</v>
      </c>
      <c r="I76" s="2" t="s">
        <v>73</v>
      </c>
      <c r="J76" s="2" t="s">
        <v>10</v>
      </c>
      <c r="K76" s="2" t="s">
        <v>128</v>
      </c>
      <c r="L76" s="2" t="s">
        <v>75</v>
      </c>
      <c r="M76" s="2" t="s">
        <v>327</v>
      </c>
      <c r="N76" s="2"/>
      <c r="O76" s="2" t="s">
        <v>77</v>
      </c>
      <c r="P76" s="2"/>
      <c r="Q76" s="3"/>
      <c r="R76" s="2"/>
    </row>
    <row r="77" spans="1:18">
      <c r="A77" s="2" t="s">
        <v>328</v>
      </c>
      <c r="B77" s="2" t="s">
        <v>42</v>
      </c>
      <c r="C77" s="2" t="s">
        <v>324</v>
      </c>
      <c r="D77" s="2" t="s">
        <v>329</v>
      </c>
      <c r="E77" s="2" t="s">
        <v>330</v>
      </c>
      <c r="F77" s="2" t="s">
        <v>70</v>
      </c>
      <c r="G77" s="2" t="s">
        <v>127</v>
      </c>
      <c r="H77" s="2" t="s">
        <v>72</v>
      </c>
      <c r="I77" s="2" t="s">
        <v>73</v>
      </c>
      <c r="J77" s="2" t="s">
        <v>10</v>
      </c>
      <c r="K77" s="2" t="s">
        <v>128</v>
      </c>
      <c r="L77" s="2" t="s">
        <v>75</v>
      </c>
      <c r="M77" s="2" t="s">
        <v>327</v>
      </c>
      <c r="N77" s="2"/>
      <c r="O77" s="2" t="s">
        <v>77</v>
      </c>
      <c r="P77" s="2"/>
      <c r="Q77" s="3"/>
      <c r="R77" s="2"/>
    </row>
    <row r="78" spans="1:18">
      <c r="A78" s="2" t="s">
        <v>331</v>
      </c>
      <c r="B78" s="2" t="s">
        <v>42</v>
      </c>
      <c r="C78" s="2" t="s">
        <v>324</v>
      </c>
      <c r="D78" s="2" t="s">
        <v>332</v>
      </c>
      <c r="E78" s="2" t="s">
        <v>333</v>
      </c>
      <c r="F78" s="2" t="s">
        <v>70</v>
      </c>
      <c r="G78" s="2" t="s">
        <v>127</v>
      </c>
      <c r="H78" s="2" t="s">
        <v>72</v>
      </c>
      <c r="I78" s="2" t="s">
        <v>73</v>
      </c>
      <c r="J78" s="2" t="s">
        <v>10</v>
      </c>
      <c r="K78" s="2" t="s">
        <v>128</v>
      </c>
      <c r="L78" s="2" t="s">
        <v>75</v>
      </c>
      <c r="M78" s="2" t="s">
        <v>327</v>
      </c>
      <c r="N78" s="2"/>
      <c r="O78" s="2" t="s">
        <v>77</v>
      </c>
      <c r="P78" s="2"/>
      <c r="Q78" s="3"/>
      <c r="R78" s="2"/>
    </row>
    <row r="79" spans="1:18">
      <c r="A79" s="2" t="s">
        <v>334</v>
      </c>
      <c r="B79" s="2" t="s">
        <v>42</v>
      </c>
      <c r="C79" s="2" t="s">
        <v>324</v>
      </c>
      <c r="D79" s="2" t="s">
        <v>335</v>
      </c>
      <c r="E79" s="2" t="s">
        <v>336</v>
      </c>
      <c r="F79" s="2" t="s">
        <v>70</v>
      </c>
      <c r="G79" s="2" t="s">
        <v>127</v>
      </c>
      <c r="H79" s="2" t="s">
        <v>72</v>
      </c>
      <c r="I79" s="2" t="s">
        <v>73</v>
      </c>
      <c r="J79" s="2" t="s">
        <v>10</v>
      </c>
      <c r="K79" s="2" t="s">
        <v>128</v>
      </c>
      <c r="L79" s="2" t="s">
        <v>75</v>
      </c>
      <c r="M79" s="2" t="s">
        <v>327</v>
      </c>
      <c r="N79" s="2"/>
      <c r="O79" s="2" t="s">
        <v>77</v>
      </c>
      <c r="P79" s="2"/>
      <c r="Q79" s="3"/>
      <c r="R79" s="2"/>
    </row>
    <row r="80" spans="1:18">
      <c r="A80" s="2" t="s">
        <v>337</v>
      </c>
      <c r="B80" s="2" t="s">
        <v>42</v>
      </c>
      <c r="C80" s="2" t="s">
        <v>324</v>
      </c>
      <c r="D80" s="2" t="s">
        <v>338</v>
      </c>
      <c r="E80" s="2" t="s">
        <v>339</v>
      </c>
      <c r="F80" s="2" t="s">
        <v>70</v>
      </c>
      <c r="G80" s="2" t="s">
        <v>127</v>
      </c>
      <c r="H80" s="2" t="s">
        <v>72</v>
      </c>
      <c r="I80" s="2" t="s">
        <v>73</v>
      </c>
      <c r="J80" s="2" t="s">
        <v>10</v>
      </c>
      <c r="K80" s="2" t="s">
        <v>128</v>
      </c>
      <c r="L80" s="2" t="s">
        <v>75</v>
      </c>
      <c r="M80" s="2" t="s">
        <v>327</v>
      </c>
      <c r="N80" s="2"/>
      <c r="O80" s="2" t="s">
        <v>77</v>
      </c>
      <c r="P80" s="2"/>
      <c r="Q80" s="3"/>
      <c r="R80" s="2"/>
    </row>
    <row r="81" spans="1:18">
      <c r="A81" s="2" t="s">
        <v>340</v>
      </c>
      <c r="B81" s="2" t="s">
        <v>42</v>
      </c>
      <c r="C81" s="2" t="s">
        <v>324</v>
      </c>
      <c r="D81" s="2" t="s">
        <v>341</v>
      </c>
      <c r="E81" s="2" t="s">
        <v>342</v>
      </c>
      <c r="F81" s="2" t="s">
        <v>70</v>
      </c>
      <c r="G81" s="2" t="s">
        <v>127</v>
      </c>
      <c r="H81" s="2" t="s">
        <v>72</v>
      </c>
      <c r="I81" s="2" t="s">
        <v>73</v>
      </c>
      <c r="J81" s="2" t="s">
        <v>10</v>
      </c>
      <c r="K81" s="2" t="s">
        <v>128</v>
      </c>
      <c r="L81" s="2" t="s">
        <v>75</v>
      </c>
      <c r="M81" s="2" t="s">
        <v>327</v>
      </c>
      <c r="N81" s="2"/>
      <c r="O81" s="2" t="s">
        <v>77</v>
      </c>
      <c r="P81" s="2"/>
      <c r="Q81" s="3"/>
      <c r="R81" s="2"/>
    </row>
    <row r="82" spans="1:18">
      <c r="A82" s="2" t="s">
        <v>343</v>
      </c>
      <c r="B82" s="2" t="s">
        <v>42</v>
      </c>
      <c r="C82" s="2" t="s">
        <v>344</v>
      </c>
      <c r="D82" s="2" t="s">
        <v>345</v>
      </c>
      <c r="E82" s="2" t="s">
        <v>346</v>
      </c>
      <c r="F82" s="2" t="s">
        <v>70</v>
      </c>
      <c r="G82" s="2" t="s">
        <v>127</v>
      </c>
      <c r="H82" s="2" t="s">
        <v>72</v>
      </c>
      <c r="I82" s="2" t="s">
        <v>73</v>
      </c>
      <c r="J82" s="2" t="s">
        <v>10</v>
      </c>
      <c r="K82" s="2" t="s">
        <v>128</v>
      </c>
      <c r="L82" s="2" t="s">
        <v>75</v>
      </c>
      <c r="M82" s="2" t="s">
        <v>327</v>
      </c>
      <c r="N82" s="2"/>
      <c r="O82" s="2" t="s">
        <v>77</v>
      </c>
      <c r="P82" s="2"/>
      <c r="Q82" s="3"/>
      <c r="R82" s="2"/>
    </row>
    <row r="83" spans="1:18">
      <c r="A83" s="2" t="s">
        <v>347</v>
      </c>
      <c r="B83" s="2" t="s">
        <v>42</v>
      </c>
      <c r="C83" s="2" t="s">
        <v>344</v>
      </c>
      <c r="D83" s="2" t="s">
        <v>348</v>
      </c>
      <c r="E83" s="2" t="s">
        <v>349</v>
      </c>
      <c r="F83" s="2" t="s">
        <v>70</v>
      </c>
      <c r="G83" s="2" t="s">
        <v>127</v>
      </c>
      <c r="H83" s="2" t="s">
        <v>72</v>
      </c>
      <c r="I83" s="2" t="s">
        <v>73</v>
      </c>
      <c r="J83" s="2" t="s">
        <v>10</v>
      </c>
      <c r="K83" s="2" t="s">
        <v>128</v>
      </c>
      <c r="L83" s="2" t="s">
        <v>75</v>
      </c>
      <c r="M83" s="2" t="s">
        <v>327</v>
      </c>
      <c r="N83" s="2"/>
      <c r="O83" s="2" t="s">
        <v>77</v>
      </c>
      <c r="P83" s="2"/>
      <c r="Q83" s="3"/>
      <c r="R83" s="2"/>
    </row>
    <row r="84" spans="1:18">
      <c r="A84" s="2" t="s">
        <v>350</v>
      </c>
      <c r="B84" s="2" t="s">
        <v>42</v>
      </c>
      <c r="C84" s="2" t="s">
        <v>344</v>
      </c>
      <c r="D84" s="2" t="s">
        <v>351</v>
      </c>
      <c r="E84" s="2" t="s">
        <v>352</v>
      </c>
      <c r="F84" s="2" t="s">
        <v>70</v>
      </c>
      <c r="G84" s="2" t="s">
        <v>127</v>
      </c>
      <c r="H84" s="2" t="s">
        <v>72</v>
      </c>
      <c r="I84" s="2" t="s">
        <v>73</v>
      </c>
      <c r="J84" s="2" t="s">
        <v>10</v>
      </c>
      <c r="K84" s="2" t="s">
        <v>128</v>
      </c>
      <c r="L84" s="2" t="s">
        <v>75</v>
      </c>
      <c r="M84" s="2" t="s">
        <v>327</v>
      </c>
      <c r="N84" s="2"/>
      <c r="O84" s="2" t="s">
        <v>77</v>
      </c>
      <c r="P84" s="2"/>
      <c r="Q84" s="3"/>
      <c r="R84" s="2"/>
    </row>
    <row r="85" spans="1:18">
      <c r="A85" s="2" t="s">
        <v>353</v>
      </c>
      <c r="B85" s="2" t="s">
        <v>42</v>
      </c>
      <c r="C85" s="2" t="s">
        <v>344</v>
      </c>
      <c r="D85" s="2" t="s">
        <v>354</v>
      </c>
      <c r="E85" s="2" t="s">
        <v>355</v>
      </c>
      <c r="F85" s="2" t="s">
        <v>70</v>
      </c>
      <c r="G85" s="2" t="s">
        <v>127</v>
      </c>
      <c r="H85" s="2" t="s">
        <v>72</v>
      </c>
      <c r="I85" s="2" t="s">
        <v>73</v>
      </c>
      <c r="J85" s="2" t="s">
        <v>10</v>
      </c>
      <c r="K85" s="2" t="s">
        <v>128</v>
      </c>
      <c r="L85" s="2" t="s">
        <v>75</v>
      </c>
      <c r="M85" s="2" t="s">
        <v>327</v>
      </c>
      <c r="N85" s="2"/>
      <c r="O85" s="2" t="s">
        <v>77</v>
      </c>
      <c r="P85" s="2"/>
      <c r="Q85" s="3"/>
      <c r="R85" s="2"/>
    </row>
    <row r="86" spans="1:18">
      <c r="A86" s="2" t="s">
        <v>356</v>
      </c>
      <c r="B86" s="2" t="s">
        <v>42</v>
      </c>
      <c r="C86" s="2" t="s">
        <v>344</v>
      </c>
      <c r="D86" s="2" t="s">
        <v>357</v>
      </c>
      <c r="E86" s="2" t="s">
        <v>358</v>
      </c>
      <c r="F86" s="2" t="s">
        <v>70</v>
      </c>
      <c r="G86" s="2" t="s">
        <v>127</v>
      </c>
      <c r="H86" s="2" t="s">
        <v>72</v>
      </c>
      <c r="I86" s="2" t="s">
        <v>73</v>
      </c>
      <c r="J86" s="2" t="s">
        <v>10</v>
      </c>
      <c r="K86" s="2" t="s">
        <v>128</v>
      </c>
      <c r="L86" s="2" t="s">
        <v>75</v>
      </c>
      <c r="M86" s="2" t="s">
        <v>327</v>
      </c>
      <c r="N86" s="2"/>
      <c r="O86" s="2" t="s">
        <v>77</v>
      </c>
      <c r="P86" s="2"/>
      <c r="Q86" s="3"/>
      <c r="R86" s="2"/>
    </row>
    <row r="87" spans="1:18">
      <c r="A87" s="2" t="s">
        <v>359</v>
      </c>
      <c r="B87" s="2" t="s">
        <v>42</v>
      </c>
      <c r="C87" s="2" t="s">
        <v>344</v>
      </c>
      <c r="D87" s="2" t="s">
        <v>360</v>
      </c>
      <c r="E87" s="2" t="s">
        <v>361</v>
      </c>
      <c r="F87" s="2" t="s">
        <v>70</v>
      </c>
      <c r="G87" s="2" t="s">
        <v>127</v>
      </c>
      <c r="H87" s="2" t="s">
        <v>72</v>
      </c>
      <c r="I87" s="2" t="s">
        <v>73</v>
      </c>
      <c r="J87" s="2" t="s">
        <v>10</v>
      </c>
      <c r="K87" s="2" t="s">
        <v>128</v>
      </c>
      <c r="L87" s="2" t="s">
        <v>75</v>
      </c>
      <c r="M87" s="2" t="s">
        <v>327</v>
      </c>
      <c r="N87" s="2"/>
      <c r="O87" s="2" t="s">
        <v>77</v>
      </c>
      <c r="P87" s="2"/>
      <c r="Q87" s="3"/>
      <c r="R87" s="2"/>
    </row>
    <row r="88" spans="1:18">
      <c r="A88" s="2" t="s">
        <v>362</v>
      </c>
      <c r="B88" s="2" t="s">
        <v>42</v>
      </c>
      <c r="C88" s="2" t="s">
        <v>363</v>
      </c>
      <c r="D88" s="2" t="s">
        <v>364</v>
      </c>
      <c r="E88" s="2" t="s">
        <v>365</v>
      </c>
      <c r="F88" s="2" t="s">
        <v>70</v>
      </c>
      <c r="G88" s="2" t="s">
        <v>127</v>
      </c>
      <c r="H88" s="2" t="s">
        <v>72</v>
      </c>
      <c r="I88" s="2" t="s">
        <v>73</v>
      </c>
      <c r="J88" s="2" t="s">
        <v>10</v>
      </c>
      <c r="K88" s="2" t="s">
        <v>128</v>
      </c>
      <c r="L88" s="2" t="s">
        <v>75</v>
      </c>
      <c r="M88" s="2" t="s">
        <v>327</v>
      </c>
      <c r="N88" s="2"/>
      <c r="O88" s="2" t="s">
        <v>77</v>
      </c>
      <c r="P88" s="2"/>
      <c r="Q88" s="3"/>
      <c r="R88" s="2"/>
    </row>
    <row r="89" spans="1:18">
      <c r="A89" s="2" t="s">
        <v>366</v>
      </c>
      <c r="B89" s="2" t="s">
        <v>42</v>
      </c>
      <c r="C89" s="2" t="s">
        <v>363</v>
      </c>
      <c r="D89" s="2" t="s">
        <v>367</v>
      </c>
      <c r="E89" s="2" t="s">
        <v>368</v>
      </c>
      <c r="F89" s="2" t="s">
        <v>70</v>
      </c>
      <c r="G89" s="2" t="s">
        <v>127</v>
      </c>
      <c r="H89" s="2" t="s">
        <v>72</v>
      </c>
      <c r="I89" s="2" t="s">
        <v>73</v>
      </c>
      <c r="J89" s="2" t="s">
        <v>10</v>
      </c>
      <c r="K89" s="2" t="s">
        <v>128</v>
      </c>
      <c r="L89" s="2" t="s">
        <v>75</v>
      </c>
      <c r="M89" s="2" t="s">
        <v>327</v>
      </c>
      <c r="N89" s="2"/>
      <c r="O89" s="2" t="s">
        <v>77</v>
      </c>
      <c r="P89" s="2"/>
      <c r="Q89" s="3"/>
      <c r="R89" s="2"/>
    </row>
    <row r="90" spans="1:18">
      <c r="A90" s="2" t="s">
        <v>369</v>
      </c>
      <c r="B90" s="2" t="s">
        <v>42</v>
      </c>
      <c r="C90" s="2" t="s">
        <v>363</v>
      </c>
      <c r="D90" s="2" t="s">
        <v>370</v>
      </c>
      <c r="E90" s="2" t="s">
        <v>371</v>
      </c>
      <c r="F90" s="2" t="s">
        <v>70</v>
      </c>
      <c r="G90" s="2" t="s">
        <v>127</v>
      </c>
      <c r="H90" s="2" t="s">
        <v>72</v>
      </c>
      <c r="I90" s="2" t="s">
        <v>73</v>
      </c>
      <c r="J90" s="2" t="s">
        <v>10</v>
      </c>
      <c r="K90" s="2" t="s">
        <v>128</v>
      </c>
      <c r="L90" s="2" t="s">
        <v>75</v>
      </c>
      <c r="M90" s="2" t="s">
        <v>327</v>
      </c>
      <c r="N90" s="2"/>
      <c r="O90" s="2" t="s">
        <v>77</v>
      </c>
      <c r="P90" s="2"/>
      <c r="Q90" s="3"/>
      <c r="R90" s="2"/>
    </row>
    <row r="91" spans="1:18">
      <c r="A91" s="2" t="s">
        <v>372</v>
      </c>
      <c r="B91" s="2" t="s">
        <v>42</v>
      </c>
      <c r="C91" s="2" t="s">
        <v>363</v>
      </c>
      <c r="D91" s="2" t="s">
        <v>373</v>
      </c>
      <c r="E91" s="2" t="s">
        <v>374</v>
      </c>
      <c r="F91" s="2" t="s">
        <v>70</v>
      </c>
      <c r="G91" s="2" t="s">
        <v>127</v>
      </c>
      <c r="H91" s="2" t="s">
        <v>72</v>
      </c>
      <c r="I91" s="2" t="s">
        <v>73</v>
      </c>
      <c r="J91" s="2" t="s">
        <v>10</v>
      </c>
      <c r="K91" s="2" t="s">
        <v>128</v>
      </c>
      <c r="L91" s="2" t="s">
        <v>75</v>
      </c>
      <c r="M91" s="2" t="s">
        <v>327</v>
      </c>
      <c r="N91" s="2"/>
      <c r="O91" s="2" t="s">
        <v>77</v>
      </c>
      <c r="P91" s="2"/>
      <c r="Q91" s="3"/>
      <c r="R91" s="2"/>
    </row>
    <row r="92" spans="1:18">
      <c r="A92" s="2" t="s">
        <v>375</v>
      </c>
      <c r="B92" s="2" t="s">
        <v>42</v>
      </c>
      <c r="C92" s="2" t="s">
        <v>363</v>
      </c>
      <c r="D92" s="2" t="s">
        <v>376</v>
      </c>
      <c r="E92" s="2" t="s">
        <v>377</v>
      </c>
      <c r="F92" s="2" t="s">
        <v>70</v>
      </c>
      <c r="G92" s="2" t="s">
        <v>127</v>
      </c>
      <c r="H92" s="2" t="s">
        <v>72</v>
      </c>
      <c r="I92" s="2" t="s">
        <v>73</v>
      </c>
      <c r="J92" s="2" t="s">
        <v>10</v>
      </c>
      <c r="K92" s="2" t="s">
        <v>128</v>
      </c>
      <c r="L92" s="2" t="s">
        <v>75</v>
      </c>
      <c r="M92" s="2" t="s">
        <v>327</v>
      </c>
      <c r="N92" s="2"/>
      <c r="O92" s="2" t="s">
        <v>77</v>
      </c>
      <c r="P92" s="2"/>
      <c r="Q92" s="3"/>
      <c r="R92" s="2"/>
    </row>
    <row r="93" spans="1:18">
      <c r="A93" s="2" t="s">
        <v>378</v>
      </c>
      <c r="B93" s="2" t="s">
        <v>42</v>
      </c>
      <c r="C93" s="2" t="s">
        <v>363</v>
      </c>
      <c r="D93" s="2" t="s">
        <v>379</v>
      </c>
      <c r="E93" s="2" t="s">
        <v>380</v>
      </c>
      <c r="F93" s="2" t="s">
        <v>70</v>
      </c>
      <c r="G93" s="2" t="s">
        <v>127</v>
      </c>
      <c r="H93" s="2" t="s">
        <v>72</v>
      </c>
      <c r="I93" s="2" t="s">
        <v>73</v>
      </c>
      <c r="J93" s="2" t="s">
        <v>10</v>
      </c>
      <c r="K93" s="2" t="s">
        <v>128</v>
      </c>
      <c r="L93" s="2" t="s">
        <v>75</v>
      </c>
      <c r="M93" s="2" t="s">
        <v>327</v>
      </c>
      <c r="N93" s="2"/>
      <c r="O93" s="2" t="s">
        <v>77</v>
      </c>
      <c r="P93" s="2"/>
      <c r="Q93" s="3"/>
      <c r="R93" s="2"/>
    </row>
    <row r="94" spans="1:18">
      <c r="A94" s="2" t="s">
        <v>381</v>
      </c>
      <c r="B94" s="2" t="s">
        <v>42</v>
      </c>
      <c r="C94" s="2" t="s">
        <v>382</v>
      </c>
      <c r="D94" s="2" t="s">
        <v>383</v>
      </c>
      <c r="E94" s="2" t="s">
        <v>384</v>
      </c>
      <c r="F94" s="2" t="s">
        <v>70</v>
      </c>
      <c r="G94" s="2" t="s">
        <v>127</v>
      </c>
      <c r="H94" s="2" t="s">
        <v>72</v>
      </c>
      <c r="I94" s="2" t="s">
        <v>73</v>
      </c>
      <c r="J94" s="2" t="s">
        <v>10</v>
      </c>
      <c r="K94" s="2" t="s">
        <v>128</v>
      </c>
      <c r="L94" s="2" t="s">
        <v>75</v>
      </c>
      <c r="M94" s="2" t="s">
        <v>327</v>
      </c>
      <c r="N94" s="2"/>
      <c r="O94" s="2" t="s">
        <v>77</v>
      </c>
      <c r="P94" s="2"/>
      <c r="Q94" s="3"/>
      <c r="R94" s="2"/>
    </row>
    <row r="95" spans="1:18">
      <c r="A95" s="2" t="s">
        <v>385</v>
      </c>
      <c r="B95" s="2" t="s">
        <v>42</v>
      </c>
      <c r="C95" s="2" t="s">
        <v>382</v>
      </c>
      <c r="D95" s="2" t="s">
        <v>386</v>
      </c>
      <c r="E95" s="2" t="s">
        <v>387</v>
      </c>
      <c r="F95" s="2" t="s">
        <v>70</v>
      </c>
      <c r="G95" s="2" t="s">
        <v>127</v>
      </c>
      <c r="H95" s="2" t="s">
        <v>72</v>
      </c>
      <c r="I95" s="2" t="s">
        <v>73</v>
      </c>
      <c r="J95" s="2" t="s">
        <v>10</v>
      </c>
      <c r="K95" s="2" t="s">
        <v>128</v>
      </c>
      <c r="L95" s="2" t="s">
        <v>75</v>
      </c>
      <c r="M95" s="2" t="s">
        <v>327</v>
      </c>
      <c r="N95" s="2"/>
      <c r="O95" s="2" t="s">
        <v>77</v>
      </c>
      <c r="P95" s="2"/>
      <c r="Q95" s="3"/>
      <c r="R95" s="2"/>
    </row>
    <row r="96" spans="1:18">
      <c r="A96" s="2" t="s">
        <v>388</v>
      </c>
      <c r="B96" s="2" t="s">
        <v>42</v>
      </c>
      <c r="C96" s="2" t="s">
        <v>382</v>
      </c>
      <c r="D96" s="2" t="s">
        <v>389</v>
      </c>
      <c r="E96" s="2" t="s">
        <v>390</v>
      </c>
      <c r="F96" s="2" t="s">
        <v>70</v>
      </c>
      <c r="G96" s="2" t="s">
        <v>127</v>
      </c>
      <c r="H96" s="2" t="s">
        <v>72</v>
      </c>
      <c r="I96" s="2" t="s">
        <v>73</v>
      </c>
      <c r="J96" s="2" t="s">
        <v>10</v>
      </c>
      <c r="K96" s="2" t="s">
        <v>128</v>
      </c>
      <c r="L96" s="2" t="s">
        <v>75</v>
      </c>
      <c r="M96" s="2" t="s">
        <v>327</v>
      </c>
      <c r="N96" s="2"/>
      <c r="O96" s="2" t="s">
        <v>77</v>
      </c>
      <c r="P96" s="2"/>
      <c r="Q96" s="3"/>
      <c r="R96" s="2"/>
    </row>
    <row r="97" spans="1:18">
      <c r="A97" s="2" t="s">
        <v>391</v>
      </c>
      <c r="B97" s="2" t="s">
        <v>42</v>
      </c>
      <c r="C97" s="2" t="s">
        <v>382</v>
      </c>
      <c r="D97" s="2" t="s">
        <v>392</v>
      </c>
      <c r="E97" s="2" t="s">
        <v>393</v>
      </c>
      <c r="F97" s="2" t="s">
        <v>70</v>
      </c>
      <c r="G97" s="2" t="s">
        <v>127</v>
      </c>
      <c r="H97" s="2" t="s">
        <v>72</v>
      </c>
      <c r="I97" s="2" t="s">
        <v>73</v>
      </c>
      <c r="J97" s="2" t="s">
        <v>10</v>
      </c>
      <c r="K97" s="2" t="s">
        <v>128</v>
      </c>
      <c r="L97" s="2" t="s">
        <v>75</v>
      </c>
      <c r="M97" s="2" t="s">
        <v>327</v>
      </c>
      <c r="N97" s="2"/>
      <c r="O97" s="2" t="s">
        <v>77</v>
      </c>
      <c r="P97" s="2"/>
      <c r="Q97" s="3"/>
      <c r="R97" s="2"/>
    </row>
    <row r="98" spans="1:18">
      <c r="A98" s="2" t="s">
        <v>394</v>
      </c>
      <c r="B98" s="2" t="s">
        <v>42</v>
      </c>
      <c r="C98" s="2" t="s">
        <v>382</v>
      </c>
      <c r="D98" s="2" t="s">
        <v>395</v>
      </c>
      <c r="E98" s="2" t="s">
        <v>396</v>
      </c>
      <c r="F98" s="2" t="s">
        <v>70</v>
      </c>
      <c r="G98" s="2" t="s">
        <v>127</v>
      </c>
      <c r="H98" s="2" t="s">
        <v>72</v>
      </c>
      <c r="I98" s="2" t="s">
        <v>73</v>
      </c>
      <c r="J98" s="2" t="s">
        <v>10</v>
      </c>
      <c r="K98" s="2" t="s">
        <v>128</v>
      </c>
      <c r="L98" s="2" t="s">
        <v>75</v>
      </c>
      <c r="M98" s="2" t="s">
        <v>327</v>
      </c>
      <c r="N98" s="2"/>
      <c r="O98" s="2" t="s">
        <v>77</v>
      </c>
      <c r="P98" s="2"/>
      <c r="Q98" s="3"/>
      <c r="R98" s="2"/>
    </row>
    <row r="99" spans="1:18">
      <c r="A99" s="2" t="s">
        <v>397</v>
      </c>
      <c r="B99" s="2" t="s">
        <v>42</v>
      </c>
      <c r="C99" s="2" t="s">
        <v>382</v>
      </c>
      <c r="D99" s="2" t="s">
        <v>398</v>
      </c>
      <c r="E99" s="2" t="s">
        <v>399</v>
      </c>
      <c r="F99" s="2" t="s">
        <v>70</v>
      </c>
      <c r="G99" s="2" t="s">
        <v>127</v>
      </c>
      <c r="H99" s="2" t="s">
        <v>72</v>
      </c>
      <c r="I99" s="2" t="s">
        <v>73</v>
      </c>
      <c r="J99" s="2" t="s">
        <v>10</v>
      </c>
      <c r="K99" s="2" t="s">
        <v>128</v>
      </c>
      <c r="L99" s="2" t="s">
        <v>75</v>
      </c>
      <c r="M99" s="2" t="s">
        <v>327</v>
      </c>
      <c r="N99" s="2"/>
      <c r="O99" s="2" t="s">
        <v>77</v>
      </c>
      <c r="P99" s="2"/>
      <c r="Q99" s="3"/>
      <c r="R99" s="2"/>
    </row>
    <row r="100" spans="1:18">
      <c r="A100" s="2" t="s">
        <v>400</v>
      </c>
      <c r="B100" s="2" t="s">
        <v>42</v>
      </c>
      <c r="C100" s="2" t="s">
        <v>401</v>
      </c>
      <c r="D100" s="2" t="s">
        <v>402</v>
      </c>
      <c r="E100" s="2" t="s">
        <v>403</v>
      </c>
      <c r="F100" s="2" t="s">
        <v>70</v>
      </c>
      <c r="G100" s="2" t="s">
        <v>127</v>
      </c>
      <c r="H100" s="2" t="s">
        <v>404</v>
      </c>
      <c r="I100" s="2" t="s">
        <v>405</v>
      </c>
      <c r="J100" s="2" t="s">
        <v>10</v>
      </c>
      <c r="K100" s="2" t="s">
        <v>128</v>
      </c>
      <c r="L100" s="2" t="s">
        <v>75</v>
      </c>
      <c r="M100" s="2" t="s">
        <v>406</v>
      </c>
      <c r="N100" s="2"/>
      <c r="O100" s="2" t="s">
        <v>77</v>
      </c>
      <c r="P100" s="2"/>
      <c r="Q100" s="3"/>
      <c r="R100" s="2"/>
    </row>
    <row r="101" spans="1:18">
      <c r="A101" s="2" t="s">
        <v>407</v>
      </c>
      <c r="B101" s="2" t="s">
        <v>42</v>
      </c>
      <c r="C101" s="2" t="s">
        <v>401</v>
      </c>
      <c r="D101" s="2" t="s">
        <v>408</v>
      </c>
      <c r="E101" s="2" t="s">
        <v>409</v>
      </c>
      <c r="F101" s="2" t="s">
        <v>70</v>
      </c>
      <c r="G101" s="2" t="s">
        <v>127</v>
      </c>
      <c r="H101" s="2" t="s">
        <v>404</v>
      </c>
      <c r="I101" s="2" t="s">
        <v>405</v>
      </c>
      <c r="J101" s="2" t="s">
        <v>10</v>
      </c>
      <c r="K101" s="2" t="s">
        <v>128</v>
      </c>
      <c r="L101" s="2" t="s">
        <v>75</v>
      </c>
      <c r="M101" s="2" t="s">
        <v>406</v>
      </c>
      <c r="N101" s="2"/>
      <c r="O101" s="2" t="s">
        <v>77</v>
      </c>
      <c r="P101" s="2"/>
      <c r="Q101" s="3"/>
      <c r="R101" s="2"/>
    </row>
    <row r="102" spans="1:18">
      <c r="A102" s="2" t="s">
        <v>410</v>
      </c>
      <c r="B102" s="2" t="s">
        <v>42</v>
      </c>
      <c r="C102" s="2" t="s">
        <v>401</v>
      </c>
      <c r="D102" s="2" t="s">
        <v>411</v>
      </c>
      <c r="E102" s="2" t="s">
        <v>412</v>
      </c>
      <c r="F102" s="2" t="s">
        <v>70</v>
      </c>
      <c r="G102" s="2" t="s">
        <v>127</v>
      </c>
      <c r="H102" s="2" t="s">
        <v>404</v>
      </c>
      <c r="I102" s="2" t="s">
        <v>405</v>
      </c>
      <c r="J102" s="2" t="s">
        <v>10</v>
      </c>
      <c r="K102" s="2" t="s">
        <v>128</v>
      </c>
      <c r="L102" s="2" t="s">
        <v>75</v>
      </c>
      <c r="M102" s="2" t="s">
        <v>406</v>
      </c>
      <c r="N102" s="2"/>
      <c r="O102" s="2" t="s">
        <v>77</v>
      </c>
      <c r="P102" s="2"/>
      <c r="Q102" s="3"/>
      <c r="R102" s="2"/>
    </row>
    <row r="103" spans="1:18">
      <c r="A103" s="2" t="s">
        <v>413</v>
      </c>
      <c r="B103" s="2" t="s">
        <v>42</v>
      </c>
      <c r="C103" s="2" t="s">
        <v>401</v>
      </c>
      <c r="D103" s="2" t="s">
        <v>414</v>
      </c>
      <c r="E103" s="2" t="s">
        <v>415</v>
      </c>
      <c r="F103" s="2" t="s">
        <v>70</v>
      </c>
      <c r="G103" s="2" t="s">
        <v>127</v>
      </c>
      <c r="H103" s="2" t="s">
        <v>404</v>
      </c>
      <c r="I103" s="2" t="s">
        <v>405</v>
      </c>
      <c r="J103" s="2" t="s">
        <v>10</v>
      </c>
      <c r="K103" s="2" t="s">
        <v>128</v>
      </c>
      <c r="L103" s="2" t="s">
        <v>75</v>
      </c>
      <c r="M103" s="2" t="s">
        <v>406</v>
      </c>
      <c r="N103" s="2"/>
      <c r="O103" s="2" t="s">
        <v>77</v>
      </c>
      <c r="P103" s="2"/>
      <c r="Q103" s="3"/>
      <c r="R103" s="2"/>
    </row>
    <row r="104" spans="1:18">
      <c r="A104" s="2" t="s">
        <v>416</v>
      </c>
      <c r="B104" s="2" t="s">
        <v>42</v>
      </c>
      <c r="C104" s="2" t="s">
        <v>417</v>
      </c>
      <c r="D104" s="2" t="s">
        <v>418</v>
      </c>
      <c r="E104" s="2" t="s">
        <v>419</v>
      </c>
      <c r="F104" s="2" t="s">
        <v>70</v>
      </c>
      <c r="G104" s="2" t="s">
        <v>127</v>
      </c>
      <c r="H104" s="2" t="s">
        <v>404</v>
      </c>
      <c r="I104" s="2" t="s">
        <v>405</v>
      </c>
      <c r="J104" s="2" t="s">
        <v>10</v>
      </c>
      <c r="K104" s="2" t="s">
        <v>128</v>
      </c>
      <c r="L104" s="2" t="s">
        <v>75</v>
      </c>
      <c r="M104" s="2" t="s">
        <v>406</v>
      </c>
      <c r="N104" s="2"/>
      <c r="O104" s="2" t="s">
        <v>77</v>
      </c>
      <c r="P104" s="2"/>
      <c r="Q104" s="3"/>
      <c r="R104" s="2"/>
    </row>
    <row r="105" spans="1:18">
      <c r="A105" s="2" t="s">
        <v>420</v>
      </c>
      <c r="B105" s="2" t="s">
        <v>42</v>
      </c>
      <c r="C105" s="2" t="s">
        <v>417</v>
      </c>
      <c r="D105" s="2" t="s">
        <v>421</v>
      </c>
      <c r="E105" s="2" t="s">
        <v>422</v>
      </c>
      <c r="F105" s="2" t="s">
        <v>70</v>
      </c>
      <c r="G105" s="2" t="s">
        <v>127</v>
      </c>
      <c r="H105" s="2" t="s">
        <v>404</v>
      </c>
      <c r="I105" s="2" t="s">
        <v>405</v>
      </c>
      <c r="J105" s="2" t="s">
        <v>10</v>
      </c>
      <c r="K105" s="2" t="s">
        <v>128</v>
      </c>
      <c r="L105" s="2" t="s">
        <v>75</v>
      </c>
      <c r="M105" s="2" t="s">
        <v>406</v>
      </c>
      <c r="N105" s="2"/>
      <c r="O105" s="2" t="s">
        <v>77</v>
      </c>
      <c r="P105" s="2"/>
      <c r="Q105" s="3"/>
      <c r="R105" s="2"/>
    </row>
    <row r="106" spans="1:18">
      <c r="A106" s="2" t="s">
        <v>423</v>
      </c>
      <c r="B106" s="2" t="s">
        <v>42</v>
      </c>
      <c r="C106" s="2" t="s">
        <v>417</v>
      </c>
      <c r="D106" s="2" t="s">
        <v>424</v>
      </c>
      <c r="E106" s="2" t="s">
        <v>425</v>
      </c>
      <c r="F106" s="2" t="s">
        <v>70</v>
      </c>
      <c r="G106" s="2" t="s">
        <v>127</v>
      </c>
      <c r="H106" s="2" t="s">
        <v>404</v>
      </c>
      <c r="I106" s="2" t="s">
        <v>405</v>
      </c>
      <c r="J106" s="2" t="s">
        <v>10</v>
      </c>
      <c r="K106" s="2" t="s">
        <v>128</v>
      </c>
      <c r="L106" s="2" t="s">
        <v>75</v>
      </c>
      <c r="M106" s="2" t="s">
        <v>406</v>
      </c>
      <c r="N106" s="2"/>
      <c r="O106" s="2" t="s">
        <v>77</v>
      </c>
      <c r="P106" s="2"/>
      <c r="Q106" s="3"/>
      <c r="R106" s="2"/>
    </row>
    <row r="107" spans="1:18">
      <c r="A107" s="2" t="s">
        <v>426</v>
      </c>
      <c r="B107" s="2" t="s">
        <v>42</v>
      </c>
      <c r="C107" s="2" t="s">
        <v>417</v>
      </c>
      <c r="D107" s="2" t="s">
        <v>427</v>
      </c>
      <c r="E107" s="2" t="s">
        <v>428</v>
      </c>
      <c r="F107" s="2" t="s">
        <v>70</v>
      </c>
      <c r="G107" s="2" t="s">
        <v>127</v>
      </c>
      <c r="H107" s="2" t="s">
        <v>404</v>
      </c>
      <c r="I107" s="2" t="s">
        <v>405</v>
      </c>
      <c r="J107" s="2" t="s">
        <v>10</v>
      </c>
      <c r="K107" s="2" t="s">
        <v>128</v>
      </c>
      <c r="L107" s="2" t="s">
        <v>75</v>
      </c>
      <c r="M107" s="2" t="s">
        <v>406</v>
      </c>
      <c r="N107" s="2"/>
      <c r="O107" s="2" t="s">
        <v>77</v>
      </c>
      <c r="P107" s="2"/>
      <c r="Q107" s="3"/>
      <c r="R107" s="2"/>
    </row>
    <row r="108" spans="1:18">
      <c r="A108" s="2" t="s">
        <v>429</v>
      </c>
      <c r="B108" s="2" t="s">
        <v>42</v>
      </c>
      <c r="C108" s="2" t="s">
        <v>430</v>
      </c>
      <c r="D108" s="2" t="s">
        <v>431</v>
      </c>
      <c r="E108" s="2" t="s">
        <v>432</v>
      </c>
      <c r="F108" s="2" t="s">
        <v>70</v>
      </c>
      <c r="G108" s="2" t="s">
        <v>127</v>
      </c>
      <c r="H108" s="2" t="s">
        <v>404</v>
      </c>
      <c r="I108" s="2" t="s">
        <v>405</v>
      </c>
      <c r="J108" s="2" t="s">
        <v>10</v>
      </c>
      <c r="K108" s="2" t="s">
        <v>128</v>
      </c>
      <c r="L108" s="2" t="s">
        <v>75</v>
      </c>
      <c r="M108" s="2" t="s">
        <v>406</v>
      </c>
      <c r="N108" s="2"/>
      <c r="O108" s="2" t="s">
        <v>77</v>
      </c>
      <c r="P108" s="2"/>
      <c r="Q108" s="3"/>
      <c r="R108" s="2"/>
    </row>
    <row r="109" spans="1:18">
      <c r="A109" s="2" t="s">
        <v>433</v>
      </c>
      <c r="B109" s="2" t="s">
        <v>42</v>
      </c>
      <c r="C109" s="2" t="s">
        <v>430</v>
      </c>
      <c r="D109" s="2" t="s">
        <v>434</v>
      </c>
      <c r="E109" s="2" t="s">
        <v>435</v>
      </c>
      <c r="F109" s="2" t="s">
        <v>70</v>
      </c>
      <c r="G109" s="2" t="s">
        <v>127</v>
      </c>
      <c r="H109" s="2" t="s">
        <v>404</v>
      </c>
      <c r="I109" s="2" t="s">
        <v>405</v>
      </c>
      <c r="J109" s="2" t="s">
        <v>10</v>
      </c>
      <c r="K109" s="2" t="s">
        <v>128</v>
      </c>
      <c r="L109" s="2" t="s">
        <v>75</v>
      </c>
      <c r="M109" s="2" t="s">
        <v>406</v>
      </c>
      <c r="N109" s="2"/>
      <c r="O109" s="2" t="s">
        <v>77</v>
      </c>
      <c r="P109" s="2"/>
      <c r="Q109" s="3"/>
      <c r="R109" s="2"/>
    </row>
    <row r="110" spans="1:18">
      <c r="A110" s="2" t="s">
        <v>436</v>
      </c>
      <c r="B110" s="2" t="s">
        <v>42</v>
      </c>
      <c r="C110" s="2" t="s">
        <v>430</v>
      </c>
      <c r="D110" s="2" t="s">
        <v>367</v>
      </c>
      <c r="E110" s="2" t="s">
        <v>437</v>
      </c>
      <c r="F110" s="2" t="s">
        <v>70</v>
      </c>
      <c r="G110" s="2" t="s">
        <v>127</v>
      </c>
      <c r="H110" s="2" t="s">
        <v>404</v>
      </c>
      <c r="I110" s="2" t="s">
        <v>405</v>
      </c>
      <c r="J110" s="2" t="s">
        <v>10</v>
      </c>
      <c r="K110" s="2" t="s">
        <v>128</v>
      </c>
      <c r="L110" s="2" t="s">
        <v>75</v>
      </c>
      <c r="M110" s="2" t="s">
        <v>406</v>
      </c>
      <c r="N110" s="2"/>
      <c r="O110" s="2" t="s">
        <v>77</v>
      </c>
      <c r="P110" s="2"/>
      <c r="Q110" s="3"/>
      <c r="R110" s="2"/>
    </row>
    <row r="111" spans="1:18">
      <c r="A111" s="2" t="s">
        <v>438</v>
      </c>
      <c r="B111" s="2" t="s">
        <v>42</v>
      </c>
      <c r="C111" s="2" t="s">
        <v>430</v>
      </c>
      <c r="D111" s="2" t="s">
        <v>439</v>
      </c>
      <c r="E111" s="2" t="s">
        <v>440</v>
      </c>
      <c r="F111" s="2" t="s">
        <v>70</v>
      </c>
      <c r="G111" s="2" t="s">
        <v>127</v>
      </c>
      <c r="H111" s="2" t="s">
        <v>404</v>
      </c>
      <c r="I111" s="2" t="s">
        <v>405</v>
      </c>
      <c r="J111" s="2" t="s">
        <v>10</v>
      </c>
      <c r="K111" s="2" t="s">
        <v>128</v>
      </c>
      <c r="L111" s="2" t="s">
        <v>75</v>
      </c>
      <c r="M111" s="2" t="s">
        <v>406</v>
      </c>
      <c r="N111" s="2"/>
      <c r="O111" s="2" t="s">
        <v>77</v>
      </c>
      <c r="P111" s="2"/>
      <c r="Q111" s="3"/>
      <c r="R111" s="2"/>
    </row>
    <row r="112" spans="1:18">
      <c r="A112" s="2" t="s">
        <v>441</v>
      </c>
      <c r="B112" s="2" t="s">
        <v>42</v>
      </c>
      <c r="C112" s="2" t="s">
        <v>442</v>
      </c>
      <c r="D112" s="2" t="s">
        <v>443</v>
      </c>
      <c r="E112" s="2" t="s">
        <v>444</v>
      </c>
      <c r="F112" s="2" t="s">
        <v>70</v>
      </c>
      <c r="G112" s="2" t="s">
        <v>127</v>
      </c>
      <c r="H112" s="2" t="s">
        <v>404</v>
      </c>
      <c r="I112" s="2" t="s">
        <v>405</v>
      </c>
      <c r="J112" s="2" t="s">
        <v>10</v>
      </c>
      <c r="K112" s="2" t="s">
        <v>128</v>
      </c>
      <c r="L112" s="2" t="s">
        <v>75</v>
      </c>
      <c r="M112" s="2" t="s">
        <v>406</v>
      </c>
      <c r="N112" s="2"/>
      <c r="O112" s="2" t="s">
        <v>77</v>
      </c>
      <c r="P112" s="2"/>
      <c r="Q112" s="3"/>
      <c r="R112" s="2"/>
    </row>
    <row r="113" spans="1:18">
      <c r="A113" s="2" t="s">
        <v>445</v>
      </c>
      <c r="B113" s="2" t="s">
        <v>42</v>
      </c>
      <c r="C113" s="2" t="s">
        <v>442</v>
      </c>
      <c r="D113" s="2" t="s">
        <v>446</v>
      </c>
      <c r="E113" s="2" t="s">
        <v>447</v>
      </c>
      <c r="F113" s="2" t="s">
        <v>70</v>
      </c>
      <c r="G113" s="2" t="s">
        <v>127</v>
      </c>
      <c r="H113" s="2" t="s">
        <v>404</v>
      </c>
      <c r="I113" s="2" t="s">
        <v>405</v>
      </c>
      <c r="J113" s="2" t="s">
        <v>10</v>
      </c>
      <c r="K113" s="2" t="s">
        <v>128</v>
      </c>
      <c r="L113" s="2" t="s">
        <v>75</v>
      </c>
      <c r="M113" s="2" t="s">
        <v>406</v>
      </c>
      <c r="N113" s="2"/>
      <c r="O113" s="2" t="s">
        <v>77</v>
      </c>
      <c r="P113" s="2"/>
      <c r="Q113" s="3"/>
      <c r="R113" s="2"/>
    </row>
    <row r="114" spans="1:18">
      <c r="A114" s="2" t="s">
        <v>448</v>
      </c>
      <c r="B114" s="2" t="s">
        <v>42</v>
      </c>
      <c r="C114" s="2" t="s">
        <v>442</v>
      </c>
      <c r="D114" s="2" t="s">
        <v>449</v>
      </c>
      <c r="E114" s="2" t="s">
        <v>450</v>
      </c>
      <c r="F114" s="2" t="s">
        <v>70</v>
      </c>
      <c r="G114" s="2" t="s">
        <v>127</v>
      </c>
      <c r="H114" s="2" t="s">
        <v>404</v>
      </c>
      <c r="I114" s="2" t="s">
        <v>405</v>
      </c>
      <c r="J114" s="2" t="s">
        <v>10</v>
      </c>
      <c r="K114" s="2" t="s">
        <v>128</v>
      </c>
      <c r="L114" s="2" t="s">
        <v>75</v>
      </c>
      <c r="M114" s="2" t="s">
        <v>406</v>
      </c>
      <c r="N114" s="2"/>
      <c r="O114" s="2" t="s">
        <v>77</v>
      </c>
      <c r="P114" s="2"/>
      <c r="Q114" s="3"/>
      <c r="R114" s="2"/>
    </row>
    <row r="115" spans="1:18">
      <c r="A115" s="2" t="s">
        <v>451</v>
      </c>
      <c r="B115" s="2" t="s">
        <v>42</v>
      </c>
      <c r="C115" s="2" t="s">
        <v>442</v>
      </c>
      <c r="D115" s="2" t="s">
        <v>452</v>
      </c>
      <c r="E115" s="2" t="s">
        <v>453</v>
      </c>
      <c r="F115" s="2" t="s">
        <v>70</v>
      </c>
      <c r="G115" s="2" t="s">
        <v>127</v>
      </c>
      <c r="H115" s="2" t="s">
        <v>404</v>
      </c>
      <c r="I115" s="2" t="s">
        <v>405</v>
      </c>
      <c r="J115" s="2" t="s">
        <v>10</v>
      </c>
      <c r="K115" s="2" t="s">
        <v>128</v>
      </c>
      <c r="L115" s="2" t="s">
        <v>75</v>
      </c>
      <c r="M115" s="2" t="s">
        <v>406</v>
      </c>
      <c r="N115" s="2"/>
      <c r="O115" s="2" t="s">
        <v>77</v>
      </c>
      <c r="P115" s="2"/>
      <c r="Q115" s="3"/>
      <c r="R115" s="2"/>
    </row>
    <row r="116" spans="1:18">
      <c r="A116" s="2" t="s">
        <v>454</v>
      </c>
      <c r="B116" s="2" t="s">
        <v>42</v>
      </c>
      <c r="C116" s="2" t="s">
        <v>455</v>
      </c>
      <c r="D116" s="2" t="s">
        <v>456</v>
      </c>
      <c r="E116" s="2" t="s">
        <v>457</v>
      </c>
      <c r="F116" s="2" t="s">
        <v>70</v>
      </c>
      <c r="G116" s="2" t="s">
        <v>127</v>
      </c>
      <c r="H116" s="2" t="s">
        <v>404</v>
      </c>
      <c r="I116" s="2" t="s">
        <v>405</v>
      </c>
      <c r="J116" s="2" t="s">
        <v>10</v>
      </c>
      <c r="K116" s="2" t="s">
        <v>128</v>
      </c>
      <c r="L116" s="2" t="s">
        <v>75</v>
      </c>
      <c r="M116" s="2" t="s">
        <v>406</v>
      </c>
      <c r="N116" s="2"/>
      <c r="O116" s="2" t="s">
        <v>77</v>
      </c>
      <c r="P116" s="2"/>
      <c r="Q116" s="3"/>
      <c r="R116" s="2"/>
    </row>
    <row r="117" spans="1:18">
      <c r="A117" s="2" t="s">
        <v>458</v>
      </c>
      <c r="B117" s="2" t="s">
        <v>42</v>
      </c>
      <c r="C117" s="2" t="s">
        <v>455</v>
      </c>
      <c r="D117" s="2" t="s">
        <v>459</v>
      </c>
      <c r="E117" s="2" t="s">
        <v>460</v>
      </c>
      <c r="F117" s="2" t="s">
        <v>70</v>
      </c>
      <c r="G117" s="2" t="s">
        <v>127</v>
      </c>
      <c r="H117" s="2" t="s">
        <v>404</v>
      </c>
      <c r="I117" s="2" t="s">
        <v>405</v>
      </c>
      <c r="J117" s="2" t="s">
        <v>10</v>
      </c>
      <c r="K117" s="2" t="s">
        <v>128</v>
      </c>
      <c r="L117" s="2" t="s">
        <v>75</v>
      </c>
      <c r="M117" s="2" t="s">
        <v>406</v>
      </c>
      <c r="N117" s="2"/>
      <c r="O117" s="2" t="s">
        <v>77</v>
      </c>
      <c r="P117" s="2"/>
      <c r="Q117" s="3"/>
      <c r="R117" s="2"/>
    </row>
    <row r="118" spans="1:18">
      <c r="A118" s="2" t="s">
        <v>461</v>
      </c>
      <c r="B118" s="2" t="s">
        <v>42</v>
      </c>
      <c r="C118" s="2" t="s">
        <v>455</v>
      </c>
      <c r="D118" s="2" t="s">
        <v>462</v>
      </c>
      <c r="E118" s="2" t="s">
        <v>463</v>
      </c>
      <c r="F118" s="2" t="s">
        <v>70</v>
      </c>
      <c r="G118" s="2" t="s">
        <v>127</v>
      </c>
      <c r="H118" s="2" t="s">
        <v>404</v>
      </c>
      <c r="I118" s="2" t="s">
        <v>405</v>
      </c>
      <c r="J118" s="2" t="s">
        <v>10</v>
      </c>
      <c r="K118" s="2" t="s">
        <v>128</v>
      </c>
      <c r="L118" s="2" t="s">
        <v>75</v>
      </c>
      <c r="M118" s="2" t="s">
        <v>406</v>
      </c>
      <c r="N118" s="2"/>
      <c r="O118" s="2" t="s">
        <v>77</v>
      </c>
      <c r="P118" s="2"/>
      <c r="Q118" s="3"/>
      <c r="R118" s="2"/>
    </row>
    <row r="119" spans="1:18">
      <c r="A119" s="2" t="s">
        <v>464</v>
      </c>
      <c r="B119" s="2" t="s">
        <v>42</v>
      </c>
      <c r="C119" s="2" t="s">
        <v>465</v>
      </c>
      <c r="D119" s="2" t="s">
        <v>466</v>
      </c>
      <c r="E119" s="2" t="s">
        <v>467</v>
      </c>
      <c r="F119" s="2" t="s">
        <v>70</v>
      </c>
      <c r="G119" s="2" t="s">
        <v>127</v>
      </c>
      <c r="H119" s="2" t="s">
        <v>404</v>
      </c>
      <c r="I119" s="2" t="s">
        <v>405</v>
      </c>
      <c r="J119" s="2" t="s">
        <v>10</v>
      </c>
      <c r="K119" s="2" t="s">
        <v>128</v>
      </c>
      <c r="L119" s="2" t="s">
        <v>75</v>
      </c>
      <c r="M119" s="2" t="s">
        <v>406</v>
      </c>
      <c r="N119" s="2"/>
      <c r="O119" s="2" t="s">
        <v>77</v>
      </c>
      <c r="P119" s="2"/>
      <c r="Q119" s="3"/>
      <c r="R119" s="2"/>
    </row>
    <row r="120" spans="1:18">
      <c r="A120" s="2" t="s">
        <v>468</v>
      </c>
      <c r="B120" s="2" t="s">
        <v>42</v>
      </c>
      <c r="C120" s="2" t="s">
        <v>465</v>
      </c>
      <c r="D120" s="2" t="s">
        <v>469</v>
      </c>
      <c r="E120" s="2" t="s">
        <v>470</v>
      </c>
      <c r="F120" s="2" t="s">
        <v>70</v>
      </c>
      <c r="G120" s="2" t="s">
        <v>127</v>
      </c>
      <c r="H120" s="2" t="s">
        <v>404</v>
      </c>
      <c r="I120" s="2" t="s">
        <v>405</v>
      </c>
      <c r="J120" s="2" t="s">
        <v>10</v>
      </c>
      <c r="K120" s="2" t="s">
        <v>128</v>
      </c>
      <c r="L120" s="2" t="s">
        <v>75</v>
      </c>
      <c r="M120" s="2" t="s">
        <v>406</v>
      </c>
      <c r="N120" s="2"/>
      <c r="O120" s="2" t="s">
        <v>77</v>
      </c>
      <c r="P120" s="2"/>
      <c r="Q120" s="3"/>
      <c r="R120" s="2"/>
    </row>
    <row r="121" spans="1:18">
      <c r="A121" s="2" t="s">
        <v>471</v>
      </c>
      <c r="B121" s="2" t="s">
        <v>42</v>
      </c>
      <c r="C121" s="2" t="s">
        <v>465</v>
      </c>
      <c r="D121" s="2" t="s">
        <v>472</v>
      </c>
      <c r="E121" s="2" t="s">
        <v>473</v>
      </c>
      <c r="F121" s="2" t="s">
        <v>70</v>
      </c>
      <c r="G121" s="2" t="s">
        <v>127</v>
      </c>
      <c r="H121" s="2" t="s">
        <v>404</v>
      </c>
      <c r="I121" s="2" t="s">
        <v>405</v>
      </c>
      <c r="J121" s="2" t="s">
        <v>10</v>
      </c>
      <c r="K121" s="2" t="s">
        <v>128</v>
      </c>
      <c r="L121" s="2" t="s">
        <v>75</v>
      </c>
      <c r="M121" s="2" t="s">
        <v>406</v>
      </c>
      <c r="N121" s="2"/>
      <c r="O121" s="2" t="s">
        <v>77</v>
      </c>
      <c r="P121" s="2"/>
      <c r="Q121" s="3"/>
      <c r="R121" s="2"/>
    </row>
    <row r="122" spans="1:18">
      <c r="A122" s="2" t="s">
        <v>474</v>
      </c>
      <c r="B122" s="2" t="s">
        <v>42</v>
      </c>
      <c r="C122" s="2" t="s">
        <v>475</v>
      </c>
      <c r="D122" s="2" t="s">
        <v>476</v>
      </c>
      <c r="E122" s="2" t="s">
        <v>477</v>
      </c>
      <c r="F122" s="2" t="s">
        <v>70</v>
      </c>
      <c r="G122" s="2" t="s">
        <v>127</v>
      </c>
      <c r="H122" s="2" t="s">
        <v>404</v>
      </c>
      <c r="I122" s="2" t="s">
        <v>405</v>
      </c>
      <c r="J122" s="2" t="s">
        <v>10</v>
      </c>
      <c r="K122" s="2" t="s">
        <v>128</v>
      </c>
      <c r="L122" s="2" t="s">
        <v>75</v>
      </c>
      <c r="M122" s="2" t="s">
        <v>406</v>
      </c>
      <c r="N122" s="2"/>
      <c r="O122" s="2" t="s">
        <v>77</v>
      </c>
      <c r="P122" s="2"/>
      <c r="Q122" s="3"/>
      <c r="R122" s="2"/>
    </row>
    <row r="123" spans="1:18">
      <c r="A123" s="2" t="s">
        <v>478</v>
      </c>
      <c r="B123" s="2" t="s">
        <v>42</v>
      </c>
      <c r="C123" s="2" t="s">
        <v>475</v>
      </c>
      <c r="D123" s="2" t="s">
        <v>367</v>
      </c>
      <c r="E123" s="2" t="s">
        <v>479</v>
      </c>
      <c r="F123" s="2" t="s">
        <v>70</v>
      </c>
      <c r="G123" s="2" t="s">
        <v>127</v>
      </c>
      <c r="H123" s="2" t="s">
        <v>404</v>
      </c>
      <c r="I123" s="2" t="s">
        <v>405</v>
      </c>
      <c r="J123" s="2" t="s">
        <v>10</v>
      </c>
      <c r="K123" s="2" t="s">
        <v>128</v>
      </c>
      <c r="L123" s="2" t="s">
        <v>75</v>
      </c>
      <c r="M123" s="2" t="s">
        <v>406</v>
      </c>
      <c r="N123" s="2"/>
      <c r="O123" s="2" t="s">
        <v>77</v>
      </c>
      <c r="P123" s="2"/>
      <c r="Q123" s="3"/>
      <c r="R123" s="2"/>
    </row>
    <row r="124" spans="1:18">
      <c r="A124" s="2" t="s">
        <v>480</v>
      </c>
      <c r="B124" s="2" t="s">
        <v>42</v>
      </c>
      <c r="C124" s="2" t="s">
        <v>475</v>
      </c>
      <c r="D124" s="2" t="s">
        <v>481</v>
      </c>
      <c r="E124" s="2" t="s">
        <v>482</v>
      </c>
      <c r="F124" s="2" t="s">
        <v>70</v>
      </c>
      <c r="G124" s="2" t="s">
        <v>127</v>
      </c>
      <c r="H124" s="2" t="s">
        <v>404</v>
      </c>
      <c r="I124" s="2" t="s">
        <v>405</v>
      </c>
      <c r="J124" s="2" t="s">
        <v>10</v>
      </c>
      <c r="K124" s="2" t="s">
        <v>128</v>
      </c>
      <c r="L124" s="2" t="s">
        <v>75</v>
      </c>
      <c r="M124" s="2" t="s">
        <v>406</v>
      </c>
      <c r="N124" s="2"/>
      <c r="O124" s="2" t="s">
        <v>77</v>
      </c>
      <c r="P124" s="2"/>
      <c r="Q124" s="3"/>
      <c r="R124" s="2"/>
    </row>
    <row r="125" spans="1:18">
      <c r="A125" s="2" t="s">
        <v>483</v>
      </c>
      <c r="B125" s="2" t="s">
        <v>42</v>
      </c>
      <c r="C125" s="2" t="s">
        <v>484</v>
      </c>
      <c r="D125" s="2" t="s">
        <v>485</v>
      </c>
      <c r="E125" s="2" t="s">
        <v>486</v>
      </c>
      <c r="F125" s="2" t="s">
        <v>70</v>
      </c>
      <c r="G125" s="2" t="s">
        <v>127</v>
      </c>
      <c r="H125" s="2" t="s">
        <v>404</v>
      </c>
      <c r="I125" s="2" t="s">
        <v>405</v>
      </c>
      <c r="J125" s="2" t="s">
        <v>10</v>
      </c>
      <c r="K125" s="2" t="s">
        <v>128</v>
      </c>
      <c r="L125" s="2" t="s">
        <v>75</v>
      </c>
      <c r="M125" s="2" t="s">
        <v>406</v>
      </c>
      <c r="N125" s="2"/>
      <c r="O125" s="2" t="s">
        <v>77</v>
      </c>
      <c r="P125" s="2"/>
      <c r="Q125" s="3"/>
      <c r="R125" s="2"/>
    </row>
    <row r="126" spans="1:18">
      <c r="A126" s="2" t="s">
        <v>487</v>
      </c>
      <c r="B126" s="2" t="s">
        <v>42</v>
      </c>
      <c r="C126" s="2" t="s">
        <v>484</v>
      </c>
      <c r="D126" s="2" t="s">
        <v>488</v>
      </c>
      <c r="E126" s="2" t="s">
        <v>489</v>
      </c>
      <c r="F126" s="2" t="s">
        <v>70</v>
      </c>
      <c r="G126" s="2" t="s">
        <v>127</v>
      </c>
      <c r="H126" s="2" t="s">
        <v>404</v>
      </c>
      <c r="I126" s="2" t="s">
        <v>405</v>
      </c>
      <c r="J126" s="2" t="s">
        <v>10</v>
      </c>
      <c r="K126" s="2" t="s">
        <v>128</v>
      </c>
      <c r="L126" s="2" t="s">
        <v>75</v>
      </c>
      <c r="M126" s="2" t="s">
        <v>406</v>
      </c>
      <c r="N126" s="2"/>
      <c r="O126" s="2" t="s">
        <v>77</v>
      </c>
      <c r="P126" s="2"/>
      <c r="Q126" s="3"/>
      <c r="R126" s="2"/>
    </row>
    <row r="127" spans="1:18" ht="25.5">
      <c r="A127" s="2" t="s">
        <v>490</v>
      </c>
      <c r="B127" s="2" t="s">
        <v>42</v>
      </c>
      <c r="C127" s="2" t="s">
        <v>484</v>
      </c>
      <c r="D127" s="2" t="s">
        <v>491</v>
      </c>
      <c r="E127" s="2" t="s">
        <v>492</v>
      </c>
      <c r="F127" s="2" t="s">
        <v>70</v>
      </c>
      <c r="G127" s="2" t="s">
        <v>127</v>
      </c>
      <c r="H127" s="2" t="s">
        <v>404</v>
      </c>
      <c r="I127" s="2" t="s">
        <v>405</v>
      </c>
      <c r="J127" s="2" t="s">
        <v>10</v>
      </c>
      <c r="K127" s="2" t="s">
        <v>128</v>
      </c>
      <c r="L127" s="2" t="s">
        <v>75</v>
      </c>
      <c r="M127" s="2" t="s">
        <v>406</v>
      </c>
      <c r="N127" s="2"/>
      <c r="O127" s="2" t="s">
        <v>77</v>
      </c>
      <c r="P127" s="2"/>
      <c r="Q127" s="3"/>
      <c r="R127" s="2"/>
    </row>
    <row r="128" spans="1:18">
      <c r="A128" s="2" t="s">
        <v>493</v>
      </c>
      <c r="B128" s="2" t="s">
        <v>42</v>
      </c>
      <c r="C128" s="2" t="s">
        <v>494</v>
      </c>
      <c r="D128" s="2" t="s">
        <v>495</v>
      </c>
      <c r="E128" s="2" t="s">
        <v>496</v>
      </c>
      <c r="F128" s="2" t="s">
        <v>70</v>
      </c>
      <c r="G128" s="2" t="s">
        <v>127</v>
      </c>
      <c r="H128" s="2" t="s">
        <v>404</v>
      </c>
      <c r="I128" s="2" t="s">
        <v>405</v>
      </c>
      <c r="J128" s="2" t="s">
        <v>10</v>
      </c>
      <c r="K128" s="2" t="s">
        <v>128</v>
      </c>
      <c r="L128" s="2" t="s">
        <v>75</v>
      </c>
      <c r="M128" s="2" t="s">
        <v>406</v>
      </c>
      <c r="N128" s="2"/>
      <c r="O128" s="2" t="s">
        <v>77</v>
      </c>
      <c r="P128" s="2"/>
      <c r="Q128" s="3"/>
      <c r="R128" s="2"/>
    </row>
    <row r="129" spans="1:18">
      <c r="A129" s="2" t="s">
        <v>497</v>
      </c>
      <c r="B129" s="2" t="s">
        <v>42</v>
      </c>
      <c r="C129" s="2" t="s">
        <v>494</v>
      </c>
      <c r="D129" s="2" t="s">
        <v>498</v>
      </c>
      <c r="E129" s="2" t="s">
        <v>499</v>
      </c>
      <c r="F129" s="2" t="s">
        <v>70</v>
      </c>
      <c r="G129" s="2" t="s">
        <v>127</v>
      </c>
      <c r="H129" s="2" t="s">
        <v>404</v>
      </c>
      <c r="I129" s="2" t="s">
        <v>405</v>
      </c>
      <c r="J129" s="2" t="s">
        <v>10</v>
      </c>
      <c r="K129" s="2" t="s">
        <v>128</v>
      </c>
      <c r="L129" s="2" t="s">
        <v>75</v>
      </c>
      <c r="M129" s="2" t="s">
        <v>406</v>
      </c>
      <c r="N129" s="2"/>
      <c r="O129" s="2" t="s">
        <v>77</v>
      </c>
      <c r="P129" s="2"/>
      <c r="Q129" s="3"/>
      <c r="R129" s="2"/>
    </row>
    <row r="130" spans="1:18">
      <c r="A130" s="2" t="s">
        <v>500</v>
      </c>
      <c r="B130" s="2" t="s">
        <v>42</v>
      </c>
      <c r="C130" s="2" t="s">
        <v>494</v>
      </c>
      <c r="D130" s="2" t="s">
        <v>501</v>
      </c>
      <c r="E130" s="2" t="s">
        <v>502</v>
      </c>
      <c r="F130" s="2" t="s">
        <v>70</v>
      </c>
      <c r="G130" s="2" t="s">
        <v>127</v>
      </c>
      <c r="H130" s="2" t="s">
        <v>404</v>
      </c>
      <c r="I130" s="2" t="s">
        <v>405</v>
      </c>
      <c r="J130" s="2" t="s">
        <v>10</v>
      </c>
      <c r="K130" s="2" t="s">
        <v>128</v>
      </c>
      <c r="L130" s="2" t="s">
        <v>75</v>
      </c>
      <c r="M130" s="2" t="s">
        <v>406</v>
      </c>
      <c r="N130" s="2"/>
      <c r="O130" s="2" t="s">
        <v>77</v>
      </c>
      <c r="P130" s="2"/>
      <c r="Q130" s="3"/>
      <c r="R130" s="2"/>
    </row>
    <row r="131" spans="1:18">
      <c r="A131" s="2" t="s">
        <v>503</v>
      </c>
      <c r="B131" s="2" t="s">
        <v>42</v>
      </c>
      <c r="C131" s="2" t="s">
        <v>504</v>
      </c>
      <c r="D131" s="2" t="s">
        <v>505</v>
      </c>
      <c r="E131" s="2" t="s">
        <v>506</v>
      </c>
      <c r="F131" s="2" t="s">
        <v>70</v>
      </c>
      <c r="G131" s="2" t="s">
        <v>127</v>
      </c>
      <c r="H131" s="2" t="s">
        <v>404</v>
      </c>
      <c r="I131" s="2" t="s">
        <v>405</v>
      </c>
      <c r="J131" s="2" t="s">
        <v>10</v>
      </c>
      <c r="K131" s="2" t="s">
        <v>128</v>
      </c>
      <c r="L131" s="2" t="s">
        <v>75</v>
      </c>
      <c r="M131" s="2" t="s">
        <v>406</v>
      </c>
      <c r="N131" s="2"/>
      <c r="O131" s="2" t="s">
        <v>77</v>
      </c>
      <c r="P131" s="2"/>
      <c r="Q131" s="3"/>
      <c r="R131" s="2"/>
    </row>
    <row r="132" spans="1:18">
      <c r="A132" s="2" t="s">
        <v>507</v>
      </c>
      <c r="B132" s="2" t="s">
        <v>42</v>
      </c>
      <c r="C132" s="2" t="s">
        <v>504</v>
      </c>
      <c r="D132" s="2" t="s">
        <v>508</v>
      </c>
      <c r="E132" s="2" t="s">
        <v>509</v>
      </c>
      <c r="F132" s="2" t="s">
        <v>70</v>
      </c>
      <c r="G132" s="2" t="s">
        <v>127</v>
      </c>
      <c r="H132" s="2" t="s">
        <v>404</v>
      </c>
      <c r="I132" s="2" t="s">
        <v>405</v>
      </c>
      <c r="J132" s="2" t="s">
        <v>10</v>
      </c>
      <c r="K132" s="2" t="s">
        <v>128</v>
      </c>
      <c r="L132" s="2" t="s">
        <v>75</v>
      </c>
      <c r="M132" s="2" t="s">
        <v>406</v>
      </c>
      <c r="N132" s="2"/>
      <c r="O132" s="2" t="s">
        <v>77</v>
      </c>
      <c r="P132" s="2"/>
      <c r="Q132" s="3"/>
      <c r="R132" s="2"/>
    </row>
    <row r="133" spans="1:18">
      <c r="A133" s="2" t="s">
        <v>510</v>
      </c>
      <c r="B133" s="2" t="s">
        <v>42</v>
      </c>
      <c r="C133" s="2" t="s">
        <v>504</v>
      </c>
      <c r="D133" s="2" t="s">
        <v>511</v>
      </c>
      <c r="E133" s="2" t="s">
        <v>512</v>
      </c>
      <c r="F133" s="2" t="s">
        <v>70</v>
      </c>
      <c r="G133" s="2" t="s">
        <v>127</v>
      </c>
      <c r="H133" s="2" t="s">
        <v>404</v>
      </c>
      <c r="I133" s="2" t="s">
        <v>405</v>
      </c>
      <c r="J133" s="2" t="s">
        <v>10</v>
      </c>
      <c r="K133" s="2" t="s">
        <v>128</v>
      </c>
      <c r="L133" s="2" t="s">
        <v>75</v>
      </c>
      <c r="M133" s="2" t="s">
        <v>406</v>
      </c>
      <c r="N133" s="2"/>
      <c r="O133" s="2" t="s">
        <v>77</v>
      </c>
      <c r="P133" s="2"/>
      <c r="Q133" s="3"/>
      <c r="R133" s="2"/>
    </row>
    <row r="134" spans="1:18" ht="25.5">
      <c r="A134" s="2" t="s">
        <v>513</v>
      </c>
      <c r="B134" s="2" t="s">
        <v>43</v>
      </c>
      <c r="C134" s="2" t="s">
        <v>514</v>
      </c>
      <c r="D134" s="2" t="s">
        <v>515</v>
      </c>
      <c r="E134" s="2" t="s">
        <v>516</v>
      </c>
      <c r="F134" s="2" t="s">
        <v>70</v>
      </c>
      <c r="G134" s="2" t="s">
        <v>189</v>
      </c>
      <c r="H134" s="2" t="s">
        <v>404</v>
      </c>
      <c r="I134" s="2" t="s">
        <v>73</v>
      </c>
      <c r="J134" s="2" t="s">
        <v>10</v>
      </c>
      <c r="K134" s="2" t="s">
        <v>74</v>
      </c>
      <c r="L134" s="2" t="s">
        <v>517</v>
      </c>
      <c r="M134" s="2" t="s">
        <v>518</v>
      </c>
      <c r="N134" s="2"/>
      <c r="O134" s="2" t="s">
        <v>77</v>
      </c>
      <c r="P134" s="2"/>
      <c r="Q134" s="3"/>
      <c r="R134" s="2"/>
    </row>
    <row r="135" spans="1:18">
      <c r="A135" s="2" t="s">
        <v>519</v>
      </c>
      <c r="B135" s="2" t="s">
        <v>43</v>
      </c>
      <c r="C135" s="2" t="s">
        <v>514</v>
      </c>
      <c r="D135" s="2" t="s">
        <v>520</v>
      </c>
      <c r="E135" s="2" t="s">
        <v>521</v>
      </c>
      <c r="F135" s="2" t="s">
        <v>70</v>
      </c>
      <c r="G135" s="2" t="s">
        <v>189</v>
      </c>
      <c r="H135" s="2" t="s">
        <v>404</v>
      </c>
      <c r="I135" s="2" t="s">
        <v>73</v>
      </c>
      <c r="J135" s="2" t="s">
        <v>10</v>
      </c>
      <c r="K135" s="2" t="s">
        <v>74</v>
      </c>
      <c r="L135" s="2" t="s">
        <v>517</v>
      </c>
      <c r="M135" s="2" t="s">
        <v>518</v>
      </c>
      <c r="N135" s="2"/>
      <c r="O135" s="2" t="s">
        <v>77</v>
      </c>
      <c r="P135" s="2"/>
      <c r="Q135" s="3"/>
      <c r="R135" s="2"/>
    </row>
    <row r="136" spans="1:18">
      <c r="A136" s="2" t="s">
        <v>522</v>
      </c>
      <c r="B136" s="2" t="s">
        <v>43</v>
      </c>
      <c r="C136" s="2" t="s">
        <v>514</v>
      </c>
      <c r="D136" s="2" t="s">
        <v>523</v>
      </c>
      <c r="E136" s="2" t="s">
        <v>524</v>
      </c>
      <c r="F136" s="2" t="s">
        <v>70</v>
      </c>
      <c r="G136" s="2" t="s">
        <v>189</v>
      </c>
      <c r="H136" s="2" t="s">
        <v>404</v>
      </c>
      <c r="I136" s="2" t="s">
        <v>73</v>
      </c>
      <c r="J136" s="2" t="s">
        <v>10</v>
      </c>
      <c r="K136" s="2" t="s">
        <v>74</v>
      </c>
      <c r="L136" s="2" t="s">
        <v>517</v>
      </c>
      <c r="M136" s="2" t="s">
        <v>518</v>
      </c>
      <c r="N136" s="2"/>
      <c r="O136" s="2" t="s">
        <v>77</v>
      </c>
      <c r="P136" s="2"/>
      <c r="Q136" s="3"/>
      <c r="R136" s="2"/>
    </row>
    <row r="137" spans="1:18">
      <c r="A137" s="2" t="s">
        <v>525</v>
      </c>
      <c r="B137" s="2" t="s">
        <v>43</v>
      </c>
      <c r="C137" s="2" t="s">
        <v>526</v>
      </c>
      <c r="D137" s="2" t="s">
        <v>527</v>
      </c>
      <c r="E137" s="2" t="s">
        <v>528</v>
      </c>
      <c r="F137" s="2" t="s">
        <v>70</v>
      </c>
      <c r="G137" s="2" t="s">
        <v>189</v>
      </c>
      <c r="H137" s="2" t="s">
        <v>404</v>
      </c>
      <c r="I137" s="2" t="s">
        <v>73</v>
      </c>
      <c r="J137" s="2" t="s">
        <v>10</v>
      </c>
      <c r="K137" s="2" t="s">
        <v>74</v>
      </c>
      <c r="L137" s="2" t="s">
        <v>517</v>
      </c>
      <c r="M137" s="2" t="s">
        <v>518</v>
      </c>
      <c r="N137" s="2"/>
      <c r="O137" s="2" t="s">
        <v>77</v>
      </c>
      <c r="P137" s="2"/>
      <c r="Q137" s="3"/>
      <c r="R137" s="2"/>
    </row>
    <row r="138" spans="1:18">
      <c r="A138" s="2" t="s">
        <v>529</v>
      </c>
      <c r="B138" s="2" t="s">
        <v>43</v>
      </c>
      <c r="C138" s="2" t="s">
        <v>526</v>
      </c>
      <c r="D138" s="2" t="s">
        <v>530</v>
      </c>
      <c r="E138" s="2" t="s">
        <v>531</v>
      </c>
      <c r="F138" s="2" t="s">
        <v>70</v>
      </c>
      <c r="G138" s="2" t="s">
        <v>189</v>
      </c>
      <c r="H138" s="2" t="s">
        <v>404</v>
      </c>
      <c r="I138" s="2" t="s">
        <v>73</v>
      </c>
      <c r="J138" s="2" t="s">
        <v>10</v>
      </c>
      <c r="K138" s="2" t="s">
        <v>74</v>
      </c>
      <c r="L138" s="2" t="s">
        <v>517</v>
      </c>
      <c r="M138" s="2" t="s">
        <v>518</v>
      </c>
      <c r="N138" s="2"/>
      <c r="O138" s="2" t="s">
        <v>77</v>
      </c>
      <c r="P138" s="2"/>
      <c r="Q138" s="3"/>
      <c r="R138" s="2"/>
    </row>
    <row r="139" spans="1:18">
      <c r="A139" s="2" t="s">
        <v>532</v>
      </c>
      <c r="B139" s="2" t="s">
        <v>43</v>
      </c>
      <c r="C139" s="2" t="s">
        <v>526</v>
      </c>
      <c r="D139" s="2" t="s">
        <v>533</v>
      </c>
      <c r="E139" s="2" t="s">
        <v>534</v>
      </c>
      <c r="F139" s="2" t="s">
        <v>70</v>
      </c>
      <c r="G139" s="2" t="s">
        <v>189</v>
      </c>
      <c r="H139" s="2" t="s">
        <v>404</v>
      </c>
      <c r="I139" s="2" t="s">
        <v>73</v>
      </c>
      <c r="J139" s="2" t="s">
        <v>10</v>
      </c>
      <c r="K139" s="2" t="s">
        <v>74</v>
      </c>
      <c r="L139" s="2" t="s">
        <v>517</v>
      </c>
      <c r="M139" s="2" t="s">
        <v>518</v>
      </c>
      <c r="N139" s="2"/>
      <c r="O139" s="2" t="s">
        <v>77</v>
      </c>
      <c r="P139" s="2"/>
      <c r="Q139" s="3"/>
      <c r="R139" s="2"/>
    </row>
    <row r="140" spans="1:18">
      <c r="A140" s="2" t="s">
        <v>535</v>
      </c>
      <c r="B140" s="2" t="s">
        <v>43</v>
      </c>
      <c r="C140" s="2" t="s">
        <v>526</v>
      </c>
      <c r="D140" s="2" t="s">
        <v>536</v>
      </c>
      <c r="E140" s="2" t="s">
        <v>537</v>
      </c>
      <c r="F140" s="2" t="s">
        <v>70</v>
      </c>
      <c r="G140" s="2" t="s">
        <v>189</v>
      </c>
      <c r="H140" s="2" t="s">
        <v>404</v>
      </c>
      <c r="I140" s="2" t="s">
        <v>73</v>
      </c>
      <c r="J140" s="2" t="s">
        <v>10</v>
      </c>
      <c r="K140" s="2" t="s">
        <v>74</v>
      </c>
      <c r="L140" s="2" t="s">
        <v>517</v>
      </c>
      <c r="M140" s="2" t="s">
        <v>518</v>
      </c>
      <c r="N140" s="2"/>
      <c r="O140" s="2" t="s">
        <v>77</v>
      </c>
      <c r="P140" s="2"/>
      <c r="Q140" s="3"/>
      <c r="R140" s="2"/>
    </row>
    <row r="141" spans="1:18">
      <c r="A141" s="2" t="s">
        <v>538</v>
      </c>
      <c r="B141" s="2" t="s">
        <v>43</v>
      </c>
      <c r="C141" s="2" t="s">
        <v>526</v>
      </c>
      <c r="D141" s="2" t="s">
        <v>539</v>
      </c>
      <c r="E141" s="2" t="s">
        <v>540</v>
      </c>
      <c r="F141" s="2" t="s">
        <v>70</v>
      </c>
      <c r="G141" s="2" t="s">
        <v>189</v>
      </c>
      <c r="H141" s="2" t="s">
        <v>404</v>
      </c>
      <c r="I141" s="2" t="s">
        <v>73</v>
      </c>
      <c r="J141" s="2" t="s">
        <v>10</v>
      </c>
      <c r="K141" s="2" t="s">
        <v>74</v>
      </c>
      <c r="L141" s="2" t="s">
        <v>517</v>
      </c>
      <c r="M141" s="2" t="s">
        <v>518</v>
      </c>
      <c r="N141" s="2"/>
      <c r="O141" s="2" t="s">
        <v>77</v>
      </c>
      <c r="P141" s="2"/>
      <c r="Q141" s="3"/>
      <c r="R141" s="2"/>
    </row>
    <row r="142" spans="1:18">
      <c r="A142" s="2" t="s">
        <v>541</v>
      </c>
      <c r="B142" s="2" t="s">
        <v>43</v>
      </c>
      <c r="C142" s="2" t="s">
        <v>542</v>
      </c>
      <c r="D142" s="2" t="s">
        <v>543</v>
      </c>
      <c r="E142" s="2" t="s">
        <v>544</v>
      </c>
      <c r="F142" s="2" t="s">
        <v>70</v>
      </c>
      <c r="G142" s="2" t="s">
        <v>189</v>
      </c>
      <c r="H142" s="2" t="s">
        <v>404</v>
      </c>
      <c r="I142" s="2" t="s">
        <v>73</v>
      </c>
      <c r="J142" s="2" t="s">
        <v>10</v>
      </c>
      <c r="K142" s="2" t="s">
        <v>74</v>
      </c>
      <c r="L142" s="2" t="s">
        <v>517</v>
      </c>
      <c r="M142" s="2" t="s">
        <v>518</v>
      </c>
      <c r="N142" s="2"/>
      <c r="O142" s="2" t="s">
        <v>77</v>
      </c>
      <c r="P142" s="2"/>
      <c r="Q142" s="3"/>
      <c r="R142" s="2"/>
    </row>
    <row r="143" spans="1:18">
      <c r="A143" s="2" t="s">
        <v>545</v>
      </c>
      <c r="B143" s="2" t="s">
        <v>43</v>
      </c>
      <c r="C143" s="2" t="s">
        <v>546</v>
      </c>
      <c r="D143" s="2" t="s">
        <v>547</v>
      </c>
      <c r="E143" s="2" t="s">
        <v>548</v>
      </c>
      <c r="F143" s="2" t="s">
        <v>70</v>
      </c>
      <c r="G143" s="2" t="s">
        <v>189</v>
      </c>
      <c r="H143" s="2" t="s">
        <v>404</v>
      </c>
      <c r="I143" s="2" t="s">
        <v>73</v>
      </c>
      <c r="J143" s="2" t="s">
        <v>10</v>
      </c>
      <c r="K143" s="2" t="s">
        <v>74</v>
      </c>
      <c r="L143" s="2" t="s">
        <v>517</v>
      </c>
      <c r="M143" s="2" t="s">
        <v>518</v>
      </c>
      <c r="N143" s="2"/>
      <c r="O143" s="2" t="s">
        <v>77</v>
      </c>
      <c r="P143" s="2"/>
      <c r="Q143" s="3"/>
      <c r="R143" s="2"/>
    </row>
    <row r="144" spans="1:18">
      <c r="A144" s="2" t="s">
        <v>549</v>
      </c>
      <c r="B144" s="2" t="s">
        <v>43</v>
      </c>
      <c r="C144" s="2" t="s">
        <v>546</v>
      </c>
      <c r="D144" s="2" t="s">
        <v>550</v>
      </c>
      <c r="E144" s="2" t="s">
        <v>551</v>
      </c>
      <c r="F144" s="2" t="s">
        <v>70</v>
      </c>
      <c r="G144" s="2" t="s">
        <v>189</v>
      </c>
      <c r="H144" s="2" t="s">
        <v>404</v>
      </c>
      <c r="I144" s="2" t="s">
        <v>73</v>
      </c>
      <c r="J144" s="2" t="s">
        <v>10</v>
      </c>
      <c r="K144" s="2" t="s">
        <v>74</v>
      </c>
      <c r="L144" s="2" t="s">
        <v>517</v>
      </c>
      <c r="M144" s="2" t="s">
        <v>518</v>
      </c>
      <c r="N144" s="2"/>
      <c r="O144" s="2" t="s">
        <v>77</v>
      </c>
      <c r="P144" s="2"/>
      <c r="Q144" s="3"/>
      <c r="R144" s="2"/>
    </row>
    <row r="145" spans="1:18">
      <c r="A145" s="2" t="s">
        <v>552</v>
      </c>
      <c r="B145" s="2" t="s">
        <v>43</v>
      </c>
      <c r="C145" s="2" t="s">
        <v>546</v>
      </c>
      <c r="D145" s="2" t="s">
        <v>553</v>
      </c>
      <c r="E145" s="2" t="s">
        <v>554</v>
      </c>
      <c r="F145" s="2" t="s">
        <v>70</v>
      </c>
      <c r="G145" s="2" t="s">
        <v>189</v>
      </c>
      <c r="H145" s="2" t="s">
        <v>404</v>
      </c>
      <c r="I145" s="2" t="s">
        <v>73</v>
      </c>
      <c r="J145" s="2" t="s">
        <v>10</v>
      </c>
      <c r="K145" s="2" t="s">
        <v>74</v>
      </c>
      <c r="L145" s="2" t="s">
        <v>517</v>
      </c>
      <c r="M145" s="2" t="s">
        <v>518</v>
      </c>
      <c r="N145" s="2"/>
      <c r="O145" s="2" t="s">
        <v>77</v>
      </c>
      <c r="P145" s="2"/>
      <c r="Q145" s="3"/>
      <c r="R145" s="2"/>
    </row>
    <row r="146" spans="1:18">
      <c r="A146" s="2" t="s">
        <v>555</v>
      </c>
      <c r="B146" s="2" t="s">
        <v>43</v>
      </c>
      <c r="C146" s="2" t="s">
        <v>546</v>
      </c>
      <c r="D146" s="2" t="s">
        <v>556</v>
      </c>
      <c r="E146" s="2" t="s">
        <v>557</v>
      </c>
      <c r="F146" s="2" t="s">
        <v>70</v>
      </c>
      <c r="G146" s="2" t="s">
        <v>189</v>
      </c>
      <c r="H146" s="2" t="s">
        <v>404</v>
      </c>
      <c r="I146" s="2" t="s">
        <v>73</v>
      </c>
      <c r="J146" s="2" t="s">
        <v>10</v>
      </c>
      <c r="K146" s="2" t="s">
        <v>74</v>
      </c>
      <c r="L146" s="2" t="s">
        <v>517</v>
      </c>
      <c r="M146" s="2" t="s">
        <v>518</v>
      </c>
      <c r="N146" s="2"/>
      <c r="O146" s="2" t="s">
        <v>77</v>
      </c>
      <c r="P146" s="2"/>
      <c r="Q146" s="3"/>
      <c r="R146" s="2"/>
    </row>
    <row r="147" spans="1:18">
      <c r="A147" s="2" t="s">
        <v>558</v>
      </c>
      <c r="B147" s="2" t="s">
        <v>43</v>
      </c>
      <c r="C147" s="2" t="s">
        <v>546</v>
      </c>
      <c r="D147" s="2" t="s">
        <v>559</v>
      </c>
      <c r="E147" s="2" t="s">
        <v>560</v>
      </c>
      <c r="F147" s="2" t="s">
        <v>70</v>
      </c>
      <c r="G147" s="2" t="s">
        <v>189</v>
      </c>
      <c r="H147" s="2" t="s">
        <v>404</v>
      </c>
      <c r="I147" s="2" t="s">
        <v>73</v>
      </c>
      <c r="J147" s="2" t="s">
        <v>10</v>
      </c>
      <c r="K147" s="2" t="s">
        <v>74</v>
      </c>
      <c r="L147" s="2" t="s">
        <v>517</v>
      </c>
      <c r="M147" s="2" t="s">
        <v>518</v>
      </c>
      <c r="N147" s="2"/>
      <c r="O147" s="2" t="s">
        <v>77</v>
      </c>
      <c r="P147" s="2"/>
      <c r="Q147" s="3"/>
      <c r="R147" s="2"/>
    </row>
    <row r="148" spans="1:18">
      <c r="A148" s="2" t="s">
        <v>561</v>
      </c>
      <c r="B148" s="2" t="s">
        <v>43</v>
      </c>
      <c r="C148" s="2" t="s">
        <v>546</v>
      </c>
      <c r="D148" s="2" t="s">
        <v>562</v>
      </c>
      <c r="E148" s="2" t="s">
        <v>563</v>
      </c>
      <c r="F148" s="2" t="s">
        <v>70</v>
      </c>
      <c r="G148" s="2" t="s">
        <v>189</v>
      </c>
      <c r="H148" s="2" t="s">
        <v>404</v>
      </c>
      <c r="I148" s="2" t="s">
        <v>73</v>
      </c>
      <c r="J148" s="2" t="s">
        <v>10</v>
      </c>
      <c r="K148" s="2" t="s">
        <v>74</v>
      </c>
      <c r="L148" s="2" t="s">
        <v>517</v>
      </c>
      <c r="M148" s="2" t="s">
        <v>518</v>
      </c>
      <c r="N148" s="2"/>
      <c r="O148" s="2" t="s">
        <v>77</v>
      </c>
      <c r="P148" s="2"/>
      <c r="Q148" s="3"/>
      <c r="R148" s="2"/>
    </row>
    <row r="149" spans="1:18">
      <c r="A149" s="2" t="s">
        <v>564</v>
      </c>
      <c r="B149" s="2" t="s">
        <v>44</v>
      </c>
      <c r="C149" s="2" t="s">
        <v>565</v>
      </c>
      <c r="D149" s="2" t="s">
        <v>566</v>
      </c>
      <c r="E149" s="2" t="s">
        <v>567</v>
      </c>
      <c r="F149" s="2" t="s">
        <v>70</v>
      </c>
      <c r="G149" s="2" t="s">
        <v>568</v>
      </c>
      <c r="H149" s="2" t="s">
        <v>72</v>
      </c>
      <c r="I149" s="2" t="s">
        <v>73</v>
      </c>
      <c r="J149" s="2" t="s">
        <v>10</v>
      </c>
      <c r="K149" s="2" t="s">
        <v>569</v>
      </c>
      <c r="L149" s="2" t="s">
        <v>75</v>
      </c>
      <c r="M149" s="2" t="s">
        <v>327</v>
      </c>
      <c r="N149" s="2"/>
      <c r="O149" s="2" t="s">
        <v>77</v>
      </c>
      <c r="P149" s="2"/>
      <c r="Q149" s="3"/>
      <c r="R149" s="2"/>
    </row>
    <row r="150" spans="1:18">
      <c r="A150" s="2" t="s">
        <v>570</v>
      </c>
      <c r="B150" s="2" t="s">
        <v>44</v>
      </c>
      <c r="C150" s="2" t="s">
        <v>565</v>
      </c>
      <c r="D150" s="2" t="s">
        <v>571</v>
      </c>
      <c r="E150" s="2" t="s">
        <v>572</v>
      </c>
      <c r="F150" s="2" t="s">
        <v>70</v>
      </c>
      <c r="G150" s="2" t="s">
        <v>568</v>
      </c>
      <c r="H150" s="2" t="s">
        <v>72</v>
      </c>
      <c r="I150" s="2" t="s">
        <v>73</v>
      </c>
      <c r="J150" s="2" t="s">
        <v>10</v>
      </c>
      <c r="K150" s="2" t="s">
        <v>569</v>
      </c>
      <c r="L150" s="2" t="s">
        <v>75</v>
      </c>
      <c r="M150" s="2" t="s">
        <v>327</v>
      </c>
      <c r="N150" s="2"/>
      <c r="O150" s="2" t="s">
        <v>77</v>
      </c>
      <c r="P150" s="2"/>
      <c r="Q150" s="3"/>
      <c r="R150" s="2"/>
    </row>
    <row r="151" spans="1:18">
      <c r="A151" s="2" t="s">
        <v>573</v>
      </c>
      <c r="B151" s="2" t="s">
        <v>44</v>
      </c>
      <c r="C151" s="2" t="s">
        <v>565</v>
      </c>
      <c r="D151" s="2" t="s">
        <v>574</v>
      </c>
      <c r="E151" s="2" t="s">
        <v>575</v>
      </c>
      <c r="F151" s="2" t="s">
        <v>70</v>
      </c>
      <c r="G151" s="2" t="s">
        <v>568</v>
      </c>
      <c r="H151" s="2" t="s">
        <v>72</v>
      </c>
      <c r="I151" s="2" t="s">
        <v>73</v>
      </c>
      <c r="J151" s="2" t="s">
        <v>10</v>
      </c>
      <c r="K151" s="2" t="s">
        <v>569</v>
      </c>
      <c r="L151" s="2" t="s">
        <v>75</v>
      </c>
      <c r="M151" s="2" t="s">
        <v>327</v>
      </c>
      <c r="N151" s="2"/>
      <c r="O151" s="2" t="s">
        <v>77</v>
      </c>
      <c r="P151" s="2"/>
      <c r="Q151" s="3"/>
      <c r="R151" s="2"/>
    </row>
    <row r="152" spans="1:18">
      <c r="A152" s="2" t="s">
        <v>576</v>
      </c>
      <c r="B152" s="2" t="s">
        <v>44</v>
      </c>
      <c r="C152" s="2" t="s">
        <v>565</v>
      </c>
      <c r="D152" s="2" t="s">
        <v>577</v>
      </c>
      <c r="E152" s="2" t="s">
        <v>578</v>
      </c>
      <c r="F152" s="2" t="s">
        <v>70</v>
      </c>
      <c r="G152" s="2" t="s">
        <v>568</v>
      </c>
      <c r="H152" s="2" t="s">
        <v>72</v>
      </c>
      <c r="I152" s="2" t="s">
        <v>73</v>
      </c>
      <c r="J152" s="2" t="s">
        <v>10</v>
      </c>
      <c r="K152" s="2" t="s">
        <v>569</v>
      </c>
      <c r="L152" s="2" t="s">
        <v>75</v>
      </c>
      <c r="M152" s="2" t="s">
        <v>327</v>
      </c>
      <c r="N152" s="2"/>
      <c r="O152" s="2" t="s">
        <v>77</v>
      </c>
      <c r="P152" s="2"/>
      <c r="Q152" s="3"/>
      <c r="R152" s="2"/>
    </row>
    <row r="153" spans="1:18">
      <c r="A153" s="2" t="s">
        <v>579</v>
      </c>
      <c r="B153" s="2" t="s">
        <v>44</v>
      </c>
      <c r="C153" s="2" t="s">
        <v>580</v>
      </c>
      <c r="D153" s="2" t="s">
        <v>581</v>
      </c>
      <c r="E153" s="2" t="s">
        <v>582</v>
      </c>
      <c r="F153" s="2" t="s">
        <v>70</v>
      </c>
      <c r="G153" s="2" t="s">
        <v>568</v>
      </c>
      <c r="H153" s="2" t="s">
        <v>72</v>
      </c>
      <c r="I153" s="2" t="s">
        <v>73</v>
      </c>
      <c r="J153" s="2" t="s">
        <v>10</v>
      </c>
      <c r="K153" s="2" t="s">
        <v>569</v>
      </c>
      <c r="L153" s="2" t="s">
        <v>75</v>
      </c>
      <c r="M153" s="2" t="s">
        <v>327</v>
      </c>
      <c r="N153" s="2"/>
      <c r="O153" s="2" t="s">
        <v>77</v>
      </c>
      <c r="P153" s="2"/>
      <c r="Q153" s="3"/>
      <c r="R153" s="2"/>
    </row>
    <row r="154" spans="1:18">
      <c r="A154" s="2" t="s">
        <v>583</v>
      </c>
      <c r="B154" s="2" t="s">
        <v>44</v>
      </c>
      <c r="C154" s="2" t="s">
        <v>580</v>
      </c>
      <c r="D154" s="2" t="s">
        <v>584</v>
      </c>
      <c r="E154" s="2" t="s">
        <v>585</v>
      </c>
      <c r="F154" s="2" t="s">
        <v>70</v>
      </c>
      <c r="G154" s="2" t="s">
        <v>568</v>
      </c>
      <c r="H154" s="2" t="s">
        <v>72</v>
      </c>
      <c r="I154" s="2" t="s">
        <v>73</v>
      </c>
      <c r="J154" s="2" t="s">
        <v>10</v>
      </c>
      <c r="K154" s="2" t="s">
        <v>569</v>
      </c>
      <c r="L154" s="2" t="s">
        <v>75</v>
      </c>
      <c r="M154" s="2" t="s">
        <v>327</v>
      </c>
      <c r="N154" s="2"/>
      <c r="O154" s="2" t="s">
        <v>77</v>
      </c>
      <c r="P154" s="2"/>
      <c r="Q154" s="3"/>
      <c r="R154" s="2"/>
    </row>
    <row r="155" spans="1:18" ht="25.5">
      <c r="A155" s="2" t="s">
        <v>586</v>
      </c>
      <c r="B155" s="2" t="s">
        <v>44</v>
      </c>
      <c r="C155" s="2" t="s">
        <v>580</v>
      </c>
      <c r="D155" s="2" t="s">
        <v>587</v>
      </c>
      <c r="E155" s="2" t="s">
        <v>588</v>
      </c>
      <c r="F155" s="2" t="s">
        <v>70</v>
      </c>
      <c r="G155" s="2" t="s">
        <v>568</v>
      </c>
      <c r="H155" s="2" t="s">
        <v>72</v>
      </c>
      <c r="I155" s="2" t="s">
        <v>73</v>
      </c>
      <c r="J155" s="2" t="s">
        <v>10</v>
      </c>
      <c r="K155" s="2" t="s">
        <v>569</v>
      </c>
      <c r="L155" s="2" t="s">
        <v>75</v>
      </c>
      <c r="M155" s="2" t="s">
        <v>327</v>
      </c>
      <c r="N155" s="2"/>
      <c r="O155" s="2" t="s">
        <v>77</v>
      </c>
      <c r="P155" s="2"/>
      <c r="Q155" s="3"/>
      <c r="R155" s="2"/>
    </row>
    <row r="156" spans="1:18">
      <c r="A156" s="2" t="s">
        <v>589</v>
      </c>
      <c r="B156" s="2" t="s">
        <v>44</v>
      </c>
      <c r="C156" s="2" t="s">
        <v>580</v>
      </c>
      <c r="D156" s="2" t="s">
        <v>590</v>
      </c>
      <c r="E156" s="2" t="s">
        <v>591</v>
      </c>
      <c r="F156" s="2" t="s">
        <v>70</v>
      </c>
      <c r="G156" s="2" t="s">
        <v>568</v>
      </c>
      <c r="H156" s="2" t="s">
        <v>72</v>
      </c>
      <c r="I156" s="2" t="s">
        <v>73</v>
      </c>
      <c r="J156" s="2" t="s">
        <v>10</v>
      </c>
      <c r="K156" s="2" t="s">
        <v>569</v>
      </c>
      <c r="L156" s="2" t="s">
        <v>75</v>
      </c>
      <c r="M156" s="2" t="s">
        <v>327</v>
      </c>
      <c r="N156" s="2"/>
      <c r="O156" s="2" t="s">
        <v>77</v>
      </c>
      <c r="P156" s="2"/>
      <c r="Q156" s="3"/>
      <c r="R156" s="2"/>
    </row>
    <row r="157" spans="1:18">
      <c r="A157" s="2" t="s">
        <v>592</v>
      </c>
      <c r="B157" s="2" t="s">
        <v>44</v>
      </c>
      <c r="C157" s="2" t="s">
        <v>593</v>
      </c>
      <c r="D157" s="2" t="s">
        <v>594</v>
      </c>
      <c r="E157" s="2" t="s">
        <v>595</v>
      </c>
      <c r="F157" s="2" t="s">
        <v>70</v>
      </c>
      <c r="G157" s="2" t="s">
        <v>568</v>
      </c>
      <c r="H157" s="2" t="s">
        <v>72</v>
      </c>
      <c r="I157" s="2" t="s">
        <v>73</v>
      </c>
      <c r="J157" s="2" t="s">
        <v>10</v>
      </c>
      <c r="K157" s="2" t="s">
        <v>569</v>
      </c>
      <c r="L157" s="2" t="s">
        <v>75</v>
      </c>
      <c r="M157" s="2" t="s">
        <v>327</v>
      </c>
      <c r="N157" s="2"/>
      <c r="O157" s="2" t="s">
        <v>77</v>
      </c>
      <c r="P157" s="2"/>
      <c r="Q157" s="3"/>
      <c r="R157" s="2"/>
    </row>
    <row r="158" spans="1:18">
      <c r="A158" s="2" t="s">
        <v>596</v>
      </c>
      <c r="B158" s="2" t="s">
        <v>44</v>
      </c>
      <c r="C158" s="2" t="s">
        <v>593</v>
      </c>
      <c r="D158" s="2" t="s">
        <v>597</v>
      </c>
      <c r="E158" s="2" t="s">
        <v>598</v>
      </c>
      <c r="F158" s="2" t="s">
        <v>70</v>
      </c>
      <c r="G158" s="2" t="s">
        <v>568</v>
      </c>
      <c r="H158" s="2" t="s">
        <v>72</v>
      </c>
      <c r="I158" s="2" t="s">
        <v>73</v>
      </c>
      <c r="J158" s="2" t="s">
        <v>10</v>
      </c>
      <c r="K158" s="2" t="s">
        <v>569</v>
      </c>
      <c r="L158" s="2" t="s">
        <v>75</v>
      </c>
      <c r="M158" s="2" t="s">
        <v>327</v>
      </c>
      <c r="N158" s="2"/>
      <c r="O158" s="2" t="s">
        <v>77</v>
      </c>
      <c r="P158" s="2"/>
      <c r="Q158" s="3"/>
      <c r="R158" s="2"/>
    </row>
    <row r="159" spans="1:18">
      <c r="A159" s="2" t="s">
        <v>599</v>
      </c>
      <c r="B159" s="2" t="s">
        <v>44</v>
      </c>
      <c r="C159" s="2" t="s">
        <v>593</v>
      </c>
      <c r="D159" s="2" t="s">
        <v>600</v>
      </c>
      <c r="E159" s="2" t="s">
        <v>601</v>
      </c>
      <c r="F159" s="2" t="s">
        <v>70</v>
      </c>
      <c r="G159" s="2" t="s">
        <v>568</v>
      </c>
      <c r="H159" s="2" t="s">
        <v>72</v>
      </c>
      <c r="I159" s="2" t="s">
        <v>73</v>
      </c>
      <c r="J159" s="2" t="s">
        <v>10</v>
      </c>
      <c r="K159" s="2" t="s">
        <v>569</v>
      </c>
      <c r="L159" s="2" t="s">
        <v>75</v>
      </c>
      <c r="M159" s="2" t="s">
        <v>327</v>
      </c>
      <c r="N159" s="2"/>
      <c r="O159" s="2" t="s">
        <v>77</v>
      </c>
      <c r="P159" s="2"/>
      <c r="Q159" s="3"/>
      <c r="R159" s="2"/>
    </row>
    <row r="160" spans="1:18">
      <c r="A160" s="2" t="s">
        <v>602</v>
      </c>
      <c r="B160" s="2" t="s">
        <v>44</v>
      </c>
      <c r="C160" s="2" t="s">
        <v>603</v>
      </c>
      <c r="D160" s="2" t="s">
        <v>604</v>
      </c>
      <c r="E160" s="2" t="s">
        <v>605</v>
      </c>
      <c r="F160" s="2" t="s">
        <v>70</v>
      </c>
      <c r="G160" s="2" t="s">
        <v>568</v>
      </c>
      <c r="H160" s="2" t="s">
        <v>72</v>
      </c>
      <c r="I160" s="2" t="s">
        <v>73</v>
      </c>
      <c r="J160" s="2" t="s">
        <v>10</v>
      </c>
      <c r="K160" s="2" t="s">
        <v>569</v>
      </c>
      <c r="L160" s="2" t="s">
        <v>75</v>
      </c>
      <c r="M160" s="2" t="s">
        <v>327</v>
      </c>
      <c r="N160" s="2"/>
      <c r="O160" s="2" t="s">
        <v>77</v>
      </c>
      <c r="P160" s="2"/>
      <c r="Q160" s="3"/>
      <c r="R160" s="2"/>
    </row>
    <row r="161" spans="1:18">
      <c r="A161" s="2" t="s">
        <v>606</v>
      </c>
      <c r="B161" s="2" t="s">
        <v>44</v>
      </c>
      <c r="C161" s="2" t="s">
        <v>603</v>
      </c>
      <c r="D161" s="2" t="s">
        <v>607</v>
      </c>
      <c r="E161" s="2" t="s">
        <v>608</v>
      </c>
      <c r="F161" s="2" t="s">
        <v>70</v>
      </c>
      <c r="G161" s="2" t="s">
        <v>568</v>
      </c>
      <c r="H161" s="2" t="s">
        <v>72</v>
      </c>
      <c r="I161" s="2" t="s">
        <v>73</v>
      </c>
      <c r="J161" s="2" t="s">
        <v>10</v>
      </c>
      <c r="K161" s="2" t="s">
        <v>569</v>
      </c>
      <c r="L161" s="2" t="s">
        <v>75</v>
      </c>
      <c r="M161" s="2" t="s">
        <v>327</v>
      </c>
      <c r="N161" s="2"/>
      <c r="O161" s="2" t="s">
        <v>77</v>
      </c>
      <c r="P161" s="2"/>
      <c r="Q161" s="3"/>
      <c r="R161" s="2"/>
    </row>
    <row r="162" spans="1:18">
      <c r="A162" s="2" t="s">
        <v>609</v>
      </c>
      <c r="B162" s="2" t="s">
        <v>44</v>
      </c>
      <c r="C162" s="2" t="s">
        <v>603</v>
      </c>
      <c r="D162" s="2" t="s">
        <v>610</v>
      </c>
      <c r="E162" s="2" t="s">
        <v>611</v>
      </c>
      <c r="F162" s="2" t="s">
        <v>70</v>
      </c>
      <c r="G162" s="2" t="s">
        <v>568</v>
      </c>
      <c r="H162" s="2" t="s">
        <v>72</v>
      </c>
      <c r="I162" s="2" t="s">
        <v>73</v>
      </c>
      <c r="J162" s="2" t="s">
        <v>10</v>
      </c>
      <c r="K162" s="2" t="s">
        <v>569</v>
      </c>
      <c r="L162" s="2" t="s">
        <v>75</v>
      </c>
      <c r="M162" s="2" t="s">
        <v>327</v>
      </c>
      <c r="N162" s="2"/>
      <c r="O162" s="2" t="s">
        <v>77</v>
      </c>
      <c r="P162" s="2"/>
      <c r="Q162" s="3"/>
      <c r="R162" s="2"/>
    </row>
    <row r="163" spans="1:18">
      <c r="A163" s="2" t="s">
        <v>612</v>
      </c>
      <c r="B163" s="2" t="s">
        <v>45</v>
      </c>
      <c r="C163" s="2" t="s">
        <v>613</v>
      </c>
      <c r="D163" s="2" t="s">
        <v>614</v>
      </c>
      <c r="E163" s="2" t="s">
        <v>615</v>
      </c>
      <c r="F163" s="2" t="s">
        <v>70</v>
      </c>
      <c r="G163" s="2" t="s">
        <v>189</v>
      </c>
      <c r="H163" s="2" t="s">
        <v>72</v>
      </c>
      <c r="I163" s="2" t="s">
        <v>73</v>
      </c>
      <c r="J163" s="2" t="s">
        <v>10</v>
      </c>
      <c r="K163" s="2" t="s">
        <v>74</v>
      </c>
      <c r="L163" s="2" t="s">
        <v>190</v>
      </c>
      <c r="M163" s="2" t="s">
        <v>191</v>
      </c>
      <c r="N163" s="2"/>
      <c r="O163" s="2" t="s">
        <v>77</v>
      </c>
      <c r="P163" s="2"/>
      <c r="Q163" s="3"/>
      <c r="R163" s="2"/>
    </row>
    <row r="164" spans="1:18">
      <c r="A164" s="2" t="s">
        <v>616</v>
      </c>
      <c r="B164" s="2" t="s">
        <v>45</v>
      </c>
      <c r="C164" s="2" t="s">
        <v>613</v>
      </c>
      <c r="D164" s="2" t="s">
        <v>617</v>
      </c>
      <c r="E164" s="2" t="s">
        <v>618</v>
      </c>
      <c r="F164" s="2" t="s">
        <v>70</v>
      </c>
      <c r="G164" s="2" t="s">
        <v>189</v>
      </c>
      <c r="H164" s="2" t="s">
        <v>72</v>
      </c>
      <c r="I164" s="2" t="s">
        <v>73</v>
      </c>
      <c r="J164" s="2" t="s">
        <v>10</v>
      </c>
      <c r="K164" s="2" t="s">
        <v>74</v>
      </c>
      <c r="L164" s="2" t="s">
        <v>190</v>
      </c>
      <c r="M164" s="2" t="s">
        <v>191</v>
      </c>
      <c r="N164" s="2"/>
      <c r="O164" s="2" t="s">
        <v>77</v>
      </c>
      <c r="P164" s="2"/>
      <c r="Q164" s="3"/>
      <c r="R164" s="2"/>
    </row>
    <row r="165" spans="1:18" ht="25.5">
      <c r="A165" s="2" t="s">
        <v>619</v>
      </c>
      <c r="B165" s="2" t="s">
        <v>45</v>
      </c>
      <c r="C165" s="2" t="s">
        <v>613</v>
      </c>
      <c r="D165" s="2" t="s">
        <v>620</v>
      </c>
      <c r="E165" s="2" t="s">
        <v>621</v>
      </c>
      <c r="F165" s="2" t="s">
        <v>70</v>
      </c>
      <c r="G165" s="2" t="s">
        <v>189</v>
      </c>
      <c r="H165" s="2" t="s">
        <v>72</v>
      </c>
      <c r="I165" s="2" t="s">
        <v>73</v>
      </c>
      <c r="J165" s="2" t="s">
        <v>10</v>
      </c>
      <c r="K165" s="2" t="s">
        <v>74</v>
      </c>
      <c r="L165" s="2" t="s">
        <v>190</v>
      </c>
      <c r="M165" s="2" t="s">
        <v>191</v>
      </c>
      <c r="N165" s="2"/>
      <c r="O165" s="2" t="s">
        <v>77</v>
      </c>
      <c r="P165" s="2"/>
      <c r="Q165" s="3"/>
      <c r="R165" s="2"/>
    </row>
    <row r="166" spans="1:18">
      <c r="A166" s="2" t="s">
        <v>622</v>
      </c>
      <c r="B166" s="2" t="s">
        <v>45</v>
      </c>
      <c r="C166" s="2" t="s">
        <v>623</v>
      </c>
      <c r="D166" s="2" t="s">
        <v>624</v>
      </c>
      <c r="E166" s="2" t="s">
        <v>625</v>
      </c>
      <c r="F166" s="2" t="s">
        <v>70</v>
      </c>
      <c r="G166" s="2" t="s">
        <v>189</v>
      </c>
      <c r="H166" s="2" t="s">
        <v>72</v>
      </c>
      <c r="I166" s="2" t="s">
        <v>73</v>
      </c>
      <c r="J166" s="2" t="s">
        <v>10</v>
      </c>
      <c r="K166" s="2" t="s">
        <v>74</v>
      </c>
      <c r="L166" s="2" t="s">
        <v>190</v>
      </c>
      <c r="M166" s="2" t="s">
        <v>191</v>
      </c>
      <c r="N166" s="2"/>
      <c r="O166" s="2" t="s">
        <v>77</v>
      </c>
      <c r="P166" s="2"/>
      <c r="Q166" s="3"/>
      <c r="R166" s="2"/>
    </row>
    <row r="167" spans="1:18">
      <c r="A167" s="2" t="s">
        <v>626</v>
      </c>
      <c r="B167" s="2" t="s">
        <v>45</v>
      </c>
      <c r="C167" s="2" t="s">
        <v>623</v>
      </c>
      <c r="D167" s="2" t="s">
        <v>627</v>
      </c>
      <c r="E167" s="2" t="s">
        <v>628</v>
      </c>
      <c r="F167" s="2" t="s">
        <v>70</v>
      </c>
      <c r="G167" s="2" t="s">
        <v>189</v>
      </c>
      <c r="H167" s="2" t="s">
        <v>72</v>
      </c>
      <c r="I167" s="2" t="s">
        <v>73</v>
      </c>
      <c r="J167" s="2" t="s">
        <v>10</v>
      </c>
      <c r="K167" s="2" t="s">
        <v>74</v>
      </c>
      <c r="L167" s="2" t="s">
        <v>190</v>
      </c>
      <c r="M167" s="2" t="s">
        <v>191</v>
      </c>
      <c r="N167" s="2"/>
      <c r="O167" s="2" t="s">
        <v>77</v>
      </c>
      <c r="P167" s="2"/>
      <c r="Q167" s="3"/>
      <c r="R167" s="2"/>
    </row>
    <row r="168" spans="1:18">
      <c r="A168" s="2" t="s">
        <v>629</v>
      </c>
      <c r="B168" s="2" t="s">
        <v>45</v>
      </c>
      <c r="C168" s="2" t="s">
        <v>623</v>
      </c>
      <c r="D168" s="2" t="s">
        <v>630</v>
      </c>
      <c r="E168" s="2" t="s">
        <v>631</v>
      </c>
      <c r="F168" s="2" t="s">
        <v>70</v>
      </c>
      <c r="G168" s="2" t="s">
        <v>189</v>
      </c>
      <c r="H168" s="2" t="s">
        <v>72</v>
      </c>
      <c r="I168" s="2" t="s">
        <v>73</v>
      </c>
      <c r="J168" s="2" t="s">
        <v>10</v>
      </c>
      <c r="K168" s="2" t="s">
        <v>74</v>
      </c>
      <c r="L168" s="2" t="s">
        <v>190</v>
      </c>
      <c r="M168" s="2" t="s">
        <v>191</v>
      </c>
      <c r="N168" s="2"/>
      <c r="O168" s="2" t="s">
        <v>77</v>
      </c>
      <c r="P168" s="2"/>
      <c r="Q168" s="3"/>
      <c r="R168" s="2"/>
    </row>
    <row r="169" spans="1:18">
      <c r="A169" s="2" t="s">
        <v>632</v>
      </c>
      <c r="B169" s="2" t="s">
        <v>45</v>
      </c>
      <c r="C169" s="2" t="s">
        <v>633</v>
      </c>
      <c r="D169" s="2" t="s">
        <v>634</v>
      </c>
      <c r="E169" s="2" t="s">
        <v>635</v>
      </c>
      <c r="F169" s="2" t="s">
        <v>70</v>
      </c>
      <c r="G169" s="2" t="s">
        <v>189</v>
      </c>
      <c r="H169" s="2" t="s">
        <v>72</v>
      </c>
      <c r="I169" s="2" t="s">
        <v>73</v>
      </c>
      <c r="J169" s="2" t="s">
        <v>10</v>
      </c>
      <c r="K169" s="2" t="s">
        <v>74</v>
      </c>
      <c r="L169" s="2" t="s">
        <v>190</v>
      </c>
      <c r="M169" s="2" t="s">
        <v>191</v>
      </c>
      <c r="N169" s="2"/>
      <c r="O169" s="2" t="s">
        <v>77</v>
      </c>
      <c r="P169" s="2"/>
      <c r="Q169" s="3"/>
      <c r="R169" s="2"/>
    </row>
    <row r="170" spans="1:18" ht="25.5">
      <c r="A170" s="2" t="s">
        <v>636</v>
      </c>
      <c r="B170" s="2" t="s">
        <v>45</v>
      </c>
      <c r="C170" s="2" t="s">
        <v>633</v>
      </c>
      <c r="D170" s="2" t="s">
        <v>637</v>
      </c>
      <c r="E170" s="2" t="s">
        <v>638</v>
      </c>
      <c r="F170" s="2" t="s">
        <v>70</v>
      </c>
      <c r="G170" s="2" t="s">
        <v>189</v>
      </c>
      <c r="H170" s="2" t="s">
        <v>72</v>
      </c>
      <c r="I170" s="2" t="s">
        <v>73</v>
      </c>
      <c r="J170" s="2" t="s">
        <v>10</v>
      </c>
      <c r="K170" s="2" t="s">
        <v>74</v>
      </c>
      <c r="L170" s="2" t="s">
        <v>190</v>
      </c>
      <c r="M170" s="2" t="s">
        <v>191</v>
      </c>
      <c r="N170" s="2"/>
      <c r="O170" s="2" t="s">
        <v>77</v>
      </c>
      <c r="P170" s="2"/>
      <c r="Q170" s="3"/>
      <c r="R170" s="2"/>
    </row>
    <row r="171" spans="1:18">
      <c r="A171" s="2" t="s">
        <v>639</v>
      </c>
      <c r="B171" s="2" t="s">
        <v>45</v>
      </c>
      <c r="C171" s="2" t="s">
        <v>633</v>
      </c>
      <c r="D171" s="2" t="s">
        <v>640</v>
      </c>
      <c r="E171" s="2" t="s">
        <v>641</v>
      </c>
      <c r="F171" s="2" t="s">
        <v>70</v>
      </c>
      <c r="G171" s="2" t="s">
        <v>189</v>
      </c>
      <c r="H171" s="2" t="s">
        <v>72</v>
      </c>
      <c r="I171" s="2" t="s">
        <v>73</v>
      </c>
      <c r="J171" s="2" t="s">
        <v>10</v>
      </c>
      <c r="K171" s="2" t="s">
        <v>74</v>
      </c>
      <c r="L171" s="2" t="s">
        <v>190</v>
      </c>
      <c r="M171" s="2" t="s">
        <v>191</v>
      </c>
      <c r="N171" s="2"/>
      <c r="O171" s="2" t="s">
        <v>77</v>
      </c>
      <c r="P171" s="2"/>
      <c r="Q171" s="3"/>
      <c r="R171" s="2"/>
    </row>
    <row r="172" spans="1:18">
      <c r="A172" s="2" t="s">
        <v>642</v>
      </c>
      <c r="B172" s="2" t="s">
        <v>45</v>
      </c>
      <c r="C172" s="2" t="s">
        <v>643</v>
      </c>
      <c r="D172" s="2" t="s">
        <v>644</v>
      </c>
      <c r="E172" s="2" t="s">
        <v>645</v>
      </c>
      <c r="F172" s="2" t="s">
        <v>70</v>
      </c>
      <c r="G172" s="2" t="s">
        <v>189</v>
      </c>
      <c r="H172" s="2" t="s">
        <v>72</v>
      </c>
      <c r="I172" s="2" t="s">
        <v>73</v>
      </c>
      <c r="J172" s="2" t="s">
        <v>10</v>
      </c>
      <c r="K172" s="2" t="s">
        <v>74</v>
      </c>
      <c r="L172" s="2" t="s">
        <v>190</v>
      </c>
      <c r="M172" s="2" t="s">
        <v>191</v>
      </c>
      <c r="N172" s="2"/>
      <c r="O172" s="2" t="s">
        <v>77</v>
      </c>
      <c r="P172" s="2"/>
      <c r="Q172" s="3"/>
      <c r="R172" s="2"/>
    </row>
    <row r="173" spans="1:18" ht="25.5">
      <c r="A173" s="2" t="s">
        <v>646</v>
      </c>
      <c r="B173" s="2" t="s">
        <v>45</v>
      </c>
      <c r="C173" s="2" t="s">
        <v>643</v>
      </c>
      <c r="D173" s="2" t="s">
        <v>647</v>
      </c>
      <c r="E173" s="2" t="s">
        <v>648</v>
      </c>
      <c r="F173" s="2" t="s">
        <v>70</v>
      </c>
      <c r="G173" s="2" t="s">
        <v>189</v>
      </c>
      <c r="H173" s="2" t="s">
        <v>72</v>
      </c>
      <c r="I173" s="2" t="s">
        <v>73</v>
      </c>
      <c r="J173" s="2" t="s">
        <v>10</v>
      </c>
      <c r="K173" s="2" t="s">
        <v>74</v>
      </c>
      <c r="L173" s="2" t="s">
        <v>190</v>
      </c>
      <c r="M173" s="2" t="s">
        <v>191</v>
      </c>
      <c r="N173" s="2"/>
      <c r="O173" s="2" t="s">
        <v>77</v>
      </c>
      <c r="P173" s="2"/>
      <c r="Q173" s="3"/>
      <c r="R173" s="2"/>
    </row>
    <row r="174" spans="1:18" ht="25.5">
      <c r="A174" s="2" t="s">
        <v>649</v>
      </c>
      <c r="B174" s="2" t="s">
        <v>45</v>
      </c>
      <c r="C174" s="2" t="s">
        <v>643</v>
      </c>
      <c r="D174" s="2" t="s">
        <v>650</v>
      </c>
      <c r="E174" s="2" t="s">
        <v>651</v>
      </c>
      <c r="F174" s="2" t="s">
        <v>70</v>
      </c>
      <c r="G174" s="2" t="s">
        <v>189</v>
      </c>
      <c r="H174" s="2" t="s">
        <v>72</v>
      </c>
      <c r="I174" s="2" t="s">
        <v>73</v>
      </c>
      <c r="J174" s="2" t="s">
        <v>10</v>
      </c>
      <c r="K174" s="2" t="s">
        <v>74</v>
      </c>
      <c r="L174" s="2" t="s">
        <v>190</v>
      </c>
      <c r="M174" s="2" t="s">
        <v>191</v>
      </c>
      <c r="N174" s="2"/>
      <c r="O174" s="2" t="s">
        <v>77</v>
      </c>
      <c r="P174" s="2"/>
      <c r="Q174" s="3"/>
      <c r="R174" s="2"/>
    </row>
    <row r="175" spans="1:18">
      <c r="A175" s="2" t="s">
        <v>652</v>
      </c>
      <c r="B175" s="2" t="s">
        <v>45</v>
      </c>
      <c r="C175" s="2" t="s">
        <v>653</v>
      </c>
      <c r="D175" s="2" t="s">
        <v>654</v>
      </c>
      <c r="E175" s="2" t="s">
        <v>655</v>
      </c>
      <c r="F175" s="2" t="s">
        <v>70</v>
      </c>
      <c r="G175" s="2" t="s">
        <v>189</v>
      </c>
      <c r="H175" s="2" t="s">
        <v>72</v>
      </c>
      <c r="I175" s="2" t="s">
        <v>73</v>
      </c>
      <c r="J175" s="2" t="s">
        <v>10</v>
      </c>
      <c r="K175" s="2" t="s">
        <v>74</v>
      </c>
      <c r="L175" s="2" t="s">
        <v>190</v>
      </c>
      <c r="M175" s="2" t="s">
        <v>191</v>
      </c>
      <c r="N175" s="2"/>
      <c r="O175" s="2" t="s">
        <v>77</v>
      </c>
      <c r="P175" s="2"/>
      <c r="Q175" s="3"/>
      <c r="R175" s="2"/>
    </row>
    <row r="176" spans="1:18">
      <c r="A176" s="2" t="s">
        <v>656</v>
      </c>
      <c r="B176" s="2" t="s">
        <v>45</v>
      </c>
      <c r="C176" s="2" t="s">
        <v>653</v>
      </c>
      <c r="D176" s="2" t="s">
        <v>657</v>
      </c>
      <c r="E176" s="2" t="s">
        <v>658</v>
      </c>
      <c r="F176" s="2" t="s">
        <v>70</v>
      </c>
      <c r="G176" s="2" t="s">
        <v>189</v>
      </c>
      <c r="H176" s="2" t="s">
        <v>72</v>
      </c>
      <c r="I176" s="2" t="s">
        <v>73</v>
      </c>
      <c r="J176" s="2" t="s">
        <v>10</v>
      </c>
      <c r="K176" s="2" t="s">
        <v>74</v>
      </c>
      <c r="L176" s="2" t="s">
        <v>190</v>
      </c>
      <c r="M176" s="2" t="s">
        <v>191</v>
      </c>
      <c r="N176" s="2"/>
      <c r="O176" s="2" t="s">
        <v>77</v>
      </c>
      <c r="P176" s="2"/>
      <c r="Q176" s="3"/>
      <c r="R176" s="2"/>
    </row>
    <row r="177" spans="1:18">
      <c r="A177" s="2" t="s">
        <v>659</v>
      </c>
      <c r="B177" s="2" t="s">
        <v>45</v>
      </c>
      <c r="C177" s="2" t="s">
        <v>653</v>
      </c>
      <c r="D177" s="2" t="s">
        <v>660</v>
      </c>
      <c r="E177" s="2" t="s">
        <v>661</v>
      </c>
      <c r="F177" s="2" t="s">
        <v>70</v>
      </c>
      <c r="G177" s="2" t="s">
        <v>189</v>
      </c>
      <c r="H177" s="2" t="s">
        <v>72</v>
      </c>
      <c r="I177" s="2" t="s">
        <v>73</v>
      </c>
      <c r="J177" s="2" t="s">
        <v>10</v>
      </c>
      <c r="K177" s="2" t="s">
        <v>74</v>
      </c>
      <c r="L177" s="2" t="s">
        <v>190</v>
      </c>
      <c r="M177" s="2" t="s">
        <v>191</v>
      </c>
      <c r="N177" s="2"/>
      <c r="O177" s="2" t="s">
        <v>77</v>
      </c>
      <c r="P177" s="2"/>
      <c r="Q177" s="3"/>
      <c r="R177" s="2"/>
    </row>
    <row r="178" spans="1:18">
      <c r="A178" s="2" t="s">
        <v>662</v>
      </c>
      <c r="B178" s="2" t="s">
        <v>46</v>
      </c>
      <c r="C178" s="2" t="s">
        <v>663</v>
      </c>
      <c r="D178" s="2" t="s">
        <v>664</v>
      </c>
      <c r="E178" s="2" t="s">
        <v>665</v>
      </c>
      <c r="F178" s="2" t="s">
        <v>70</v>
      </c>
      <c r="G178" s="2" t="s">
        <v>666</v>
      </c>
      <c r="H178" s="2" t="s">
        <v>404</v>
      </c>
      <c r="I178" s="2" t="s">
        <v>73</v>
      </c>
      <c r="J178" s="2" t="s">
        <v>10</v>
      </c>
      <c r="K178" s="2" t="s">
        <v>569</v>
      </c>
      <c r="L178" s="2" t="s">
        <v>75</v>
      </c>
      <c r="M178" s="2" t="s">
        <v>327</v>
      </c>
      <c r="N178" s="2"/>
      <c r="O178" s="2" t="s">
        <v>77</v>
      </c>
      <c r="P178" s="2"/>
      <c r="Q178" s="3"/>
      <c r="R178" s="2"/>
    </row>
    <row r="179" spans="1:18">
      <c r="A179" s="2" t="s">
        <v>667</v>
      </c>
      <c r="B179" s="2" t="s">
        <v>46</v>
      </c>
      <c r="C179" s="2" t="s">
        <v>663</v>
      </c>
      <c r="D179" s="2" t="s">
        <v>668</v>
      </c>
      <c r="E179" s="2" t="s">
        <v>669</v>
      </c>
      <c r="F179" s="2" t="s">
        <v>70</v>
      </c>
      <c r="G179" s="2" t="s">
        <v>666</v>
      </c>
      <c r="H179" s="2" t="s">
        <v>404</v>
      </c>
      <c r="I179" s="2" t="s">
        <v>73</v>
      </c>
      <c r="J179" s="2" t="s">
        <v>10</v>
      </c>
      <c r="K179" s="2" t="s">
        <v>569</v>
      </c>
      <c r="L179" s="2" t="s">
        <v>75</v>
      </c>
      <c r="M179" s="2" t="s">
        <v>327</v>
      </c>
      <c r="N179" s="2"/>
      <c r="O179" s="2" t="s">
        <v>77</v>
      </c>
      <c r="P179" s="2"/>
      <c r="Q179" s="3"/>
      <c r="R179" s="2"/>
    </row>
    <row r="180" spans="1:18" ht="25.5">
      <c r="A180" s="2" t="s">
        <v>670</v>
      </c>
      <c r="B180" s="2" t="s">
        <v>46</v>
      </c>
      <c r="C180" s="2" t="s">
        <v>663</v>
      </c>
      <c r="D180" s="2" t="s">
        <v>671</v>
      </c>
      <c r="E180" s="2" t="s">
        <v>672</v>
      </c>
      <c r="F180" s="2" t="s">
        <v>70</v>
      </c>
      <c r="G180" s="2" t="s">
        <v>666</v>
      </c>
      <c r="H180" s="2" t="s">
        <v>404</v>
      </c>
      <c r="I180" s="2" t="s">
        <v>73</v>
      </c>
      <c r="J180" s="2" t="s">
        <v>10</v>
      </c>
      <c r="K180" s="2" t="s">
        <v>569</v>
      </c>
      <c r="L180" s="2" t="s">
        <v>75</v>
      </c>
      <c r="M180" s="2" t="s">
        <v>327</v>
      </c>
      <c r="N180" s="2"/>
      <c r="O180" s="2" t="s">
        <v>77</v>
      </c>
      <c r="P180" s="2"/>
      <c r="Q180" s="3"/>
      <c r="R180" s="2"/>
    </row>
    <row r="181" spans="1:18">
      <c r="A181" s="2" t="s">
        <v>673</v>
      </c>
      <c r="B181" s="2" t="s">
        <v>46</v>
      </c>
      <c r="C181" s="2" t="s">
        <v>663</v>
      </c>
      <c r="D181" s="2" t="s">
        <v>674</v>
      </c>
      <c r="E181" s="2" t="s">
        <v>675</v>
      </c>
      <c r="F181" s="2" t="s">
        <v>70</v>
      </c>
      <c r="G181" s="2" t="s">
        <v>666</v>
      </c>
      <c r="H181" s="2" t="s">
        <v>404</v>
      </c>
      <c r="I181" s="2" t="s">
        <v>73</v>
      </c>
      <c r="J181" s="2" t="s">
        <v>10</v>
      </c>
      <c r="K181" s="2" t="s">
        <v>569</v>
      </c>
      <c r="L181" s="2" t="s">
        <v>75</v>
      </c>
      <c r="M181" s="2" t="s">
        <v>327</v>
      </c>
      <c r="N181" s="2"/>
      <c r="O181" s="2" t="s">
        <v>77</v>
      </c>
      <c r="P181" s="2"/>
      <c r="Q181" s="3"/>
      <c r="R181" s="2"/>
    </row>
    <row r="182" spans="1:18">
      <c r="A182" s="2" t="s">
        <v>676</v>
      </c>
      <c r="B182" s="2" t="s">
        <v>46</v>
      </c>
      <c r="C182" s="2" t="s">
        <v>677</v>
      </c>
      <c r="D182" s="2" t="s">
        <v>678</v>
      </c>
      <c r="E182" s="2" t="s">
        <v>679</v>
      </c>
      <c r="F182" s="2" t="s">
        <v>70</v>
      </c>
      <c r="G182" s="2" t="s">
        <v>666</v>
      </c>
      <c r="H182" s="2" t="s">
        <v>404</v>
      </c>
      <c r="I182" s="2" t="s">
        <v>73</v>
      </c>
      <c r="J182" s="2" t="s">
        <v>10</v>
      </c>
      <c r="K182" s="2" t="s">
        <v>569</v>
      </c>
      <c r="L182" s="2" t="s">
        <v>75</v>
      </c>
      <c r="M182" s="2" t="s">
        <v>327</v>
      </c>
      <c r="N182" s="2"/>
      <c r="O182" s="2" t="s">
        <v>77</v>
      </c>
      <c r="P182" s="2"/>
      <c r="Q182" s="3"/>
      <c r="R182" s="2"/>
    </row>
    <row r="183" spans="1:18">
      <c r="A183" s="2" t="s">
        <v>680</v>
      </c>
      <c r="B183" s="2" t="s">
        <v>46</v>
      </c>
      <c r="C183" s="2" t="s">
        <v>677</v>
      </c>
      <c r="D183" s="2" t="s">
        <v>681</v>
      </c>
      <c r="E183" s="2" t="s">
        <v>682</v>
      </c>
      <c r="F183" s="2" t="s">
        <v>70</v>
      </c>
      <c r="G183" s="2" t="s">
        <v>666</v>
      </c>
      <c r="H183" s="2" t="s">
        <v>404</v>
      </c>
      <c r="I183" s="2" t="s">
        <v>73</v>
      </c>
      <c r="J183" s="2" t="s">
        <v>10</v>
      </c>
      <c r="K183" s="2" t="s">
        <v>569</v>
      </c>
      <c r="L183" s="2" t="s">
        <v>75</v>
      </c>
      <c r="M183" s="2" t="s">
        <v>327</v>
      </c>
      <c r="N183" s="2"/>
      <c r="O183" s="2" t="s">
        <v>77</v>
      </c>
      <c r="P183" s="2"/>
      <c r="Q183" s="3"/>
      <c r="R183" s="2"/>
    </row>
    <row r="184" spans="1:18">
      <c r="A184" s="2" t="s">
        <v>683</v>
      </c>
      <c r="B184" s="2" t="s">
        <v>46</v>
      </c>
      <c r="C184" s="2" t="s">
        <v>677</v>
      </c>
      <c r="D184" s="2" t="s">
        <v>684</v>
      </c>
      <c r="E184" s="2" t="s">
        <v>685</v>
      </c>
      <c r="F184" s="2" t="s">
        <v>70</v>
      </c>
      <c r="G184" s="2" t="s">
        <v>666</v>
      </c>
      <c r="H184" s="2" t="s">
        <v>404</v>
      </c>
      <c r="I184" s="2" t="s">
        <v>73</v>
      </c>
      <c r="J184" s="2" t="s">
        <v>10</v>
      </c>
      <c r="K184" s="2" t="s">
        <v>569</v>
      </c>
      <c r="L184" s="2" t="s">
        <v>75</v>
      </c>
      <c r="M184" s="2" t="s">
        <v>327</v>
      </c>
      <c r="N184" s="2"/>
      <c r="O184" s="2" t="s">
        <v>77</v>
      </c>
      <c r="P184" s="2"/>
      <c r="Q184" s="3"/>
      <c r="R184" s="2"/>
    </row>
    <row r="185" spans="1:18" ht="25.5">
      <c r="A185" s="2" t="s">
        <v>686</v>
      </c>
      <c r="B185" s="2" t="s">
        <v>46</v>
      </c>
      <c r="C185" s="2" t="s">
        <v>687</v>
      </c>
      <c r="D185" s="2" t="s">
        <v>688</v>
      </c>
      <c r="E185" s="2" t="s">
        <v>689</v>
      </c>
      <c r="F185" s="2" t="s">
        <v>70</v>
      </c>
      <c r="G185" s="2" t="s">
        <v>666</v>
      </c>
      <c r="H185" s="2" t="s">
        <v>404</v>
      </c>
      <c r="I185" s="2" t="s">
        <v>73</v>
      </c>
      <c r="J185" s="2" t="s">
        <v>10</v>
      </c>
      <c r="K185" s="2" t="s">
        <v>569</v>
      </c>
      <c r="L185" s="2" t="s">
        <v>75</v>
      </c>
      <c r="M185" s="2" t="s">
        <v>327</v>
      </c>
      <c r="N185" s="2"/>
      <c r="O185" s="2" t="s">
        <v>77</v>
      </c>
      <c r="P185" s="2"/>
      <c r="Q185" s="3"/>
      <c r="R185" s="2"/>
    </row>
    <row r="186" spans="1:18">
      <c r="A186" s="2" t="s">
        <v>690</v>
      </c>
      <c r="B186" s="2" t="s">
        <v>46</v>
      </c>
      <c r="C186" s="2" t="s">
        <v>687</v>
      </c>
      <c r="D186" s="2" t="s">
        <v>691</v>
      </c>
      <c r="E186" s="2" t="s">
        <v>692</v>
      </c>
      <c r="F186" s="2" t="s">
        <v>70</v>
      </c>
      <c r="G186" s="2" t="s">
        <v>666</v>
      </c>
      <c r="H186" s="2" t="s">
        <v>404</v>
      </c>
      <c r="I186" s="2" t="s">
        <v>73</v>
      </c>
      <c r="J186" s="2" t="s">
        <v>10</v>
      </c>
      <c r="K186" s="2" t="s">
        <v>569</v>
      </c>
      <c r="L186" s="2" t="s">
        <v>75</v>
      </c>
      <c r="M186" s="2" t="s">
        <v>327</v>
      </c>
      <c r="N186" s="2"/>
      <c r="O186" s="2" t="s">
        <v>77</v>
      </c>
      <c r="P186" s="2"/>
      <c r="Q186" s="3"/>
      <c r="R186" s="2"/>
    </row>
    <row r="187" spans="1:18" ht="25.5">
      <c r="A187" s="2" t="s">
        <v>693</v>
      </c>
      <c r="B187" s="2" t="s">
        <v>46</v>
      </c>
      <c r="C187" s="2" t="s">
        <v>694</v>
      </c>
      <c r="D187" s="2" t="s">
        <v>695</v>
      </c>
      <c r="E187" s="2" t="s">
        <v>696</v>
      </c>
      <c r="F187" s="2" t="s">
        <v>70</v>
      </c>
      <c r="G187" s="2" t="s">
        <v>666</v>
      </c>
      <c r="H187" s="2" t="s">
        <v>404</v>
      </c>
      <c r="I187" s="2" t="s">
        <v>73</v>
      </c>
      <c r="J187" s="2" t="s">
        <v>10</v>
      </c>
      <c r="K187" s="2" t="s">
        <v>569</v>
      </c>
      <c r="L187" s="2" t="s">
        <v>75</v>
      </c>
      <c r="M187" s="2" t="s">
        <v>327</v>
      </c>
      <c r="N187" s="2"/>
      <c r="O187" s="2" t="s">
        <v>77</v>
      </c>
      <c r="P187" s="2"/>
      <c r="Q187" s="3"/>
      <c r="R187" s="2"/>
    </row>
    <row r="188" spans="1:18">
      <c r="A188" s="2" t="s">
        <v>697</v>
      </c>
      <c r="B188" s="2" t="s">
        <v>46</v>
      </c>
      <c r="C188" s="2" t="s">
        <v>694</v>
      </c>
      <c r="D188" s="2" t="s">
        <v>698</v>
      </c>
      <c r="E188" s="2" t="s">
        <v>699</v>
      </c>
      <c r="F188" s="2" t="s">
        <v>70</v>
      </c>
      <c r="G188" s="2" t="s">
        <v>666</v>
      </c>
      <c r="H188" s="2" t="s">
        <v>404</v>
      </c>
      <c r="I188" s="2" t="s">
        <v>73</v>
      </c>
      <c r="J188" s="2" t="s">
        <v>10</v>
      </c>
      <c r="K188" s="2" t="s">
        <v>569</v>
      </c>
      <c r="L188" s="2" t="s">
        <v>75</v>
      </c>
      <c r="M188" s="2" t="s">
        <v>327</v>
      </c>
      <c r="N188" s="2"/>
      <c r="O188" s="2" t="s">
        <v>77</v>
      </c>
      <c r="P188" s="2"/>
      <c r="Q188" s="3"/>
      <c r="R188" s="2"/>
    </row>
    <row r="189" spans="1:18">
      <c r="A189" s="2" t="s">
        <v>700</v>
      </c>
      <c r="B189" s="2" t="s">
        <v>46</v>
      </c>
      <c r="C189" s="2" t="s">
        <v>694</v>
      </c>
      <c r="D189" s="2" t="s">
        <v>701</v>
      </c>
      <c r="E189" s="2" t="s">
        <v>702</v>
      </c>
      <c r="F189" s="2" t="s">
        <v>70</v>
      </c>
      <c r="G189" s="2" t="s">
        <v>666</v>
      </c>
      <c r="H189" s="2" t="s">
        <v>404</v>
      </c>
      <c r="I189" s="2" t="s">
        <v>73</v>
      </c>
      <c r="J189" s="2" t="s">
        <v>10</v>
      </c>
      <c r="K189" s="2" t="s">
        <v>569</v>
      </c>
      <c r="L189" s="2" t="s">
        <v>75</v>
      </c>
      <c r="M189" s="2" t="s">
        <v>327</v>
      </c>
      <c r="N189" s="2"/>
      <c r="O189" s="2" t="s">
        <v>77</v>
      </c>
      <c r="P189" s="2"/>
      <c r="Q189" s="3"/>
      <c r="R189" s="2"/>
    </row>
    <row r="190" spans="1:18">
      <c r="A190" s="2" t="s">
        <v>703</v>
      </c>
      <c r="B190" s="2" t="s">
        <v>47</v>
      </c>
      <c r="C190" s="2" t="s">
        <v>704</v>
      </c>
      <c r="D190" s="2" t="s">
        <v>705</v>
      </c>
      <c r="E190" s="2" t="s">
        <v>706</v>
      </c>
      <c r="F190" s="2" t="s">
        <v>70</v>
      </c>
      <c r="G190" s="2" t="s">
        <v>707</v>
      </c>
      <c r="H190" s="2" t="s">
        <v>72</v>
      </c>
      <c r="I190" s="2" t="s">
        <v>73</v>
      </c>
      <c r="J190" s="2" t="s">
        <v>10</v>
      </c>
      <c r="K190" s="2" t="s">
        <v>708</v>
      </c>
      <c r="L190" s="2" t="s">
        <v>75</v>
      </c>
      <c r="M190" s="2" t="s">
        <v>709</v>
      </c>
      <c r="N190" s="2"/>
      <c r="O190" s="2" t="s">
        <v>77</v>
      </c>
      <c r="P190" s="2"/>
      <c r="Q190" s="3"/>
      <c r="R190" s="2"/>
    </row>
    <row r="191" spans="1:18">
      <c r="A191" s="2" t="s">
        <v>710</v>
      </c>
      <c r="B191" s="2" t="s">
        <v>47</v>
      </c>
      <c r="C191" s="2" t="s">
        <v>711</v>
      </c>
      <c r="D191" s="2" t="s">
        <v>712</v>
      </c>
      <c r="E191" s="2" t="s">
        <v>713</v>
      </c>
      <c r="F191" s="2" t="s">
        <v>70</v>
      </c>
      <c r="G191" s="2" t="s">
        <v>707</v>
      </c>
      <c r="H191" s="2" t="s">
        <v>72</v>
      </c>
      <c r="I191" s="2" t="s">
        <v>73</v>
      </c>
      <c r="J191" s="2" t="s">
        <v>10</v>
      </c>
      <c r="K191" s="2" t="s">
        <v>708</v>
      </c>
      <c r="L191" s="2" t="s">
        <v>75</v>
      </c>
      <c r="M191" s="2" t="s">
        <v>709</v>
      </c>
      <c r="N191" s="2"/>
      <c r="O191" s="2" t="s">
        <v>77</v>
      </c>
      <c r="P191" s="2"/>
      <c r="Q191" s="3"/>
      <c r="R191" s="2"/>
    </row>
    <row r="192" spans="1:18">
      <c r="A192" s="2" t="s">
        <v>714</v>
      </c>
      <c r="B192" s="2" t="s">
        <v>47</v>
      </c>
      <c r="C192" s="2" t="s">
        <v>711</v>
      </c>
      <c r="D192" s="2" t="s">
        <v>715</v>
      </c>
      <c r="E192" s="2" t="s">
        <v>716</v>
      </c>
      <c r="F192" s="2" t="s">
        <v>70</v>
      </c>
      <c r="G192" s="2" t="s">
        <v>707</v>
      </c>
      <c r="H192" s="2" t="s">
        <v>72</v>
      </c>
      <c r="I192" s="2" t="s">
        <v>73</v>
      </c>
      <c r="J192" s="2" t="s">
        <v>10</v>
      </c>
      <c r="K192" s="2" t="s">
        <v>708</v>
      </c>
      <c r="L192" s="2" t="s">
        <v>75</v>
      </c>
      <c r="M192" s="2" t="s">
        <v>709</v>
      </c>
      <c r="N192" s="2"/>
      <c r="O192" s="2" t="s">
        <v>77</v>
      </c>
      <c r="P192" s="2"/>
      <c r="Q192" s="3"/>
      <c r="R192" s="2"/>
    </row>
    <row r="193" spans="1:18">
      <c r="A193" s="2" t="s">
        <v>717</v>
      </c>
      <c r="B193" s="2" t="s">
        <v>47</v>
      </c>
      <c r="C193" s="2" t="s">
        <v>718</v>
      </c>
      <c r="D193" s="2" t="s">
        <v>719</v>
      </c>
      <c r="E193" s="2" t="s">
        <v>720</v>
      </c>
      <c r="F193" s="2" t="s">
        <v>70</v>
      </c>
      <c r="G193" s="2" t="s">
        <v>707</v>
      </c>
      <c r="H193" s="2" t="s">
        <v>72</v>
      </c>
      <c r="I193" s="2" t="s">
        <v>73</v>
      </c>
      <c r="J193" s="2" t="s">
        <v>10</v>
      </c>
      <c r="K193" s="2" t="s">
        <v>708</v>
      </c>
      <c r="L193" s="2" t="s">
        <v>75</v>
      </c>
      <c r="M193" s="2" t="s">
        <v>709</v>
      </c>
      <c r="N193" s="2"/>
      <c r="O193" s="2" t="s">
        <v>77</v>
      </c>
      <c r="P193" s="2"/>
      <c r="Q193" s="3"/>
      <c r="R193" s="2"/>
    </row>
    <row r="194" spans="1:18">
      <c r="A194" s="2" t="s">
        <v>721</v>
      </c>
      <c r="B194" s="2" t="s">
        <v>47</v>
      </c>
      <c r="C194" s="2" t="s">
        <v>718</v>
      </c>
      <c r="D194" s="2" t="s">
        <v>722</v>
      </c>
      <c r="E194" s="2" t="s">
        <v>723</v>
      </c>
      <c r="F194" s="2" t="s">
        <v>70</v>
      </c>
      <c r="G194" s="2" t="s">
        <v>707</v>
      </c>
      <c r="H194" s="2" t="s">
        <v>72</v>
      </c>
      <c r="I194" s="2" t="s">
        <v>73</v>
      </c>
      <c r="J194" s="2" t="s">
        <v>10</v>
      </c>
      <c r="K194" s="2" t="s">
        <v>708</v>
      </c>
      <c r="L194" s="2" t="s">
        <v>75</v>
      </c>
      <c r="M194" s="2" t="s">
        <v>709</v>
      </c>
      <c r="N194" s="2"/>
      <c r="O194" s="2" t="s">
        <v>77</v>
      </c>
      <c r="P194" s="2"/>
      <c r="Q194" s="3"/>
      <c r="R194" s="2"/>
    </row>
    <row r="195" spans="1:18">
      <c r="A195" s="2" t="s">
        <v>724</v>
      </c>
      <c r="B195" s="2" t="s">
        <v>47</v>
      </c>
      <c r="C195" s="2" t="s">
        <v>718</v>
      </c>
      <c r="D195" s="2" t="s">
        <v>725</v>
      </c>
      <c r="E195" s="2" t="s">
        <v>726</v>
      </c>
      <c r="F195" s="2" t="s">
        <v>70</v>
      </c>
      <c r="G195" s="2" t="s">
        <v>707</v>
      </c>
      <c r="H195" s="2" t="s">
        <v>72</v>
      </c>
      <c r="I195" s="2" t="s">
        <v>73</v>
      </c>
      <c r="J195" s="2" t="s">
        <v>10</v>
      </c>
      <c r="K195" s="2" t="s">
        <v>708</v>
      </c>
      <c r="L195" s="2" t="s">
        <v>75</v>
      </c>
      <c r="M195" s="2" t="s">
        <v>709</v>
      </c>
      <c r="N195" s="2"/>
      <c r="O195" s="2" t="s">
        <v>77</v>
      </c>
      <c r="P195" s="2"/>
      <c r="Q195" s="3"/>
      <c r="R195" s="2"/>
    </row>
    <row r="196" spans="1:18">
      <c r="A196" s="2" t="s">
        <v>727</v>
      </c>
      <c r="B196" s="2" t="s">
        <v>47</v>
      </c>
      <c r="C196" s="2" t="s">
        <v>718</v>
      </c>
      <c r="D196" s="2" t="s">
        <v>728</v>
      </c>
      <c r="E196" s="2" t="s">
        <v>729</v>
      </c>
      <c r="F196" s="2" t="s">
        <v>70</v>
      </c>
      <c r="G196" s="2" t="s">
        <v>707</v>
      </c>
      <c r="H196" s="2" t="s">
        <v>72</v>
      </c>
      <c r="I196" s="2" t="s">
        <v>73</v>
      </c>
      <c r="J196" s="2" t="s">
        <v>10</v>
      </c>
      <c r="K196" s="2" t="s">
        <v>708</v>
      </c>
      <c r="L196" s="2" t="s">
        <v>75</v>
      </c>
      <c r="M196" s="2" t="s">
        <v>709</v>
      </c>
      <c r="N196" s="2"/>
      <c r="O196" s="2" t="s">
        <v>77</v>
      </c>
      <c r="P196" s="2"/>
      <c r="Q196" s="3"/>
      <c r="R196" s="2"/>
    </row>
    <row r="197" spans="1:18">
      <c r="A197" s="2" t="s">
        <v>730</v>
      </c>
      <c r="B197" s="2" t="s">
        <v>47</v>
      </c>
      <c r="C197" s="2" t="s">
        <v>718</v>
      </c>
      <c r="D197" s="2" t="s">
        <v>731</v>
      </c>
      <c r="E197" s="2" t="s">
        <v>732</v>
      </c>
      <c r="F197" s="2" t="s">
        <v>70</v>
      </c>
      <c r="G197" s="2" t="s">
        <v>707</v>
      </c>
      <c r="H197" s="2" t="s">
        <v>72</v>
      </c>
      <c r="I197" s="2" t="s">
        <v>73</v>
      </c>
      <c r="J197" s="2" t="s">
        <v>10</v>
      </c>
      <c r="K197" s="2" t="s">
        <v>708</v>
      </c>
      <c r="L197" s="2" t="s">
        <v>75</v>
      </c>
      <c r="M197" s="2" t="s">
        <v>709</v>
      </c>
      <c r="N197" s="2"/>
      <c r="O197" s="2" t="s">
        <v>77</v>
      </c>
      <c r="P197" s="2"/>
      <c r="Q197" s="3"/>
      <c r="R197" s="2"/>
    </row>
    <row r="198" spans="1:18" ht="25.5">
      <c r="A198" s="2" t="s">
        <v>733</v>
      </c>
      <c r="B198" s="2" t="s">
        <v>47</v>
      </c>
      <c r="C198" s="2" t="s">
        <v>734</v>
      </c>
      <c r="D198" s="2" t="s">
        <v>735</v>
      </c>
      <c r="E198" s="2" t="s">
        <v>736</v>
      </c>
      <c r="F198" s="2" t="s">
        <v>70</v>
      </c>
      <c r="G198" s="2" t="s">
        <v>707</v>
      </c>
      <c r="H198" s="2" t="s">
        <v>72</v>
      </c>
      <c r="I198" s="2" t="s">
        <v>73</v>
      </c>
      <c r="J198" s="2" t="s">
        <v>10</v>
      </c>
      <c r="K198" s="2" t="s">
        <v>708</v>
      </c>
      <c r="L198" s="2" t="s">
        <v>75</v>
      </c>
      <c r="M198" s="2" t="s">
        <v>709</v>
      </c>
      <c r="N198" s="2"/>
      <c r="O198" s="2" t="s">
        <v>77</v>
      </c>
      <c r="P198" s="2"/>
      <c r="Q198" s="3"/>
      <c r="R198" s="2"/>
    </row>
    <row r="199" spans="1:18">
      <c r="A199" s="2" t="s">
        <v>737</v>
      </c>
      <c r="B199" s="2" t="s">
        <v>47</v>
      </c>
      <c r="C199" s="2" t="s">
        <v>734</v>
      </c>
      <c r="D199" s="2" t="s">
        <v>738</v>
      </c>
      <c r="E199" s="2" t="s">
        <v>739</v>
      </c>
      <c r="F199" s="2" t="s">
        <v>70</v>
      </c>
      <c r="G199" s="2" t="s">
        <v>707</v>
      </c>
      <c r="H199" s="2" t="s">
        <v>72</v>
      </c>
      <c r="I199" s="2" t="s">
        <v>73</v>
      </c>
      <c r="J199" s="2" t="s">
        <v>10</v>
      </c>
      <c r="K199" s="2" t="s">
        <v>708</v>
      </c>
      <c r="L199" s="2" t="s">
        <v>75</v>
      </c>
      <c r="M199" s="2" t="s">
        <v>709</v>
      </c>
      <c r="N199" s="2"/>
      <c r="O199" s="2" t="s">
        <v>77</v>
      </c>
      <c r="P199" s="2"/>
      <c r="Q199" s="3"/>
      <c r="R199" s="2"/>
    </row>
    <row r="200" spans="1:18">
      <c r="A200" s="2" t="s">
        <v>740</v>
      </c>
      <c r="B200" s="2" t="s">
        <v>47</v>
      </c>
      <c r="C200" s="2" t="s">
        <v>741</v>
      </c>
      <c r="D200" s="2" t="s">
        <v>742</v>
      </c>
      <c r="E200" s="2" t="s">
        <v>743</v>
      </c>
      <c r="F200" s="2" t="s">
        <v>70</v>
      </c>
      <c r="G200" s="2" t="s">
        <v>707</v>
      </c>
      <c r="H200" s="2" t="s">
        <v>72</v>
      </c>
      <c r="I200" s="2" t="s">
        <v>73</v>
      </c>
      <c r="J200" s="2" t="s">
        <v>10</v>
      </c>
      <c r="K200" s="2" t="s">
        <v>708</v>
      </c>
      <c r="L200" s="2" t="s">
        <v>75</v>
      </c>
      <c r="M200" s="2" t="s">
        <v>709</v>
      </c>
      <c r="N200" s="2"/>
      <c r="O200" s="2" t="s">
        <v>77</v>
      </c>
      <c r="P200" s="2"/>
      <c r="Q200" s="3"/>
      <c r="R200" s="2"/>
    </row>
    <row r="201" spans="1:18">
      <c r="A201" s="2" t="s">
        <v>744</v>
      </c>
      <c r="B201" s="2" t="s">
        <v>47</v>
      </c>
      <c r="C201" s="2" t="s">
        <v>741</v>
      </c>
      <c r="D201" s="2" t="s">
        <v>745</v>
      </c>
      <c r="E201" s="2" t="s">
        <v>746</v>
      </c>
      <c r="F201" s="2" t="s">
        <v>70</v>
      </c>
      <c r="G201" s="2" t="s">
        <v>707</v>
      </c>
      <c r="H201" s="2" t="s">
        <v>72</v>
      </c>
      <c r="I201" s="2" t="s">
        <v>73</v>
      </c>
      <c r="J201" s="2" t="s">
        <v>10</v>
      </c>
      <c r="K201" s="2" t="s">
        <v>708</v>
      </c>
      <c r="L201" s="2" t="s">
        <v>75</v>
      </c>
      <c r="M201" s="2" t="s">
        <v>709</v>
      </c>
      <c r="N201" s="2"/>
      <c r="O201" s="2" t="s">
        <v>77</v>
      </c>
      <c r="P201" s="2"/>
      <c r="Q201" s="3"/>
      <c r="R201" s="2"/>
    </row>
    <row r="202" spans="1:18">
      <c r="A202" s="2" t="s">
        <v>747</v>
      </c>
      <c r="B202" s="2" t="s">
        <v>47</v>
      </c>
      <c r="C202" s="2" t="s">
        <v>748</v>
      </c>
      <c r="D202" s="2" t="s">
        <v>749</v>
      </c>
      <c r="E202" s="2" t="s">
        <v>750</v>
      </c>
      <c r="F202" s="2" t="s">
        <v>70</v>
      </c>
      <c r="G202" s="2" t="s">
        <v>707</v>
      </c>
      <c r="H202" s="2" t="s">
        <v>72</v>
      </c>
      <c r="I202" s="2" t="s">
        <v>73</v>
      </c>
      <c r="J202" s="2" t="s">
        <v>10</v>
      </c>
      <c r="K202" s="2" t="s">
        <v>708</v>
      </c>
      <c r="L202" s="2" t="s">
        <v>75</v>
      </c>
      <c r="M202" s="2" t="s">
        <v>709</v>
      </c>
      <c r="N202" s="2"/>
      <c r="O202" s="2" t="s">
        <v>77</v>
      </c>
      <c r="P202" s="2"/>
      <c r="Q202" s="3"/>
      <c r="R202" s="2"/>
    </row>
    <row r="203" spans="1:18" ht="25.5">
      <c r="A203" s="2" t="s">
        <v>751</v>
      </c>
      <c r="B203" s="2" t="s">
        <v>47</v>
      </c>
      <c r="C203" s="2" t="s">
        <v>752</v>
      </c>
      <c r="D203" s="2" t="s">
        <v>753</v>
      </c>
      <c r="E203" s="2" t="s">
        <v>754</v>
      </c>
      <c r="F203" s="2" t="s">
        <v>70</v>
      </c>
      <c r="G203" s="2" t="s">
        <v>707</v>
      </c>
      <c r="H203" s="2" t="s">
        <v>72</v>
      </c>
      <c r="I203" s="2" t="s">
        <v>73</v>
      </c>
      <c r="J203" s="2" t="s">
        <v>10</v>
      </c>
      <c r="K203" s="2" t="s">
        <v>708</v>
      </c>
      <c r="L203" s="2" t="s">
        <v>75</v>
      </c>
      <c r="M203" s="2" t="s">
        <v>709</v>
      </c>
      <c r="N203" s="2"/>
      <c r="O203" s="2" t="s">
        <v>77</v>
      </c>
      <c r="P203" s="2"/>
      <c r="Q203" s="3"/>
      <c r="R203" s="2"/>
    </row>
    <row r="204" spans="1:18">
      <c r="A204" s="2" t="s">
        <v>755</v>
      </c>
      <c r="B204" s="2" t="s">
        <v>47</v>
      </c>
      <c r="C204" s="2" t="s">
        <v>752</v>
      </c>
      <c r="D204" s="2" t="s">
        <v>756</v>
      </c>
      <c r="E204" s="2" t="s">
        <v>757</v>
      </c>
      <c r="F204" s="2" t="s">
        <v>70</v>
      </c>
      <c r="G204" s="2" t="s">
        <v>707</v>
      </c>
      <c r="H204" s="2" t="s">
        <v>72</v>
      </c>
      <c r="I204" s="2" t="s">
        <v>73</v>
      </c>
      <c r="J204" s="2" t="s">
        <v>10</v>
      </c>
      <c r="K204" s="2" t="s">
        <v>708</v>
      </c>
      <c r="L204" s="2" t="s">
        <v>75</v>
      </c>
      <c r="M204" s="2" t="s">
        <v>709</v>
      </c>
      <c r="N204" s="2"/>
      <c r="O204" s="2" t="s">
        <v>77</v>
      </c>
      <c r="P204" s="2"/>
      <c r="Q204" s="3"/>
      <c r="R204" s="2"/>
    </row>
    <row r="205" spans="1:18">
      <c r="A205" s="2" t="s">
        <v>758</v>
      </c>
      <c r="B205" s="2" t="s">
        <v>47</v>
      </c>
      <c r="C205" s="2" t="s">
        <v>759</v>
      </c>
      <c r="D205" s="2" t="s">
        <v>760</v>
      </c>
      <c r="E205" s="2" t="s">
        <v>761</v>
      </c>
      <c r="F205" s="2" t="s">
        <v>70</v>
      </c>
      <c r="G205" s="2" t="s">
        <v>707</v>
      </c>
      <c r="H205" s="2" t="s">
        <v>72</v>
      </c>
      <c r="I205" s="2" t="s">
        <v>73</v>
      </c>
      <c r="J205" s="2" t="s">
        <v>10</v>
      </c>
      <c r="K205" s="2" t="s">
        <v>708</v>
      </c>
      <c r="L205" s="2" t="s">
        <v>75</v>
      </c>
      <c r="M205" s="2" t="s">
        <v>709</v>
      </c>
      <c r="N205" s="2"/>
      <c r="O205" s="2" t="s">
        <v>77</v>
      </c>
      <c r="P205" s="2"/>
      <c r="Q205" s="3"/>
      <c r="R205" s="2"/>
    </row>
    <row r="206" spans="1:18">
      <c r="A206" s="2" t="s">
        <v>762</v>
      </c>
      <c r="B206" s="2" t="s">
        <v>47</v>
      </c>
      <c r="C206" s="2" t="s">
        <v>759</v>
      </c>
      <c r="D206" s="2" t="s">
        <v>763</v>
      </c>
      <c r="E206" s="2" t="s">
        <v>764</v>
      </c>
      <c r="F206" s="2" t="s">
        <v>70</v>
      </c>
      <c r="G206" s="2" t="s">
        <v>707</v>
      </c>
      <c r="H206" s="2" t="s">
        <v>72</v>
      </c>
      <c r="I206" s="2" t="s">
        <v>73</v>
      </c>
      <c r="J206" s="2" t="s">
        <v>10</v>
      </c>
      <c r="K206" s="2" t="s">
        <v>708</v>
      </c>
      <c r="L206" s="2" t="s">
        <v>75</v>
      </c>
      <c r="M206" s="2" t="s">
        <v>709</v>
      </c>
      <c r="N206" s="2"/>
      <c r="O206" s="2" t="s">
        <v>77</v>
      </c>
      <c r="P206" s="2"/>
      <c r="Q206" s="3"/>
      <c r="R206" s="2"/>
    </row>
    <row r="207" spans="1:18" ht="25.5">
      <c r="A207" s="2" t="s">
        <v>765</v>
      </c>
      <c r="B207" s="2" t="s">
        <v>48</v>
      </c>
      <c r="C207" s="2" t="s">
        <v>766</v>
      </c>
      <c r="D207" s="2" t="s">
        <v>767</v>
      </c>
      <c r="E207" s="2" t="s">
        <v>768</v>
      </c>
      <c r="F207" s="2" t="s">
        <v>70</v>
      </c>
      <c r="G207" s="2" t="s">
        <v>769</v>
      </c>
      <c r="H207" s="2" t="s">
        <v>72</v>
      </c>
      <c r="I207" s="2" t="s">
        <v>73</v>
      </c>
      <c r="J207" s="2" t="s">
        <v>10</v>
      </c>
      <c r="K207" s="2" t="s">
        <v>769</v>
      </c>
      <c r="L207" s="2" t="s">
        <v>770</v>
      </c>
      <c r="M207" s="2" t="s">
        <v>771</v>
      </c>
      <c r="N207" s="2"/>
      <c r="O207" s="2" t="s">
        <v>77</v>
      </c>
      <c r="P207" s="2"/>
      <c r="Q207" s="3"/>
      <c r="R207" s="2"/>
    </row>
    <row r="208" spans="1:18">
      <c r="A208" s="2" t="s">
        <v>772</v>
      </c>
      <c r="B208" s="2" t="s">
        <v>48</v>
      </c>
      <c r="C208" s="2" t="s">
        <v>766</v>
      </c>
      <c r="D208" s="2" t="s">
        <v>773</v>
      </c>
      <c r="E208" s="2" t="s">
        <v>774</v>
      </c>
      <c r="F208" s="2" t="s">
        <v>70</v>
      </c>
      <c r="G208" s="2" t="s">
        <v>769</v>
      </c>
      <c r="H208" s="2" t="s">
        <v>72</v>
      </c>
      <c r="I208" s="2" t="s">
        <v>73</v>
      </c>
      <c r="J208" s="2" t="s">
        <v>10</v>
      </c>
      <c r="K208" s="2" t="s">
        <v>769</v>
      </c>
      <c r="L208" s="2" t="s">
        <v>770</v>
      </c>
      <c r="M208" s="2" t="s">
        <v>771</v>
      </c>
      <c r="N208" s="2"/>
      <c r="O208" s="2" t="s">
        <v>77</v>
      </c>
      <c r="P208" s="2"/>
      <c r="Q208" s="3"/>
      <c r="R208" s="2"/>
    </row>
    <row r="209" spans="1:18">
      <c r="A209" s="2" t="s">
        <v>775</v>
      </c>
      <c r="B209" s="2" t="s">
        <v>48</v>
      </c>
      <c r="C209" s="2" t="s">
        <v>766</v>
      </c>
      <c r="D209" s="2" t="s">
        <v>776</v>
      </c>
      <c r="E209" s="2" t="s">
        <v>777</v>
      </c>
      <c r="F209" s="2" t="s">
        <v>70</v>
      </c>
      <c r="G209" s="2" t="s">
        <v>769</v>
      </c>
      <c r="H209" s="2" t="s">
        <v>72</v>
      </c>
      <c r="I209" s="2" t="s">
        <v>73</v>
      </c>
      <c r="J209" s="2" t="s">
        <v>10</v>
      </c>
      <c r="K209" s="2" t="s">
        <v>769</v>
      </c>
      <c r="L209" s="2" t="s">
        <v>770</v>
      </c>
      <c r="M209" s="2" t="s">
        <v>771</v>
      </c>
      <c r="N209" s="2"/>
      <c r="O209" s="2" t="s">
        <v>77</v>
      </c>
      <c r="P209" s="2"/>
      <c r="Q209" s="3"/>
      <c r="R209" s="2"/>
    </row>
    <row r="210" spans="1:18" ht="25.5">
      <c r="A210" s="2" t="s">
        <v>778</v>
      </c>
      <c r="B210" s="2" t="s">
        <v>48</v>
      </c>
      <c r="C210" s="2" t="s">
        <v>769</v>
      </c>
      <c r="D210" s="2" t="s">
        <v>779</v>
      </c>
      <c r="E210" s="2" t="s">
        <v>780</v>
      </c>
      <c r="F210" s="2" t="s">
        <v>70</v>
      </c>
      <c r="G210" s="2" t="s">
        <v>769</v>
      </c>
      <c r="H210" s="2" t="s">
        <v>72</v>
      </c>
      <c r="I210" s="2" t="s">
        <v>73</v>
      </c>
      <c r="J210" s="2" t="s">
        <v>10</v>
      </c>
      <c r="K210" s="2" t="s">
        <v>769</v>
      </c>
      <c r="L210" s="2" t="s">
        <v>770</v>
      </c>
      <c r="M210" s="2" t="s">
        <v>771</v>
      </c>
      <c r="N210" s="2"/>
      <c r="O210" s="2" t="s">
        <v>77</v>
      </c>
      <c r="P210" s="2"/>
      <c r="Q210" s="3"/>
      <c r="R210" s="2"/>
    </row>
    <row r="211" spans="1:18">
      <c r="A211" s="2" t="s">
        <v>781</v>
      </c>
      <c r="B211" s="2" t="s">
        <v>48</v>
      </c>
      <c r="C211" s="2" t="s">
        <v>769</v>
      </c>
      <c r="D211" s="2" t="s">
        <v>782</v>
      </c>
      <c r="E211" s="2" t="s">
        <v>783</v>
      </c>
      <c r="F211" s="2" t="s">
        <v>70</v>
      </c>
      <c r="G211" s="2" t="s">
        <v>769</v>
      </c>
      <c r="H211" s="2" t="s">
        <v>72</v>
      </c>
      <c r="I211" s="2" t="s">
        <v>73</v>
      </c>
      <c r="J211" s="2" t="s">
        <v>10</v>
      </c>
      <c r="K211" s="2" t="s">
        <v>769</v>
      </c>
      <c r="L211" s="2" t="s">
        <v>770</v>
      </c>
      <c r="M211" s="2" t="s">
        <v>771</v>
      </c>
      <c r="N211" s="2"/>
      <c r="O211" s="2" t="s">
        <v>77</v>
      </c>
      <c r="P211" s="2"/>
      <c r="Q211" s="3"/>
      <c r="R211" s="2"/>
    </row>
    <row r="212" spans="1:18">
      <c r="A212" s="2" t="s">
        <v>784</v>
      </c>
      <c r="B212" s="2" t="s">
        <v>48</v>
      </c>
      <c r="C212" s="2" t="s">
        <v>769</v>
      </c>
      <c r="D212" s="2" t="s">
        <v>785</v>
      </c>
      <c r="E212" s="2" t="s">
        <v>786</v>
      </c>
      <c r="F212" s="2" t="s">
        <v>70</v>
      </c>
      <c r="G212" s="2" t="s">
        <v>769</v>
      </c>
      <c r="H212" s="2" t="s">
        <v>72</v>
      </c>
      <c r="I212" s="2" t="s">
        <v>73</v>
      </c>
      <c r="J212" s="2" t="s">
        <v>10</v>
      </c>
      <c r="K212" s="2" t="s">
        <v>769</v>
      </c>
      <c r="L212" s="2" t="s">
        <v>770</v>
      </c>
      <c r="M212" s="2" t="s">
        <v>771</v>
      </c>
      <c r="N212" s="2"/>
      <c r="O212" s="2" t="s">
        <v>77</v>
      </c>
      <c r="P212" s="2"/>
      <c r="Q212" s="3"/>
      <c r="R212" s="2"/>
    </row>
    <row r="213" spans="1:18">
      <c r="A213" s="2" t="s">
        <v>787</v>
      </c>
      <c r="B213" s="2" t="s">
        <v>48</v>
      </c>
      <c r="C213" s="2" t="s">
        <v>769</v>
      </c>
      <c r="D213" s="2" t="s">
        <v>788</v>
      </c>
      <c r="E213" s="2" t="s">
        <v>789</v>
      </c>
      <c r="F213" s="2" t="s">
        <v>70</v>
      </c>
      <c r="G213" s="2" t="s">
        <v>769</v>
      </c>
      <c r="H213" s="2" t="s">
        <v>72</v>
      </c>
      <c r="I213" s="2" t="s">
        <v>73</v>
      </c>
      <c r="J213" s="2" t="s">
        <v>10</v>
      </c>
      <c r="K213" s="2" t="s">
        <v>769</v>
      </c>
      <c r="L213" s="2" t="s">
        <v>770</v>
      </c>
      <c r="M213" s="2" t="s">
        <v>771</v>
      </c>
      <c r="N213" s="2"/>
      <c r="O213" s="2" t="s">
        <v>77</v>
      </c>
      <c r="P213" s="2"/>
      <c r="Q213" s="3"/>
      <c r="R213" s="2"/>
    </row>
    <row r="214" spans="1:18">
      <c r="A214" s="2" t="s">
        <v>790</v>
      </c>
      <c r="B214" s="2" t="s">
        <v>48</v>
      </c>
      <c r="C214" s="2" t="s">
        <v>791</v>
      </c>
      <c r="D214" s="2" t="s">
        <v>792</v>
      </c>
      <c r="E214" s="2" t="s">
        <v>793</v>
      </c>
      <c r="F214" s="2" t="s">
        <v>70</v>
      </c>
      <c r="G214" s="2" t="s">
        <v>769</v>
      </c>
      <c r="H214" s="2" t="s">
        <v>72</v>
      </c>
      <c r="I214" s="2" t="s">
        <v>73</v>
      </c>
      <c r="J214" s="2" t="s">
        <v>10</v>
      </c>
      <c r="K214" s="2" t="s">
        <v>769</v>
      </c>
      <c r="L214" s="2" t="s">
        <v>770</v>
      </c>
      <c r="M214" s="2" t="s">
        <v>771</v>
      </c>
      <c r="N214" s="2"/>
      <c r="O214" s="2" t="s">
        <v>77</v>
      </c>
      <c r="P214" s="2"/>
      <c r="Q214" s="3"/>
      <c r="R214" s="2"/>
    </row>
    <row r="215" spans="1:18">
      <c r="A215" s="2" t="s">
        <v>794</v>
      </c>
      <c r="B215" s="2" t="s">
        <v>48</v>
      </c>
      <c r="C215" s="2" t="s">
        <v>791</v>
      </c>
      <c r="D215" s="2" t="s">
        <v>795</v>
      </c>
      <c r="E215" s="2" t="s">
        <v>796</v>
      </c>
      <c r="F215" s="2" t="s">
        <v>70</v>
      </c>
      <c r="G215" s="2" t="s">
        <v>769</v>
      </c>
      <c r="H215" s="2" t="s">
        <v>72</v>
      </c>
      <c r="I215" s="2" t="s">
        <v>73</v>
      </c>
      <c r="J215" s="2" t="s">
        <v>10</v>
      </c>
      <c r="K215" s="2" t="s">
        <v>769</v>
      </c>
      <c r="L215" s="2" t="s">
        <v>770</v>
      </c>
      <c r="M215" s="2" t="s">
        <v>771</v>
      </c>
      <c r="N215" s="2"/>
      <c r="O215" s="2" t="s">
        <v>77</v>
      </c>
      <c r="P215" s="2"/>
      <c r="Q215" s="3"/>
      <c r="R215" s="2"/>
    </row>
    <row r="216" spans="1:18">
      <c r="A216" s="2" t="s">
        <v>797</v>
      </c>
      <c r="B216" s="2" t="s">
        <v>48</v>
      </c>
      <c r="C216" s="2" t="s">
        <v>791</v>
      </c>
      <c r="D216" s="2" t="s">
        <v>798</v>
      </c>
      <c r="E216" s="2" t="s">
        <v>799</v>
      </c>
      <c r="F216" s="2" t="s">
        <v>70</v>
      </c>
      <c r="G216" s="2" t="s">
        <v>769</v>
      </c>
      <c r="H216" s="2" t="s">
        <v>72</v>
      </c>
      <c r="I216" s="2" t="s">
        <v>73</v>
      </c>
      <c r="J216" s="2" t="s">
        <v>10</v>
      </c>
      <c r="K216" s="2" t="s">
        <v>769</v>
      </c>
      <c r="L216" s="2" t="s">
        <v>770</v>
      </c>
      <c r="M216" s="2" t="s">
        <v>771</v>
      </c>
      <c r="N216" s="2"/>
      <c r="O216" s="2" t="s">
        <v>77</v>
      </c>
      <c r="P216" s="2"/>
      <c r="Q216" s="3"/>
      <c r="R216" s="2"/>
    </row>
    <row r="217" spans="1:18">
      <c r="A217" s="2" t="s">
        <v>800</v>
      </c>
      <c r="B217" s="2" t="s">
        <v>48</v>
      </c>
      <c r="C217" s="2" t="s">
        <v>791</v>
      </c>
      <c r="D217" s="2" t="s">
        <v>801</v>
      </c>
      <c r="E217" s="2" t="s">
        <v>802</v>
      </c>
      <c r="F217" s="2" t="s">
        <v>70</v>
      </c>
      <c r="G217" s="2" t="s">
        <v>769</v>
      </c>
      <c r="H217" s="2" t="s">
        <v>72</v>
      </c>
      <c r="I217" s="2" t="s">
        <v>73</v>
      </c>
      <c r="J217" s="2" t="s">
        <v>10</v>
      </c>
      <c r="K217" s="2" t="s">
        <v>769</v>
      </c>
      <c r="L217" s="2" t="s">
        <v>770</v>
      </c>
      <c r="M217" s="2" t="s">
        <v>771</v>
      </c>
      <c r="N217" s="2"/>
      <c r="O217" s="2" t="s">
        <v>77</v>
      </c>
      <c r="P217" s="2"/>
      <c r="Q217" s="3"/>
      <c r="R217" s="2"/>
    </row>
    <row r="218" spans="1:18">
      <c r="A218" s="2" t="s">
        <v>803</v>
      </c>
      <c r="B218" s="2" t="s">
        <v>48</v>
      </c>
      <c r="C218" s="2" t="s">
        <v>804</v>
      </c>
      <c r="D218" s="2" t="s">
        <v>805</v>
      </c>
      <c r="E218" s="2" t="s">
        <v>806</v>
      </c>
      <c r="F218" s="2" t="s">
        <v>70</v>
      </c>
      <c r="G218" s="2" t="s">
        <v>769</v>
      </c>
      <c r="H218" s="2" t="s">
        <v>72</v>
      </c>
      <c r="I218" s="2" t="s">
        <v>73</v>
      </c>
      <c r="J218" s="2" t="s">
        <v>10</v>
      </c>
      <c r="K218" s="2" t="s">
        <v>769</v>
      </c>
      <c r="L218" s="2" t="s">
        <v>770</v>
      </c>
      <c r="M218" s="2" t="s">
        <v>771</v>
      </c>
      <c r="N218" s="2"/>
      <c r="O218" s="2" t="s">
        <v>77</v>
      </c>
      <c r="P218" s="2"/>
      <c r="Q218" s="3"/>
      <c r="R218" s="2"/>
    </row>
    <row r="219" spans="1:18">
      <c r="A219" s="2" t="s">
        <v>807</v>
      </c>
      <c r="B219" s="2" t="s">
        <v>48</v>
      </c>
      <c r="C219" s="2" t="s">
        <v>804</v>
      </c>
      <c r="D219" s="2" t="s">
        <v>808</v>
      </c>
      <c r="E219" s="2" t="s">
        <v>809</v>
      </c>
      <c r="F219" s="2" t="s">
        <v>70</v>
      </c>
      <c r="G219" s="2" t="s">
        <v>769</v>
      </c>
      <c r="H219" s="2" t="s">
        <v>72</v>
      </c>
      <c r="I219" s="2" t="s">
        <v>73</v>
      </c>
      <c r="J219" s="2" t="s">
        <v>10</v>
      </c>
      <c r="K219" s="2" t="s">
        <v>769</v>
      </c>
      <c r="L219" s="2" t="s">
        <v>770</v>
      </c>
      <c r="M219" s="2" t="s">
        <v>771</v>
      </c>
      <c r="N219" s="2"/>
      <c r="O219" s="2" t="s">
        <v>77</v>
      </c>
      <c r="P219" s="2"/>
      <c r="Q219" s="3"/>
      <c r="R219" s="2"/>
    </row>
    <row r="220" spans="1:18">
      <c r="A220" s="2" t="s">
        <v>810</v>
      </c>
      <c r="B220" s="2" t="s">
        <v>48</v>
      </c>
      <c r="C220" s="2" t="s">
        <v>804</v>
      </c>
      <c r="D220" s="2" t="s">
        <v>811</v>
      </c>
      <c r="E220" s="2" t="s">
        <v>812</v>
      </c>
      <c r="F220" s="2" t="s">
        <v>70</v>
      </c>
      <c r="G220" s="2" t="s">
        <v>769</v>
      </c>
      <c r="H220" s="2" t="s">
        <v>72</v>
      </c>
      <c r="I220" s="2" t="s">
        <v>73</v>
      </c>
      <c r="J220" s="2" t="s">
        <v>10</v>
      </c>
      <c r="K220" s="2" t="s">
        <v>769</v>
      </c>
      <c r="L220" s="2" t="s">
        <v>770</v>
      </c>
      <c r="M220" s="2" t="s">
        <v>771</v>
      </c>
      <c r="N220" s="2"/>
      <c r="O220" s="2" t="s">
        <v>77</v>
      </c>
      <c r="P220" s="2"/>
      <c r="Q220" s="3"/>
      <c r="R220" s="2"/>
    </row>
    <row r="221" spans="1:18">
      <c r="A221" s="2" t="s">
        <v>813</v>
      </c>
      <c r="B221" s="2" t="s">
        <v>48</v>
      </c>
      <c r="C221" s="2" t="s">
        <v>814</v>
      </c>
      <c r="D221" s="2" t="s">
        <v>815</v>
      </c>
      <c r="E221" s="2" t="s">
        <v>816</v>
      </c>
      <c r="F221" s="2" t="s">
        <v>70</v>
      </c>
      <c r="G221" s="2" t="s">
        <v>769</v>
      </c>
      <c r="H221" s="2" t="s">
        <v>72</v>
      </c>
      <c r="I221" s="2" t="s">
        <v>73</v>
      </c>
      <c r="J221" s="2" t="s">
        <v>10</v>
      </c>
      <c r="K221" s="2" t="s">
        <v>769</v>
      </c>
      <c r="L221" s="2" t="s">
        <v>770</v>
      </c>
      <c r="M221" s="2" t="s">
        <v>771</v>
      </c>
      <c r="N221" s="2"/>
      <c r="O221" s="2" t="s">
        <v>77</v>
      </c>
      <c r="P221" s="2"/>
      <c r="Q221" s="3"/>
      <c r="R221" s="2"/>
    </row>
    <row r="222" spans="1:18">
      <c r="A222" s="2" t="s">
        <v>817</v>
      </c>
      <c r="B222" s="2" t="s">
        <v>48</v>
      </c>
      <c r="C222" s="2" t="s">
        <v>814</v>
      </c>
      <c r="D222" s="2" t="s">
        <v>818</v>
      </c>
      <c r="E222" s="2" t="s">
        <v>819</v>
      </c>
      <c r="F222" s="2" t="s">
        <v>70</v>
      </c>
      <c r="G222" s="2" t="s">
        <v>769</v>
      </c>
      <c r="H222" s="2" t="s">
        <v>72</v>
      </c>
      <c r="I222" s="2" t="s">
        <v>73</v>
      </c>
      <c r="J222" s="2" t="s">
        <v>10</v>
      </c>
      <c r="K222" s="2" t="s">
        <v>769</v>
      </c>
      <c r="L222" s="2" t="s">
        <v>770</v>
      </c>
      <c r="M222" s="2" t="s">
        <v>771</v>
      </c>
      <c r="N222" s="2"/>
      <c r="O222" s="2" t="s">
        <v>77</v>
      </c>
      <c r="P222" s="2"/>
      <c r="Q222" s="3"/>
      <c r="R222" s="2"/>
    </row>
    <row r="223" spans="1:18">
      <c r="A223" s="2" t="s">
        <v>820</v>
      </c>
      <c r="B223" s="2" t="s">
        <v>48</v>
      </c>
      <c r="C223" s="2" t="s">
        <v>814</v>
      </c>
      <c r="D223" s="2" t="s">
        <v>821</v>
      </c>
      <c r="E223" s="2" t="s">
        <v>822</v>
      </c>
      <c r="F223" s="2" t="s">
        <v>70</v>
      </c>
      <c r="G223" s="2" t="s">
        <v>769</v>
      </c>
      <c r="H223" s="2" t="s">
        <v>72</v>
      </c>
      <c r="I223" s="2" t="s">
        <v>73</v>
      </c>
      <c r="J223" s="2" t="s">
        <v>10</v>
      </c>
      <c r="K223" s="2" t="s">
        <v>769</v>
      </c>
      <c r="L223" s="2" t="s">
        <v>770</v>
      </c>
      <c r="M223" s="2" t="s">
        <v>771</v>
      </c>
      <c r="N223" s="2"/>
      <c r="O223" s="2" t="s">
        <v>77</v>
      </c>
      <c r="P223" s="2"/>
      <c r="Q223" s="3"/>
      <c r="R223" s="2"/>
    </row>
    <row r="224" spans="1:18">
      <c r="A224" s="2" t="s">
        <v>823</v>
      </c>
      <c r="B224" s="2" t="s">
        <v>48</v>
      </c>
      <c r="C224" s="2" t="s">
        <v>824</v>
      </c>
      <c r="D224" s="2" t="s">
        <v>825</v>
      </c>
      <c r="E224" s="2" t="s">
        <v>826</v>
      </c>
      <c r="F224" s="2" t="s">
        <v>70</v>
      </c>
      <c r="G224" s="2" t="s">
        <v>769</v>
      </c>
      <c r="H224" s="2" t="s">
        <v>72</v>
      </c>
      <c r="I224" s="2" t="s">
        <v>73</v>
      </c>
      <c r="J224" s="2" t="s">
        <v>10</v>
      </c>
      <c r="K224" s="2" t="s">
        <v>769</v>
      </c>
      <c r="L224" s="2" t="s">
        <v>770</v>
      </c>
      <c r="M224" s="2" t="s">
        <v>771</v>
      </c>
      <c r="N224" s="2"/>
      <c r="O224" s="2" t="s">
        <v>77</v>
      </c>
      <c r="P224" s="2"/>
      <c r="Q224" s="3"/>
      <c r="R224" s="2"/>
    </row>
    <row r="225" spans="1:18">
      <c r="A225" s="2" t="s">
        <v>827</v>
      </c>
      <c r="B225" s="2" t="s">
        <v>48</v>
      </c>
      <c r="C225" s="2" t="s">
        <v>824</v>
      </c>
      <c r="D225" s="2" t="s">
        <v>828</v>
      </c>
      <c r="E225" s="2" t="s">
        <v>829</v>
      </c>
      <c r="F225" s="2" t="s">
        <v>70</v>
      </c>
      <c r="G225" s="2" t="s">
        <v>769</v>
      </c>
      <c r="H225" s="2" t="s">
        <v>72</v>
      </c>
      <c r="I225" s="2" t="s">
        <v>73</v>
      </c>
      <c r="J225" s="2" t="s">
        <v>10</v>
      </c>
      <c r="K225" s="2" t="s">
        <v>769</v>
      </c>
      <c r="L225" s="2" t="s">
        <v>770</v>
      </c>
      <c r="M225" s="2" t="s">
        <v>771</v>
      </c>
      <c r="N225" s="2"/>
      <c r="O225" s="2" t="s">
        <v>77</v>
      </c>
      <c r="P225" s="2"/>
      <c r="Q225" s="3"/>
      <c r="R225" s="2"/>
    </row>
    <row r="226" spans="1:18" ht="25.5">
      <c r="A226" s="2" t="s">
        <v>830</v>
      </c>
      <c r="B226" s="2" t="s">
        <v>48</v>
      </c>
      <c r="C226" s="2" t="s">
        <v>831</v>
      </c>
      <c r="D226" s="2" t="s">
        <v>832</v>
      </c>
      <c r="E226" s="2" t="s">
        <v>833</v>
      </c>
      <c r="F226" s="2" t="s">
        <v>70</v>
      </c>
      <c r="G226" s="2" t="s">
        <v>769</v>
      </c>
      <c r="H226" s="2" t="s">
        <v>72</v>
      </c>
      <c r="I226" s="2" t="s">
        <v>73</v>
      </c>
      <c r="J226" s="2" t="s">
        <v>10</v>
      </c>
      <c r="K226" s="2" t="s">
        <v>769</v>
      </c>
      <c r="L226" s="2" t="s">
        <v>770</v>
      </c>
      <c r="M226" s="2" t="s">
        <v>771</v>
      </c>
      <c r="N226" s="2"/>
      <c r="O226" s="2" t="s">
        <v>77</v>
      </c>
      <c r="P226" s="2"/>
      <c r="Q226" s="3"/>
      <c r="R226" s="2"/>
    </row>
    <row r="227" spans="1:18">
      <c r="A227" s="2" t="s">
        <v>834</v>
      </c>
      <c r="B227" s="2" t="s">
        <v>49</v>
      </c>
      <c r="C227" s="2" t="s">
        <v>835</v>
      </c>
      <c r="D227" s="2" t="s">
        <v>836</v>
      </c>
      <c r="E227" s="2" t="s">
        <v>837</v>
      </c>
      <c r="F227" s="2" t="s">
        <v>70</v>
      </c>
      <c r="G227" s="2" t="s">
        <v>838</v>
      </c>
      <c r="H227" s="2" t="s">
        <v>839</v>
      </c>
      <c r="I227" s="2" t="s">
        <v>405</v>
      </c>
      <c r="J227" s="2" t="s">
        <v>10</v>
      </c>
      <c r="K227" s="2" t="s">
        <v>824</v>
      </c>
      <c r="L227" s="2" t="s">
        <v>75</v>
      </c>
      <c r="M227" s="2" t="s">
        <v>406</v>
      </c>
      <c r="N227" s="2"/>
      <c r="O227" s="2" t="s">
        <v>77</v>
      </c>
      <c r="P227" s="2"/>
      <c r="Q227" s="3"/>
      <c r="R227" s="2"/>
    </row>
    <row r="228" spans="1:18">
      <c r="A228" s="2" t="s">
        <v>840</v>
      </c>
      <c r="B228" s="2" t="s">
        <v>49</v>
      </c>
      <c r="C228" s="2" t="s">
        <v>835</v>
      </c>
      <c r="D228" s="2" t="s">
        <v>841</v>
      </c>
      <c r="E228" s="2" t="s">
        <v>842</v>
      </c>
      <c r="F228" s="2" t="s">
        <v>70</v>
      </c>
      <c r="G228" s="2" t="s">
        <v>838</v>
      </c>
      <c r="H228" s="2" t="s">
        <v>839</v>
      </c>
      <c r="I228" s="2" t="s">
        <v>405</v>
      </c>
      <c r="J228" s="2" t="s">
        <v>10</v>
      </c>
      <c r="K228" s="2" t="s">
        <v>824</v>
      </c>
      <c r="L228" s="2" t="s">
        <v>75</v>
      </c>
      <c r="M228" s="2" t="s">
        <v>406</v>
      </c>
      <c r="N228" s="2"/>
      <c r="O228" s="2" t="s">
        <v>77</v>
      </c>
      <c r="P228" s="2"/>
      <c r="Q228" s="3"/>
      <c r="R228" s="2"/>
    </row>
    <row r="229" spans="1:18">
      <c r="A229" s="2" t="s">
        <v>843</v>
      </c>
      <c r="B229" s="2" t="s">
        <v>49</v>
      </c>
      <c r="C229" s="2" t="s">
        <v>844</v>
      </c>
      <c r="D229" s="2" t="s">
        <v>845</v>
      </c>
      <c r="E229" s="2" t="s">
        <v>846</v>
      </c>
      <c r="F229" s="2" t="s">
        <v>70</v>
      </c>
      <c r="G229" s="2" t="s">
        <v>838</v>
      </c>
      <c r="H229" s="2" t="s">
        <v>839</v>
      </c>
      <c r="I229" s="2" t="s">
        <v>405</v>
      </c>
      <c r="J229" s="2" t="s">
        <v>10</v>
      </c>
      <c r="K229" s="2" t="s">
        <v>824</v>
      </c>
      <c r="L229" s="2" t="s">
        <v>75</v>
      </c>
      <c r="M229" s="2" t="s">
        <v>406</v>
      </c>
      <c r="N229" s="2"/>
      <c r="O229" s="2" t="s">
        <v>77</v>
      </c>
      <c r="P229" s="2"/>
      <c r="Q229" s="3"/>
      <c r="R229" s="2"/>
    </row>
    <row r="230" spans="1:18">
      <c r="A230" s="2" t="s">
        <v>847</v>
      </c>
      <c r="B230" s="2" t="s">
        <v>49</v>
      </c>
      <c r="C230" s="2" t="s">
        <v>844</v>
      </c>
      <c r="D230" s="2" t="s">
        <v>848</v>
      </c>
      <c r="E230" s="2" t="s">
        <v>849</v>
      </c>
      <c r="F230" s="2" t="s">
        <v>70</v>
      </c>
      <c r="G230" s="2" t="s">
        <v>838</v>
      </c>
      <c r="H230" s="2" t="s">
        <v>839</v>
      </c>
      <c r="I230" s="2" t="s">
        <v>405</v>
      </c>
      <c r="J230" s="2" t="s">
        <v>10</v>
      </c>
      <c r="K230" s="2" t="s">
        <v>824</v>
      </c>
      <c r="L230" s="2" t="s">
        <v>75</v>
      </c>
      <c r="M230" s="2" t="s">
        <v>406</v>
      </c>
      <c r="N230" s="2"/>
      <c r="O230" s="2" t="s">
        <v>77</v>
      </c>
      <c r="P230" s="2"/>
      <c r="Q230" s="3"/>
      <c r="R230" s="2"/>
    </row>
    <row r="231" spans="1:18">
      <c r="A231" s="2" t="s">
        <v>850</v>
      </c>
      <c r="B231" s="2" t="s">
        <v>49</v>
      </c>
      <c r="C231" s="2" t="s">
        <v>851</v>
      </c>
      <c r="D231" s="2" t="s">
        <v>852</v>
      </c>
      <c r="E231" s="2" t="s">
        <v>853</v>
      </c>
      <c r="F231" s="2" t="s">
        <v>70</v>
      </c>
      <c r="G231" s="2" t="s">
        <v>838</v>
      </c>
      <c r="H231" s="2" t="s">
        <v>839</v>
      </c>
      <c r="I231" s="2" t="s">
        <v>405</v>
      </c>
      <c r="J231" s="2" t="s">
        <v>10</v>
      </c>
      <c r="K231" s="2" t="s">
        <v>824</v>
      </c>
      <c r="L231" s="2" t="s">
        <v>75</v>
      </c>
      <c r="M231" s="2" t="s">
        <v>406</v>
      </c>
      <c r="N231" s="2"/>
      <c r="O231" s="2" t="s">
        <v>77</v>
      </c>
      <c r="P231" s="2"/>
      <c r="Q231" s="3"/>
      <c r="R231" s="2"/>
    </row>
    <row r="232" spans="1:18">
      <c r="A232" s="2" t="s">
        <v>854</v>
      </c>
      <c r="B232" s="2" t="s">
        <v>49</v>
      </c>
      <c r="C232" s="2" t="s">
        <v>851</v>
      </c>
      <c r="D232" s="2" t="s">
        <v>855</v>
      </c>
      <c r="E232" s="2" t="s">
        <v>856</v>
      </c>
      <c r="F232" s="2" t="s">
        <v>70</v>
      </c>
      <c r="G232" s="2" t="s">
        <v>838</v>
      </c>
      <c r="H232" s="2" t="s">
        <v>839</v>
      </c>
      <c r="I232" s="2" t="s">
        <v>405</v>
      </c>
      <c r="J232" s="2" t="s">
        <v>10</v>
      </c>
      <c r="K232" s="2" t="s">
        <v>824</v>
      </c>
      <c r="L232" s="2" t="s">
        <v>75</v>
      </c>
      <c r="M232" s="2" t="s">
        <v>406</v>
      </c>
      <c r="N232" s="2"/>
      <c r="O232" s="2" t="s">
        <v>77</v>
      </c>
      <c r="P232" s="2"/>
      <c r="Q232" s="3"/>
      <c r="R232" s="2"/>
    </row>
    <row r="233" spans="1:18">
      <c r="A233" s="2" t="s">
        <v>857</v>
      </c>
      <c r="B233" s="2" t="s">
        <v>49</v>
      </c>
      <c r="C233" s="2" t="s">
        <v>858</v>
      </c>
      <c r="D233" s="2" t="s">
        <v>859</v>
      </c>
      <c r="E233" s="2" t="s">
        <v>860</v>
      </c>
      <c r="F233" s="2" t="s">
        <v>70</v>
      </c>
      <c r="G233" s="2" t="s">
        <v>838</v>
      </c>
      <c r="H233" s="2" t="s">
        <v>839</v>
      </c>
      <c r="I233" s="2" t="s">
        <v>405</v>
      </c>
      <c r="J233" s="2" t="s">
        <v>10</v>
      </c>
      <c r="K233" s="2" t="s">
        <v>824</v>
      </c>
      <c r="L233" s="2" t="s">
        <v>75</v>
      </c>
      <c r="M233" s="2" t="s">
        <v>406</v>
      </c>
      <c r="N233" s="2"/>
      <c r="O233" s="2" t="s">
        <v>77</v>
      </c>
      <c r="P233" s="2"/>
      <c r="Q233" s="3"/>
      <c r="R233" s="2"/>
    </row>
    <row r="234" spans="1:18">
      <c r="A234" s="2" t="s">
        <v>861</v>
      </c>
      <c r="B234" s="2" t="s">
        <v>49</v>
      </c>
      <c r="C234" s="2" t="s">
        <v>858</v>
      </c>
      <c r="D234" s="2" t="s">
        <v>862</v>
      </c>
      <c r="E234" s="2" t="s">
        <v>863</v>
      </c>
      <c r="F234" s="2" t="s">
        <v>70</v>
      </c>
      <c r="G234" s="2" t="s">
        <v>838</v>
      </c>
      <c r="H234" s="2" t="s">
        <v>839</v>
      </c>
      <c r="I234" s="2" t="s">
        <v>405</v>
      </c>
      <c r="J234" s="2" t="s">
        <v>10</v>
      </c>
      <c r="K234" s="2" t="s">
        <v>824</v>
      </c>
      <c r="L234" s="2" t="s">
        <v>75</v>
      </c>
      <c r="M234" s="2" t="s">
        <v>406</v>
      </c>
      <c r="N234" s="2"/>
      <c r="O234" s="2" t="s">
        <v>77</v>
      </c>
      <c r="P234" s="2"/>
      <c r="Q234" s="3"/>
      <c r="R234" s="2"/>
    </row>
    <row r="235" spans="1:18">
      <c r="A235" s="2" t="s">
        <v>864</v>
      </c>
      <c r="B235" s="2" t="s">
        <v>49</v>
      </c>
      <c r="C235" s="2" t="s">
        <v>858</v>
      </c>
      <c r="D235" s="2" t="s">
        <v>865</v>
      </c>
      <c r="E235" s="2" t="s">
        <v>866</v>
      </c>
      <c r="F235" s="2" t="s">
        <v>70</v>
      </c>
      <c r="G235" s="2" t="s">
        <v>838</v>
      </c>
      <c r="H235" s="2" t="s">
        <v>839</v>
      </c>
      <c r="I235" s="2" t="s">
        <v>405</v>
      </c>
      <c r="J235" s="2" t="s">
        <v>10</v>
      </c>
      <c r="K235" s="2" t="s">
        <v>824</v>
      </c>
      <c r="L235" s="2" t="s">
        <v>75</v>
      </c>
      <c r="M235" s="2" t="s">
        <v>406</v>
      </c>
      <c r="N235" s="2"/>
      <c r="O235" s="2" t="s">
        <v>77</v>
      </c>
      <c r="P235" s="2"/>
      <c r="Q235" s="3"/>
      <c r="R235" s="2"/>
    </row>
    <row r="236" spans="1:18">
      <c r="A236" s="2" t="s">
        <v>867</v>
      </c>
      <c r="B236" s="2" t="s">
        <v>49</v>
      </c>
      <c r="C236" s="2" t="s">
        <v>603</v>
      </c>
      <c r="D236" s="2" t="s">
        <v>868</v>
      </c>
      <c r="E236" s="2" t="s">
        <v>869</v>
      </c>
      <c r="F236" s="2" t="s">
        <v>70</v>
      </c>
      <c r="G236" s="2" t="s">
        <v>838</v>
      </c>
      <c r="H236" s="2" t="s">
        <v>839</v>
      </c>
      <c r="I236" s="2" t="s">
        <v>405</v>
      </c>
      <c r="J236" s="2" t="s">
        <v>10</v>
      </c>
      <c r="K236" s="2" t="s">
        <v>824</v>
      </c>
      <c r="L236" s="2" t="s">
        <v>75</v>
      </c>
      <c r="M236" s="2" t="s">
        <v>406</v>
      </c>
      <c r="N236" s="2"/>
      <c r="O236" s="2" t="s">
        <v>77</v>
      </c>
      <c r="P236" s="2"/>
      <c r="Q236" s="3"/>
      <c r="R236" s="2"/>
    </row>
    <row r="237" spans="1:18">
      <c r="A237" s="2" t="s">
        <v>870</v>
      </c>
      <c r="B237" s="2" t="s">
        <v>49</v>
      </c>
      <c r="C237" s="2" t="s">
        <v>603</v>
      </c>
      <c r="D237" s="2" t="s">
        <v>871</v>
      </c>
      <c r="E237" s="2" t="s">
        <v>872</v>
      </c>
      <c r="F237" s="2" t="s">
        <v>70</v>
      </c>
      <c r="G237" s="2" t="s">
        <v>838</v>
      </c>
      <c r="H237" s="2" t="s">
        <v>839</v>
      </c>
      <c r="I237" s="2" t="s">
        <v>405</v>
      </c>
      <c r="J237" s="2" t="s">
        <v>10</v>
      </c>
      <c r="K237" s="2" t="s">
        <v>824</v>
      </c>
      <c r="L237" s="2" t="s">
        <v>75</v>
      </c>
      <c r="M237" s="2" t="s">
        <v>406</v>
      </c>
      <c r="N237" s="2"/>
      <c r="O237" s="2" t="s">
        <v>77</v>
      </c>
      <c r="P237" s="2"/>
      <c r="Q237" s="3"/>
      <c r="R237" s="2"/>
    </row>
    <row r="238" spans="1:18">
      <c r="A238" s="2" t="s">
        <v>873</v>
      </c>
      <c r="B238" s="2" t="s">
        <v>49</v>
      </c>
      <c r="C238" s="2" t="s">
        <v>874</v>
      </c>
      <c r="D238" s="2" t="s">
        <v>875</v>
      </c>
      <c r="E238" s="2" t="s">
        <v>876</v>
      </c>
      <c r="F238" s="2" t="s">
        <v>70</v>
      </c>
      <c r="G238" s="2" t="s">
        <v>838</v>
      </c>
      <c r="H238" s="2" t="s">
        <v>839</v>
      </c>
      <c r="I238" s="2" t="s">
        <v>405</v>
      </c>
      <c r="J238" s="2" t="s">
        <v>10</v>
      </c>
      <c r="K238" s="2" t="s">
        <v>824</v>
      </c>
      <c r="L238" s="2" t="s">
        <v>75</v>
      </c>
      <c r="M238" s="2" t="s">
        <v>406</v>
      </c>
      <c r="N238" s="2"/>
      <c r="O238" s="2" t="s">
        <v>77</v>
      </c>
      <c r="P238" s="2"/>
      <c r="Q238" s="3"/>
      <c r="R238" s="2"/>
    </row>
    <row r="239" spans="1:18" ht="25.5">
      <c r="A239" s="2" t="s">
        <v>877</v>
      </c>
      <c r="B239" s="2" t="s">
        <v>49</v>
      </c>
      <c r="C239" s="2" t="s">
        <v>874</v>
      </c>
      <c r="D239" s="2" t="s">
        <v>878</v>
      </c>
      <c r="E239" s="2" t="s">
        <v>879</v>
      </c>
      <c r="F239" s="2" t="s">
        <v>70</v>
      </c>
      <c r="G239" s="2" t="s">
        <v>838</v>
      </c>
      <c r="H239" s="2" t="s">
        <v>839</v>
      </c>
      <c r="I239" s="2" t="s">
        <v>405</v>
      </c>
      <c r="J239" s="2" t="s">
        <v>10</v>
      </c>
      <c r="K239" s="2" t="s">
        <v>824</v>
      </c>
      <c r="L239" s="2" t="s">
        <v>75</v>
      </c>
      <c r="M239" s="2" t="s">
        <v>406</v>
      </c>
      <c r="N239" s="2"/>
      <c r="O239" s="2" t="s">
        <v>77</v>
      </c>
      <c r="P239" s="2"/>
      <c r="Q239" s="3"/>
      <c r="R239" s="2"/>
    </row>
    <row r="240" spans="1:18">
      <c r="A240" s="2" t="s">
        <v>880</v>
      </c>
      <c r="B240" s="2" t="s">
        <v>49</v>
      </c>
      <c r="C240" s="2" t="s">
        <v>881</v>
      </c>
      <c r="D240" s="2" t="s">
        <v>882</v>
      </c>
      <c r="E240" s="2" t="s">
        <v>883</v>
      </c>
      <c r="F240" s="2" t="s">
        <v>70</v>
      </c>
      <c r="G240" s="2" t="s">
        <v>838</v>
      </c>
      <c r="H240" s="2" t="s">
        <v>839</v>
      </c>
      <c r="I240" s="2" t="s">
        <v>405</v>
      </c>
      <c r="J240" s="2" t="s">
        <v>10</v>
      </c>
      <c r="K240" s="2" t="s">
        <v>824</v>
      </c>
      <c r="L240" s="2" t="s">
        <v>75</v>
      </c>
      <c r="M240" s="2" t="s">
        <v>406</v>
      </c>
      <c r="N240" s="2"/>
      <c r="O240" s="2" t="s">
        <v>77</v>
      </c>
      <c r="P240" s="2"/>
      <c r="Q240" s="3"/>
      <c r="R240" s="2"/>
    </row>
    <row r="241" spans="1:18">
      <c r="A241" s="2" t="s">
        <v>884</v>
      </c>
      <c r="B241" s="2" t="s">
        <v>49</v>
      </c>
      <c r="C241" s="2" t="s">
        <v>881</v>
      </c>
      <c r="D241" s="2" t="s">
        <v>885</v>
      </c>
      <c r="E241" s="2" t="s">
        <v>886</v>
      </c>
      <c r="F241" s="2" t="s">
        <v>70</v>
      </c>
      <c r="G241" s="2" t="s">
        <v>838</v>
      </c>
      <c r="H241" s="2" t="s">
        <v>839</v>
      </c>
      <c r="I241" s="2" t="s">
        <v>405</v>
      </c>
      <c r="J241" s="2" t="s">
        <v>10</v>
      </c>
      <c r="K241" s="2" t="s">
        <v>824</v>
      </c>
      <c r="L241" s="2" t="s">
        <v>75</v>
      </c>
      <c r="M241" s="2" t="s">
        <v>406</v>
      </c>
      <c r="N241" s="2"/>
      <c r="O241" s="2" t="s">
        <v>77</v>
      </c>
      <c r="P241" s="2"/>
      <c r="Q241" s="3"/>
      <c r="R241" s="2"/>
    </row>
    <row r="242" spans="1:18">
      <c r="A242" s="2" t="s">
        <v>887</v>
      </c>
      <c r="B242" s="2" t="s">
        <v>49</v>
      </c>
      <c r="C242" s="2" t="s">
        <v>881</v>
      </c>
      <c r="D242" s="2" t="s">
        <v>888</v>
      </c>
      <c r="E242" s="2" t="s">
        <v>889</v>
      </c>
      <c r="F242" s="2" t="s">
        <v>70</v>
      </c>
      <c r="G242" s="2" t="s">
        <v>838</v>
      </c>
      <c r="H242" s="2" t="s">
        <v>839</v>
      </c>
      <c r="I242" s="2" t="s">
        <v>405</v>
      </c>
      <c r="J242" s="2" t="s">
        <v>10</v>
      </c>
      <c r="K242" s="2" t="s">
        <v>824</v>
      </c>
      <c r="L242" s="2" t="s">
        <v>75</v>
      </c>
      <c r="M242" s="2" t="s">
        <v>406</v>
      </c>
      <c r="N242" s="2"/>
      <c r="O242" s="2" t="s">
        <v>77</v>
      </c>
      <c r="P242" s="2"/>
      <c r="Q242" s="3"/>
      <c r="R242" s="2"/>
    </row>
  </sheetData>
  <phoneticPr fontId="6"/>
  <conditionalFormatting sqref="H2:H242">
    <cfRule type="expression" dxfId="8" priority="6">
      <formula>H2="P0"</formula>
    </cfRule>
  </conditionalFormatting>
  <conditionalFormatting sqref="I2:I242">
    <cfRule type="expression" dxfId="7" priority="7">
      <formula>I2="필수"</formula>
    </cfRule>
  </conditionalFormatting>
  <conditionalFormatting sqref="J2:J242">
    <cfRule type="expression" dxfId="6" priority="1">
      <formula>J2="OK"</formula>
    </cfRule>
    <cfRule type="expression" dxfId="5" priority="2">
      <formula>J2="진행중"</formula>
    </cfRule>
    <cfRule type="expression" dxfId="4" priority="3">
      <formula>J2="차단"</formula>
    </cfRule>
    <cfRule type="expression" dxfId="3" priority="4">
      <formula>J2="검토중"</formula>
    </cfRule>
  </conditionalFormatting>
  <conditionalFormatting sqref="O2:O242">
    <cfRule type="expression" dxfId="2" priority="5">
      <formula>O2="상"</formula>
    </cfRule>
  </conditionalFormatting>
  <dataValidations count="7">
    <dataValidation type="list" sqref="J2:J242" xr:uid="{00000000-0002-0000-0100-000000000000}">
      <formula1>"대기,진행중,검토중,차단,OK,보류,N/A"</formula1>
    </dataValidation>
    <dataValidation type="list" sqref="H2:H242" xr:uid="{00000000-0002-0000-0100-000001000000}">
      <formula1>"P0,P1,P2,P3"</formula1>
    </dataValidation>
    <dataValidation type="list" sqref="I2:I242" xr:uid="{00000000-0002-0000-0100-000002000000}">
      <formula1>"필수,권장,실험"</formula1>
    </dataValidation>
    <dataValidation type="list" sqref="G2:G242" xr:uid="{00000000-0002-0000-0100-000003000000}">
      <formula1>"기획,클라이언트,서버,UI/UX,아트,애니메이션,사운드,QA,밸런스,보안,데이터,운영,PM,법무/사업,스토어"</formula1>
    </dataValidation>
    <dataValidation type="list" sqref="F2:F242" xr:uid="{00000000-0002-0000-0100-000004000000}">
      <formula1>"TBD,Game Designer,Client Engineer,Server Engineer,UI/UX Designer,Gameplay Artist,Animator,Sound Designer,QA Lead,Balance Designer,Data Analyst,LiveOps Manager,Producer,Legal/Business,Store Manager"</formula1>
    </dataValidation>
    <dataValidation type="list" sqref="K2:K242" xr:uid="{00000000-0002-0000-0100-000005000000}">
      <formula1>"기능,통합,밸런스,UX,성능,보안,회귀,플랫폼,운영,문서"</formula1>
    </dataValidation>
    <dataValidation type="list" sqref="L2:L242" xr:uid="{00000000-0002-0000-0100-000006000000}">
      <formula1>"공통,PC,Mobile,Console,Server,Backend,Store,LiveOps"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1"/>
  <sheetViews>
    <sheetView workbookViewId="0">
      <selection activeCell="D2" sqref="D2"/>
    </sheetView>
  </sheetViews>
  <sheetFormatPr defaultRowHeight="14.25"/>
  <cols>
    <col min="1" max="1" width="12" customWidth="1"/>
    <col min="2" max="2" width="22" customWidth="1"/>
    <col min="3" max="3" width="55" customWidth="1"/>
    <col min="4" max="4" width="20" customWidth="1"/>
    <col min="5" max="5" width="12" customWidth="1"/>
    <col min="6" max="6" width="18" customWidth="1"/>
    <col min="7" max="7" width="16" customWidth="1"/>
    <col min="8" max="9" width="30" customWidth="1"/>
  </cols>
  <sheetData>
    <row r="1" spans="1:26" ht="30">
      <c r="A1" s="7" t="s">
        <v>890</v>
      </c>
      <c r="B1" s="7" t="s">
        <v>891</v>
      </c>
      <c r="C1" s="7" t="s">
        <v>892</v>
      </c>
      <c r="D1" s="7" t="s">
        <v>54</v>
      </c>
      <c r="E1" s="7" t="s">
        <v>4</v>
      </c>
      <c r="F1" s="7" t="s">
        <v>893</v>
      </c>
      <c r="G1" s="7" t="s">
        <v>894</v>
      </c>
      <c r="H1" s="7" t="s">
        <v>895</v>
      </c>
      <c r="I1" s="7" t="s">
        <v>65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2" t="s">
        <v>896</v>
      </c>
      <c r="B2" s="2" t="s">
        <v>897</v>
      </c>
      <c r="C2" s="2" t="s">
        <v>898</v>
      </c>
      <c r="D2" s="2" t="s">
        <v>899</v>
      </c>
      <c r="E2" s="2" t="s">
        <v>10</v>
      </c>
      <c r="F2" s="2">
        <f>COUNTIFS('01_Master_Checklist'!$I$2:$I$242,"필수",'01_Master_Checklist'!$J$2:$J$242,"&lt;&gt;OK")</f>
        <v>191</v>
      </c>
      <c r="G2" s="2" t="str">
        <f t="shared" ref="G2:G11" si="0">IF(AND(E2="OK",F2=0),"PASS","HOLD")</f>
        <v>HOLD</v>
      </c>
      <c r="H2" s="2"/>
      <c r="I2" s="2"/>
    </row>
    <row r="3" spans="1:26">
      <c r="A3" s="2" t="s">
        <v>900</v>
      </c>
      <c r="B3" s="2" t="s">
        <v>901</v>
      </c>
      <c r="C3" s="2" t="s">
        <v>902</v>
      </c>
      <c r="D3" s="2" t="s">
        <v>903</v>
      </c>
      <c r="E3" s="2" t="s">
        <v>10</v>
      </c>
      <c r="F3" s="2">
        <f>COUNTIFS('01_Master_Checklist'!$I$2:$I$242,"필수",'01_Master_Checklist'!$J$2:$J$242,"&lt;&gt;OK")</f>
        <v>191</v>
      </c>
      <c r="G3" s="2" t="str">
        <f t="shared" si="0"/>
        <v>HOLD</v>
      </c>
      <c r="H3" s="2"/>
      <c r="I3" s="2"/>
    </row>
    <row r="4" spans="1:26">
      <c r="A4" s="2" t="s">
        <v>904</v>
      </c>
      <c r="B4" s="2" t="s">
        <v>40</v>
      </c>
      <c r="C4" s="2" t="s">
        <v>905</v>
      </c>
      <c r="D4" s="2" t="s">
        <v>906</v>
      </c>
      <c r="E4" s="2" t="s">
        <v>10</v>
      </c>
      <c r="F4" s="2">
        <f>COUNTIFS('01_Master_Checklist'!$I$2:$I$242,"필수",'01_Master_Checklist'!$J$2:$J$242,"&lt;&gt;OK")</f>
        <v>191</v>
      </c>
      <c r="G4" s="2" t="str">
        <f t="shared" si="0"/>
        <v>HOLD</v>
      </c>
      <c r="H4" s="2"/>
      <c r="I4" s="2"/>
    </row>
    <row r="5" spans="1:26">
      <c r="A5" s="2" t="s">
        <v>907</v>
      </c>
      <c r="B5" s="2" t="s">
        <v>908</v>
      </c>
      <c r="C5" s="2" t="s">
        <v>909</v>
      </c>
      <c r="D5" s="2" t="s">
        <v>910</v>
      </c>
      <c r="E5" s="2" t="s">
        <v>10</v>
      </c>
      <c r="F5" s="2">
        <f>COUNTIFS('01_Master_Checklist'!$I$2:$I$242,"필수",'01_Master_Checklist'!$J$2:$J$242,"&lt;&gt;OK")</f>
        <v>191</v>
      </c>
      <c r="G5" s="2" t="str">
        <f t="shared" si="0"/>
        <v>HOLD</v>
      </c>
      <c r="H5" s="2"/>
      <c r="I5" s="2"/>
    </row>
    <row r="6" spans="1:26">
      <c r="A6" s="2" t="s">
        <v>911</v>
      </c>
      <c r="B6" s="2" t="s">
        <v>912</v>
      </c>
      <c r="C6" s="2" t="s">
        <v>913</v>
      </c>
      <c r="D6" s="2" t="s">
        <v>914</v>
      </c>
      <c r="E6" s="2" t="s">
        <v>10</v>
      </c>
      <c r="F6" s="2">
        <f>COUNTIFS('01_Master_Checklist'!$I$2:$I$242,"필수",'01_Master_Checklist'!$J$2:$J$242,"&lt;&gt;OK")</f>
        <v>191</v>
      </c>
      <c r="G6" s="2" t="str">
        <f t="shared" si="0"/>
        <v>HOLD</v>
      </c>
      <c r="H6" s="2"/>
      <c r="I6" s="2"/>
    </row>
    <row r="7" spans="1:26">
      <c r="A7" s="2" t="s">
        <v>915</v>
      </c>
      <c r="B7" s="2" t="s">
        <v>916</v>
      </c>
      <c r="C7" s="2" t="s">
        <v>917</v>
      </c>
      <c r="D7" s="2" t="s">
        <v>918</v>
      </c>
      <c r="E7" s="2" t="s">
        <v>10</v>
      </c>
      <c r="F7" s="2">
        <f>COUNTIFS('01_Master_Checklist'!$I$2:$I$242,"필수",'01_Master_Checklist'!$J$2:$J$242,"&lt;&gt;OK")</f>
        <v>191</v>
      </c>
      <c r="G7" s="2" t="str">
        <f t="shared" si="0"/>
        <v>HOLD</v>
      </c>
      <c r="H7" s="2"/>
      <c r="I7" s="2"/>
    </row>
    <row r="8" spans="1:26">
      <c r="A8" s="2" t="s">
        <v>919</v>
      </c>
      <c r="B8" s="2" t="s">
        <v>920</v>
      </c>
      <c r="C8" s="2" t="s">
        <v>921</v>
      </c>
      <c r="D8" s="2" t="s">
        <v>922</v>
      </c>
      <c r="E8" s="2" t="s">
        <v>10</v>
      </c>
      <c r="F8" s="2">
        <f>COUNTIFS('01_Master_Checklist'!$I$2:$I$242,"필수",'01_Master_Checklist'!$J$2:$J$242,"&lt;&gt;OK")</f>
        <v>191</v>
      </c>
      <c r="G8" s="2" t="str">
        <f t="shared" si="0"/>
        <v>HOLD</v>
      </c>
      <c r="H8" s="2"/>
      <c r="I8" s="2"/>
    </row>
    <row r="9" spans="1:26">
      <c r="A9" s="2" t="s">
        <v>923</v>
      </c>
      <c r="B9" s="2" t="s">
        <v>924</v>
      </c>
      <c r="C9" s="2" t="s">
        <v>925</v>
      </c>
      <c r="D9" s="2" t="s">
        <v>926</v>
      </c>
      <c r="E9" s="2" t="s">
        <v>10</v>
      </c>
      <c r="F9" s="2">
        <f>COUNTIFS('01_Master_Checklist'!$I$2:$I$242,"필수",'01_Master_Checklist'!$J$2:$J$242,"&lt;&gt;OK")</f>
        <v>191</v>
      </c>
      <c r="G9" s="2" t="str">
        <f t="shared" si="0"/>
        <v>HOLD</v>
      </c>
      <c r="H9" s="2"/>
      <c r="I9" s="2"/>
    </row>
    <row r="10" spans="1:26">
      <c r="A10" s="2" t="s">
        <v>927</v>
      </c>
      <c r="B10" s="2" t="s">
        <v>928</v>
      </c>
      <c r="C10" s="2" t="s">
        <v>929</v>
      </c>
      <c r="D10" s="2" t="s">
        <v>930</v>
      </c>
      <c r="E10" s="2" t="s">
        <v>10</v>
      </c>
      <c r="F10" s="2">
        <f>COUNTIFS('01_Master_Checklist'!$I$2:$I$242,"필수",'01_Master_Checklist'!$J$2:$J$242,"&lt;&gt;OK")</f>
        <v>191</v>
      </c>
      <c r="G10" s="2" t="str">
        <f t="shared" si="0"/>
        <v>HOLD</v>
      </c>
      <c r="H10" s="2"/>
      <c r="I10" s="2"/>
    </row>
    <row r="11" spans="1:26">
      <c r="A11" s="2" t="s">
        <v>931</v>
      </c>
      <c r="B11" s="2" t="s">
        <v>932</v>
      </c>
      <c r="C11" s="2" t="s">
        <v>933</v>
      </c>
      <c r="D11" s="2" t="s">
        <v>934</v>
      </c>
      <c r="E11" s="2" t="s">
        <v>10</v>
      </c>
      <c r="F11" s="2">
        <f>COUNTIFS('01_Master_Checklist'!$I$2:$I$242,"필수",'01_Master_Checklist'!$J$2:$J$242,"&lt;&gt;OK")</f>
        <v>191</v>
      </c>
      <c r="G11" s="2" t="str">
        <f t="shared" si="0"/>
        <v>HOLD</v>
      </c>
      <c r="H11" s="2"/>
      <c r="I11" s="2"/>
    </row>
  </sheetData>
  <phoneticPr fontId="6"/>
  <conditionalFormatting sqref="G2:G11">
    <cfRule type="expression" dxfId="1" priority="1">
      <formula>G2="PASS"</formula>
    </cfRule>
    <cfRule type="expression" dxfId="0" priority="2">
      <formula>G2="HOLD"</formula>
    </cfRule>
  </conditionalFormatting>
  <dataValidations count="1">
    <dataValidation type="list" sqref="E2:E11" xr:uid="{00000000-0002-0000-0200-000000000000}">
      <formula1>"대기,진행중,검토중,차단,OK,보류,N/A"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5"/>
  <sheetViews>
    <sheetView workbookViewId="0"/>
  </sheetViews>
  <sheetFormatPr defaultRowHeight="14.25"/>
  <cols>
    <col min="1" max="1" width="16" customWidth="1"/>
    <col min="2" max="2" width="12" customWidth="1"/>
    <col min="3" max="3" width="20" customWidth="1"/>
    <col min="4" max="4" width="14" customWidth="1"/>
    <col min="5" max="5" width="18" customWidth="1"/>
    <col min="6" max="6" width="34" customWidth="1"/>
    <col min="7" max="7" width="28" customWidth="1"/>
    <col min="8" max="8" width="18" customWidth="1"/>
    <col min="9" max="9" width="12" customWidth="1"/>
    <col min="10" max="10" width="36" customWidth="1"/>
  </cols>
  <sheetData>
    <row r="1" spans="1:26" ht="30">
      <c r="A1" s="7" t="s">
        <v>935</v>
      </c>
      <c r="B1" s="7" t="s">
        <v>936</v>
      </c>
      <c r="C1" s="7" t="s">
        <v>937</v>
      </c>
      <c r="D1" s="7" t="s">
        <v>938</v>
      </c>
      <c r="E1" s="7" t="s">
        <v>939</v>
      </c>
      <c r="F1" s="7" t="s">
        <v>940</v>
      </c>
      <c r="G1" s="7" t="s">
        <v>941</v>
      </c>
      <c r="H1" s="7" t="s">
        <v>942</v>
      </c>
      <c r="I1" s="7" t="s">
        <v>4</v>
      </c>
      <c r="J1" s="7" t="s">
        <v>943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2" t="s">
        <v>324</v>
      </c>
      <c r="B2" s="2" t="s">
        <v>944</v>
      </c>
      <c r="C2" s="2" t="s">
        <v>945</v>
      </c>
      <c r="D2" s="2" t="s">
        <v>946</v>
      </c>
      <c r="E2" s="2" t="s">
        <v>947</v>
      </c>
      <c r="F2" s="2" t="s">
        <v>948</v>
      </c>
      <c r="G2" s="2" t="s">
        <v>949</v>
      </c>
      <c r="H2" s="2" t="s">
        <v>918</v>
      </c>
      <c r="I2" s="2" t="s">
        <v>10</v>
      </c>
      <c r="J2" s="2" t="s">
        <v>950</v>
      </c>
    </row>
    <row r="3" spans="1:26">
      <c r="A3" s="2" t="s">
        <v>344</v>
      </c>
      <c r="B3" s="2" t="s">
        <v>944</v>
      </c>
      <c r="C3" s="2" t="s">
        <v>951</v>
      </c>
      <c r="D3" s="2" t="s">
        <v>952</v>
      </c>
      <c r="E3" s="2" t="s">
        <v>953</v>
      </c>
      <c r="F3" s="2" t="s">
        <v>954</v>
      </c>
      <c r="G3" s="2" t="s">
        <v>955</v>
      </c>
      <c r="H3" s="2" t="s">
        <v>918</v>
      </c>
      <c r="I3" s="2" t="s">
        <v>10</v>
      </c>
      <c r="J3" s="2" t="s">
        <v>956</v>
      </c>
    </row>
    <row r="4" spans="1:26">
      <c r="A4" s="2" t="s">
        <v>363</v>
      </c>
      <c r="B4" s="2" t="s">
        <v>957</v>
      </c>
      <c r="C4" s="2" t="s">
        <v>958</v>
      </c>
      <c r="D4" s="2" t="s">
        <v>952</v>
      </c>
      <c r="E4" s="2" t="s">
        <v>959</v>
      </c>
      <c r="F4" s="2" t="s">
        <v>960</v>
      </c>
      <c r="G4" s="2" t="s">
        <v>961</v>
      </c>
      <c r="H4" s="2" t="s">
        <v>918</v>
      </c>
      <c r="I4" s="2" t="s">
        <v>10</v>
      </c>
      <c r="J4" s="2" t="s">
        <v>962</v>
      </c>
    </row>
    <row r="5" spans="1:26">
      <c r="A5" s="2" t="s">
        <v>382</v>
      </c>
      <c r="B5" s="2" t="s">
        <v>944</v>
      </c>
      <c r="C5" s="2" t="s">
        <v>963</v>
      </c>
      <c r="D5" s="2" t="s">
        <v>952</v>
      </c>
      <c r="E5" s="2" t="s">
        <v>964</v>
      </c>
      <c r="F5" s="2" t="s">
        <v>965</v>
      </c>
      <c r="G5" s="2" t="s">
        <v>966</v>
      </c>
      <c r="H5" s="2" t="s">
        <v>918</v>
      </c>
      <c r="I5" s="2" t="s">
        <v>10</v>
      </c>
      <c r="J5" s="2" t="s">
        <v>967</v>
      </c>
    </row>
    <row r="6" spans="1:26">
      <c r="A6" s="2" t="s">
        <v>401</v>
      </c>
      <c r="B6" s="2" t="s">
        <v>968</v>
      </c>
      <c r="C6" s="2" t="s">
        <v>969</v>
      </c>
      <c r="D6" s="2" t="s">
        <v>952</v>
      </c>
      <c r="E6" s="2" t="s">
        <v>970</v>
      </c>
      <c r="F6" s="2" t="s">
        <v>971</v>
      </c>
      <c r="G6" s="2" t="s">
        <v>972</v>
      </c>
      <c r="H6" s="2" t="s">
        <v>918</v>
      </c>
      <c r="I6" s="2" t="s">
        <v>10</v>
      </c>
      <c r="J6" s="2" t="s">
        <v>973</v>
      </c>
    </row>
    <row r="7" spans="1:26">
      <c r="A7" s="2" t="s">
        <v>417</v>
      </c>
      <c r="B7" s="2" t="s">
        <v>944</v>
      </c>
      <c r="C7" s="2" t="s">
        <v>974</v>
      </c>
      <c r="D7" s="2" t="s">
        <v>952</v>
      </c>
      <c r="E7" s="2" t="s">
        <v>975</v>
      </c>
      <c r="F7" s="2" t="s">
        <v>421</v>
      </c>
      <c r="G7" s="2" t="s">
        <v>976</v>
      </c>
      <c r="H7" s="2" t="s">
        <v>918</v>
      </c>
      <c r="I7" s="2" t="s">
        <v>10</v>
      </c>
      <c r="J7" s="2" t="s">
        <v>977</v>
      </c>
    </row>
    <row r="8" spans="1:26">
      <c r="A8" s="2" t="s">
        <v>430</v>
      </c>
      <c r="B8" s="2" t="s">
        <v>957</v>
      </c>
      <c r="C8" s="2" t="s">
        <v>978</v>
      </c>
      <c r="D8" s="2" t="s">
        <v>952</v>
      </c>
      <c r="E8" s="2" t="s">
        <v>979</v>
      </c>
      <c r="F8" s="2" t="s">
        <v>980</v>
      </c>
      <c r="G8" s="2" t="s">
        <v>981</v>
      </c>
      <c r="H8" s="2" t="s">
        <v>918</v>
      </c>
      <c r="I8" s="2" t="s">
        <v>10</v>
      </c>
      <c r="J8" s="2" t="s">
        <v>982</v>
      </c>
    </row>
    <row r="9" spans="1:26">
      <c r="A9" s="2" t="s">
        <v>442</v>
      </c>
      <c r="B9" s="2" t="s">
        <v>944</v>
      </c>
      <c r="C9" s="2" t="s">
        <v>983</v>
      </c>
      <c r="D9" s="2" t="s">
        <v>952</v>
      </c>
      <c r="E9" s="2" t="s">
        <v>984</v>
      </c>
      <c r="F9" s="2" t="s">
        <v>985</v>
      </c>
      <c r="G9" s="2" t="s">
        <v>986</v>
      </c>
      <c r="H9" s="2" t="s">
        <v>918</v>
      </c>
      <c r="I9" s="2" t="s">
        <v>10</v>
      </c>
      <c r="J9" s="2" t="s">
        <v>987</v>
      </c>
    </row>
    <row r="10" spans="1:26">
      <c r="A10" s="2" t="s">
        <v>455</v>
      </c>
      <c r="B10" s="2" t="s">
        <v>968</v>
      </c>
      <c r="C10" s="2" t="s">
        <v>988</v>
      </c>
      <c r="D10" s="2" t="s">
        <v>952</v>
      </c>
      <c r="E10" s="2" t="s">
        <v>984</v>
      </c>
      <c r="F10" s="2" t="s">
        <v>989</v>
      </c>
      <c r="G10" s="2" t="s">
        <v>990</v>
      </c>
      <c r="H10" s="2" t="s">
        <v>991</v>
      </c>
      <c r="I10" s="2" t="s">
        <v>10</v>
      </c>
      <c r="J10" s="2" t="s">
        <v>992</v>
      </c>
    </row>
    <row r="11" spans="1:26">
      <c r="A11" s="2" t="s">
        <v>465</v>
      </c>
      <c r="B11" s="2" t="s">
        <v>944</v>
      </c>
      <c r="C11" s="2" t="s">
        <v>993</v>
      </c>
      <c r="D11" s="2" t="s">
        <v>952</v>
      </c>
      <c r="E11" s="2" t="s">
        <v>994</v>
      </c>
      <c r="F11" s="2" t="s">
        <v>995</v>
      </c>
      <c r="G11" s="2" t="s">
        <v>996</v>
      </c>
      <c r="H11" s="2" t="s">
        <v>910</v>
      </c>
      <c r="I11" s="2" t="s">
        <v>10</v>
      </c>
      <c r="J11" s="2" t="s">
        <v>997</v>
      </c>
    </row>
    <row r="12" spans="1:26">
      <c r="A12" s="2" t="s">
        <v>475</v>
      </c>
      <c r="B12" s="2" t="s">
        <v>968</v>
      </c>
      <c r="C12" s="2" t="s">
        <v>998</v>
      </c>
      <c r="D12" s="2" t="s">
        <v>952</v>
      </c>
      <c r="E12" s="2" t="s">
        <v>999</v>
      </c>
      <c r="F12" s="2" t="s">
        <v>1000</v>
      </c>
      <c r="G12" s="2" t="s">
        <v>1001</v>
      </c>
      <c r="H12" s="2" t="s">
        <v>1002</v>
      </c>
      <c r="I12" s="2" t="s">
        <v>10</v>
      </c>
      <c r="J12" s="2" t="s">
        <v>1003</v>
      </c>
    </row>
    <row r="13" spans="1:26">
      <c r="A13" s="2" t="s">
        <v>484</v>
      </c>
      <c r="B13" s="2" t="s">
        <v>1004</v>
      </c>
      <c r="C13" s="2" t="s">
        <v>1005</v>
      </c>
      <c r="D13" s="2" t="s">
        <v>952</v>
      </c>
      <c r="E13" s="2" t="s">
        <v>1006</v>
      </c>
      <c r="F13" s="2" t="s">
        <v>1007</v>
      </c>
      <c r="G13" s="2" t="s">
        <v>1008</v>
      </c>
      <c r="H13" s="2" t="s">
        <v>906</v>
      </c>
      <c r="I13" s="2" t="s">
        <v>10</v>
      </c>
      <c r="J13" s="2" t="s">
        <v>1009</v>
      </c>
    </row>
    <row r="14" spans="1:26">
      <c r="A14" s="2" t="s">
        <v>494</v>
      </c>
      <c r="B14" s="2" t="s">
        <v>1004</v>
      </c>
      <c r="C14" s="2" t="s">
        <v>1010</v>
      </c>
      <c r="D14" s="2" t="s">
        <v>952</v>
      </c>
      <c r="E14" s="2" t="s">
        <v>501</v>
      </c>
      <c r="F14" s="2" t="s">
        <v>1011</v>
      </c>
      <c r="G14" s="2" t="s">
        <v>1012</v>
      </c>
      <c r="H14" s="2" t="s">
        <v>906</v>
      </c>
      <c r="I14" s="2" t="s">
        <v>10</v>
      </c>
      <c r="J14" s="2" t="s">
        <v>1013</v>
      </c>
    </row>
    <row r="15" spans="1:26">
      <c r="A15" s="2" t="s">
        <v>504</v>
      </c>
      <c r="B15" s="2" t="s">
        <v>944</v>
      </c>
      <c r="C15" s="2" t="s">
        <v>1014</v>
      </c>
      <c r="D15" s="2" t="s">
        <v>952</v>
      </c>
      <c r="E15" s="2" t="s">
        <v>1015</v>
      </c>
      <c r="F15" s="2" t="s">
        <v>1016</v>
      </c>
      <c r="G15" s="2" t="s">
        <v>1017</v>
      </c>
      <c r="H15" s="2" t="s">
        <v>906</v>
      </c>
      <c r="I15" s="2" t="s">
        <v>10</v>
      </c>
      <c r="J15" s="2" t="s">
        <v>1018</v>
      </c>
    </row>
  </sheetData>
  <phoneticPr fontId="6"/>
  <dataValidations count="1">
    <dataValidation type="list" sqref="I2:I15" xr:uid="{00000000-0002-0000-0300-000000000000}">
      <formula1>"대기,진행중,검토중,차단,OK,보류,N/A"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7"/>
  <sheetViews>
    <sheetView workbookViewId="0"/>
  </sheetViews>
  <sheetFormatPr defaultRowHeight="14.25"/>
  <cols>
    <col min="1" max="1" width="14" customWidth="1"/>
    <col min="2" max="2" width="26" customWidth="1"/>
    <col min="3" max="3" width="40" customWidth="1"/>
    <col min="4" max="4" width="46" customWidth="1"/>
    <col min="5" max="6" width="18" customWidth="1"/>
    <col min="7" max="8" width="12" customWidth="1"/>
    <col min="9" max="9" width="30" customWidth="1"/>
  </cols>
  <sheetData>
    <row r="1" spans="1:26" ht="15">
      <c r="A1" s="7" t="s">
        <v>60</v>
      </c>
      <c r="B1" s="7" t="s">
        <v>1019</v>
      </c>
      <c r="C1" s="7" t="s">
        <v>1020</v>
      </c>
      <c r="D1" s="7" t="s">
        <v>1021</v>
      </c>
      <c r="E1" s="7" t="s">
        <v>1022</v>
      </c>
      <c r="F1" s="7" t="s">
        <v>54</v>
      </c>
      <c r="G1" s="7" t="s">
        <v>4</v>
      </c>
      <c r="H1" s="7" t="s">
        <v>1023</v>
      </c>
      <c r="I1" s="7" t="s">
        <v>65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2" t="s">
        <v>76</v>
      </c>
      <c r="B2" s="2" t="s">
        <v>1024</v>
      </c>
      <c r="C2" s="2" t="s">
        <v>1025</v>
      </c>
      <c r="D2" s="2" t="s">
        <v>1026</v>
      </c>
      <c r="E2" s="2" t="s">
        <v>1027</v>
      </c>
      <c r="F2" s="2" t="s">
        <v>899</v>
      </c>
      <c r="G2" s="2" t="s">
        <v>10</v>
      </c>
      <c r="H2" s="2">
        <f>COUNTIFS('01_Master_Checklist'!$M$2:$M$242,A2,'01_Master_Checklist'!$H$2:$H$242,"P0",'01_Master_Checklist'!$J$2:$J$242,"&lt;&gt;OK")</f>
        <v>48</v>
      </c>
      <c r="I2" s="2"/>
    </row>
    <row r="3" spans="1:26">
      <c r="A3" s="2" t="s">
        <v>191</v>
      </c>
      <c r="B3" s="2" t="s">
        <v>1028</v>
      </c>
      <c r="C3" s="2" t="s">
        <v>1029</v>
      </c>
      <c r="D3" s="2" t="s">
        <v>1030</v>
      </c>
      <c r="E3" s="2" t="s">
        <v>1031</v>
      </c>
      <c r="F3" s="2" t="s">
        <v>899</v>
      </c>
      <c r="G3" s="2" t="s">
        <v>10</v>
      </c>
      <c r="H3" s="2">
        <f>COUNTIFS('01_Master_Checklist'!$M$2:$M$242,A3,'01_Master_Checklist'!$H$2:$H$242,"P0",'01_Master_Checklist'!$J$2:$J$242,"&lt;&gt;OK")</f>
        <v>41</v>
      </c>
      <c r="I3" s="2"/>
    </row>
    <row r="4" spans="1:26">
      <c r="A4" s="2" t="s">
        <v>327</v>
      </c>
      <c r="B4" s="2" t="s">
        <v>1032</v>
      </c>
      <c r="C4" s="2" t="s">
        <v>1033</v>
      </c>
      <c r="D4" s="2" t="s">
        <v>1034</v>
      </c>
      <c r="E4" s="2" t="s">
        <v>1035</v>
      </c>
      <c r="F4" s="2" t="s">
        <v>899</v>
      </c>
      <c r="G4" s="2" t="s">
        <v>10</v>
      </c>
      <c r="H4" s="2">
        <f>COUNTIFS('01_Master_Checklist'!$M$2:$M$242,A4,'01_Master_Checklist'!$H$2:$H$242,"P0",'01_Master_Checklist'!$J$2:$J$242,"&lt;&gt;OK")</f>
        <v>38</v>
      </c>
      <c r="I4" s="2"/>
    </row>
    <row r="5" spans="1:26">
      <c r="A5" s="2" t="s">
        <v>709</v>
      </c>
      <c r="B5" s="2" t="s">
        <v>1036</v>
      </c>
      <c r="C5" s="2" t="s">
        <v>1037</v>
      </c>
      <c r="D5" s="2" t="s">
        <v>1038</v>
      </c>
      <c r="E5" s="2" t="s">
        <v>1039</v>
      </c>
      <c r="F5" s="2" t="s">
        <v>922</v>
      </c>
      <c r="G5" s="2" t="s">
        <v>10</v>
      </c>
      <c r="H5" s="2">
        <f>COUNTIFS('01_Master_Checklist'!$M$2:$M$242,A5,'01_Master_Checklist'!$H$2:$H$242,"P0",'01_Master_Checklist'!$J$2:$J$242,"&lt;&gt;OK")</f>
        <v>17</v>
      </c>
      <c r="I5" s="2"/>
    </row>
    <row r="6" spans="1:26">
      <c r="A6" s="2" t="s">
        <v>771</v>
      </c>
      <c r="B6" s="2" t="s">
        <v>1040</v>
      </c>
      <c r="C6" s="2" t="s">
        <v>1041</v>
      </c>
      <c r="D6" s="2" t="s">
        <v>1042</v>
      </c>
      <c r="E6" s="2" t="s">
        <v>1043</v>
      </c>
      <c r="F6" s="2" t="s">
        <v>934</v>
      </c>
      <c r="G6" s="2" t="s">
        <v>10</v>
      </c>
      <c r="H6" s="2">
        <f>COUNTIFS('01_Master_Checklist'!$M$2:$M$242,A6,'01_Master_Checklist'!$H$2:$H$242,"P0",'01_Master_Checklist'!$J$2:$J$242,"&lt;&gt;OK")</f>
        <v>20</v>
      </c>
      <c r="I6" s="2"/>
    </row>
    <row r="7" spans="1:26">
      <c r="A7" s="2" t="s">
        <v>518</v>
      </c>
      <c r="B7" s="2" t="s">
        <v>1044</v>
      </c>
      <c r="C7" s="2" t="s">
        <v>1045</v>
      </c>
      <c r="D7" s="2" t="s">
        <v>1046</v>
      </c>
      <c r="E7" s="2" t="s">
        <v>1047</v>
      </c>
      <c r="F7" s="2" t="s">
        <v>930</v>
      </c>
      <c r="G7" s="2" t="s">
        <v>10</v>
      </c>
      <c r="H7" s="2">
        <f>COUNTIFS('01_Master_Checklist'!$M$2:$M$242,A7,'01_Master_Checklist'!$H$2:$H$242,"P0",'01_Master_Checklist'!$J$2:$J$242,"&lt;&gt;OK")</f>
        <v>0</v>
      </c>
      <c r="I7" s="2"/>
    </row>
  </sheetData>
  <phoneticPr fontId="6"/>
  <dataValidations count="1">
    <dataValidation type="list" sqref="G2:G7" xr:uid="{00000000-0002-0000-0400-000000000000}">
      <formula1>"대기,진행중,검토중,차단,OK,보류,N/A"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6"/>
  <sheetViews>
    <sheetView workbookViewId="0"/>
  </sheetViews>
  <sheetFormatPr defaultRowHeight="14.25"/>
  <cols>
    <col min="1" max="1" width="18" customWidth="1"/>
    <col min="3" max="3" width="18" customWidth="1"/>
    <col min="5" max="5" width="18" customWidth="1"/>
    <col min="7" max="7" width="18" customWidth="1"/>
    <col min="9" max="9" width="18" customWidth="1"/>
    <col min="11" max="11" width="18" customWidth="1"/>
    <col min="13" max="13" width="18" customWidth="1"/>
  </cols>
  <sheetData>
    <row r="1" spans="1:26" ht="15">
      <c r="A1" s="7" t="s">
        <v>4</v>
      </c>
      <c r="B1" s="6"/>
      <c r="C1" s="7" t="s">
        <v>56</v>
      </c>
      <c r="D1" s="6"/>
      <c r="E1" s="7" t="s">
        <v>57</v>
      </c>
      <c r="F1" s="6"/>
      <c r="G1" s="7" t="s">
        <v>55</v>
      </c>
      <c r="H1" s="6"/>
      <c r="I1" s="7" t="s">
        <v>54</v>
      </c>
      <c r="J1" s="6"/>
      <c r="K1" s="7" t="s">
        <v>58</v>
      </c>
      <c r="L1" s="6"/>
      <c r="M1" s="7" t="s">
        <v>59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t="s">
        <v>10</v>
      </c>
      <c r="C2" t="s">
        <v>72</v>
      </c>
      <c r="E2" t="s">
        <v>73</v>
      </c>
      <c r="G2" t="s">
        <v>71</v>
      </c>
      <c r="I2" t="s">
        <v>70</v>
      </c>
      <c r="K2" t="s">
        <v>128</v>
      </c>
      <c r="M2" t="s">
        <v>75</v>
      </c>
    </row>
    <row r="3" spans="1:26">
      <c r="A3" t="s">
        <v>14</v>
      </c>
      <c r="C3" t="s">
        <v>404</v>
      </c>
      <c r="E3" t="s">
        <v>405</v>
      </c>
      <c r="G3" t="s">
        <v>127</v>
      </c>
      <c r="I3" t="s">
        <v>906</v>
      </c>
      <c r="K3" t="s">
        <v>74</v>
      </c>
      <c r="M3" t="s">
        <v>1048</v>
      </c>
    </row>
    <row r="4" spans="1:26">
      <c r="A4" t="s">
        <v>17</v>
      </c>
      <c r="C4" t="s">
        <v>839</v>
      </c>
      <c r="E4" t="s">
        <v>1049</v>
      </c>
      <c r="G4" t="s">
        <v>189</v>
      </c>
      <c r="I4" t="s">
        <v>910</v>
      </c>
      <c r="K4" t="s">
        <v>718</v>
      </c>
      <c r="M4" t="s">
        <v>1050</v>
      </c>
    </row>
    <row r="5" spans="1:26">
      <c r="A5" t="s">
        <v>19</v>
      </c>
      <c r="C5" t="s">
        <v>1051</v>
      </c>
      <c r="G5" t="s">
        <v>568</v>
      </c>
      <c r="I5" t="s">
        <v>903</v>
      </c>
      <c r="K5" t="s">
        <v>569</v>
      </c>
      <c r="M5" t="s">
        <v>1052</v>
      </c>
    </row>
    <row r="6" spans="1:26">
      <c r="A6" t="s">
        <v>12</v>
      </c>
      <c r="G6" t="s">
        <v>666</v>
      </c>
      <c r="I6" t="s">
        <v>914</v>
      </c>
      <c r="K6" t="s">
        <v>633</v>
      </c>
      <c r="M6" t="s">
        <v>190</v>
      </c>
    </row>
    <row r="7" spans="1:26">
      <c r="A7" t="s">
        <v>27</v>
      </c>
      <c r="G7" t="s">
        <v>677</v>
      </c>
      <c r="I7" t="s">
        <v>1053</v>
      </c>
      <c r="K7" t="s">
        <v>643</v>
      </c>
      <c r="M7" t="s">
        <v>517</v>
      </c>
    </row>
    <row r="8" spans="1:26">
      <c r="A8" t="s">
        <v>31</v>
      </c>
      <c r="G8" t="s">
        <v>687</v>
      </c>
      <c r="I8" t="s">
        <v>1054</v>
      </c>
      <c r="K8" t="s">
        <v>708</v>
      </c>
      <c r="M8" t="s">
        <v>1055</v>
      </c>
    </row>
    <row r="9" spans="1:26">
      <c r="G9" t="s">
        <v>707</v>
      </c>
      <c r="I9" t="s">
        <v>991</v>
      </c>
      <c r="K9" t="s">
        <v>1056</v>
      </c>
      <c r="M9" t="s">
        <v>770</v>
      </c>
    </row>
    <row r="10" spans="1:26">
      <c r="G10" t="s">
        <v>718</v>
      </c>
      <c r="I10" t="s">
        <v>922</v>
      </c>
      <c r="K10" t="s">
        <v>769</v>
      </c>
    </row>
    <row r="11" spans="1:26">
      <c r="G11" t="s">
        <v>643</v>
      </c>
      <c r="I11" t="s">
        <v>918</v>
      </c>
      <c r="K11" t="s">
        <v>824</v>
      </c>
    </row>
    <row r="12" spans="1:26">
      <c r="G12" t="s">
        <v>874</v>
      </c>
      <c r="I12" t="s">
        <v>1057</v>
      </c>
    </row>
    <row r="13" spans="1:26">
      <c r="G13" t="s">
        <v>769</v>
      </c>
      <c r="I13" t="s">
        <v>930</v>
      </c>
    </row>
    <row r="14" spans="1:26">
      <c r="G14" t="s">
        <v>838</v>
      </c>
      <c r="I14" t="s">
        <v>899</v>
      </c>
    </row>
    <row r="15" spans="1:26">
      <c r="G15" t="s">
        <v>1058</v>
      </c>
      <c r="I15" t="s">
        <v>1059</v>
      </c>
    </row>
    <row r="16" spans="1:26">
      <c r="G16" t="s">
        <v>814</v>
      </c>
      <c r="I16" t="s">
        <v>934</v>
      </c>
    </row>
  </sheetData>
  <phoneticPr fontId="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00_Dashboard</vt:lpstr>
      <vt:lpstr>01_Master_Checklist</vt:lpstr>
      <vt:lpstr>02_Release_Gates</vt:lpstr>
      <vt:lpstr>03_Item_Balance</vt:lpstr>
      <vt:lpstr>04_Milestones</vt:lpstr>
      <vt:lpstr>99_Lists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イ ジュンハ</cp:lastModifiedBy>
  <dcterms:modified xsi:type="dcterms:W3CDTF">2026-07-08T01:13:06Z</dcterms:modified>
</cp:coreProperties>
</file>