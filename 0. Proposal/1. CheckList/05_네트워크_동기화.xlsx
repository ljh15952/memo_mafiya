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a97484ef1b84306" /></Relationships>
</file>

<file path=xl/workbook.xml><?xml version="1.0" encoding="utf-8"?>
<x:workbook xmlns:x="http://schemas.openxmlformats.org/spreadsheetml/2006/main">
  <x:sheets>
    <x:sheet xmlns:r="http://schemas.openxmlformats.org/officeDocument/2006/relationships" name="00_개요" sheetId="1" r:id="R9d421f7ceb5e408a"/>
    <x:sheet xmlns:r="http://schemas.openxmlformats.org/officeDocument/2006/relationships" name="01_백로그" sheetId="2" r:id="R2a006fae530f4c36"/>
    <x:sheet xmlns:r="http://schemas.openxmlformats.org/officeDocument/2006/relationships" name="02_권한_매트릭스" sheetId="3" r:id="R96d394d77b654feb"/>
    <x:sheet xmlns:r="http://schemas.openxmlformats.org/officeDocument/2006/relationships" name="03_메시지_카탈로그" sheetId="4" r:id="R0f60be61e53a4627"/>
    <x:sheet xmlns:r="http://schemas.openxmlformats.org/officeDocument/2006/relationships" name="04_네트워크_시험" sheetId="5" r:id="Recbfd60a42b34228"/>
    <x:sheet xmlns:r="http://schemas.openxmlformats.org/officeDocument/2006/relationships" name="80_QA_케이스" sheetId="6" r:id="Ra80b90b9b976468a"/>
    <x:sheet xmlns:r="http://schemas.openxmlformats.org/officeDocument/2006/relationships" name="90_리스크" sheetId="7" r:id="R0bff768375e341c5"/>
    <x:sheet xmlns:r="http://schemas.openxmlformats.org/officeDocument/2006/relationships" name="91_의사결정" sheetId="8" r:id="Reca21205b19d45d5"/>
    <x:sheet xmlns:r="http://schemas.openxmlformats.org/officeDocument/2006/relationships" name="99_목록" sheetId="9" r:id="Re3a24b2108824fb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4">
    <x:font>
      <x:sz val="11"/>
      <x:name val="Carlito"/>
    </x:font>
    <x:font>
      <x:b/>
      <x:sz val="16"/>
      <x:color rgb="FFFFFFFF"/>
      <x:name val="Carlito"/>
    </x:font>
    <x:font>
      <x:i/>
      <x:sz val="11"/>
      <x:color rgb="FF1F1F1F"/>
      <x:name val="Carlito"/>
    </x:font>
    <x:font>
      <x:b/>
      <x:sz val="11"/>
      <x:color rgb="FFFFFFFF"/>
      <x:name val="Carlito"/>
    </x:font>
  </x:fonts>
  <x:fills count="5">
    <x:fill>
      <x:patternFill patternType="none"/>
    </x:fill>
    <x:fill>
      <x:patternFill patternType="gray125"/>
    </x:fill>
    <x:fill>
      <x:patternFill patternType="solid">
        <x:fgColor rgb="FFC55A11"/>
      </x:patternFill>
    </x:fill>
    <x:fill>
      <x:patternFill patternType="solid">
        <x:fgColor rgb="FFD9EAF7"/>
      </x:patternFill>
    </x:fill>
    <x:fill>
      <x:patternFill patternType="solid">
        <x:fgColor rgb="FF17365D"/>
      </x:patternFill>
    </x:fill>
  </x:fills>
  <x:borders count="2">
    <x:border/>
    <x:border/>
  </x:borders>
  <x:cellStyleXfs count="1">
    <x:xf numFmtId="0" fontId="0" fillId="0" borderId="0"/>
  </x:cellStyleXfs>
  <x:cellXfs count="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3" fillId="4"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x:xf numFmtId="0" fontId="3" fillId="2" borderId="0" xfId="0" applyNumberFormat="1" applyFont="1" applyFill="1" applyBorder="1" applyAlignment="1">
      <x:alignment horizontal="center" vertical="top" wrapText="1"/>
    </x:xf>
    <x:xf numFmtId="201" fontId="0" fillId="0" borderId="0" xfId="0" applyNumberFormat="1" applyFont="1" applyFill="1" applyBorder="1"/>
    <x:xf numFmtId="0" fontId="0" fillId="0" borderId="0" xfId="0" applyNumberFormat="1" applyFont="1" applyFill="1" applyBorder="1" applyAlignment="1">
      <x:alignment horizontal="center"/>
    </x:xf>
    <x:xf numFmtId="201" fontId="0" fillId="0" borderId="0" xfId="0" applyNumberFormat="1" applyFont="1" applyFill="1" applyBorder="1" applyAlignment="1">
      <x:alignment horizontal="center"/>
    </x:xf>
    <x:xf numFmtId="0" fontId="0" fillId="0" borderId="0" xfId="0" applyNumberFormat="1" applyFont="1" applyFill="1" applyBorder="1" applyAlignment="1">
      <x:alignment horizontal="center" vertical="center"/>
    </x:xf>
    <x:xf numFmtId="201" fontId="0" fillId="0" borderId="0" xfId="0" applyNumberFormat="1" applyFont="1" applyFill="1" applyBorder="1" applyAlignment="1">
      <x:alignment horizontal="center" vertical="center"/>
    </x:xf>
  </x:cellXfs>
  <x:cellStyles count="1">
    <x:cellStyle name="Normal" xfId="0"/>
  </x:cellStyles>
  <x:dxfs count="36">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9C0006"/>
      </x:font>
      <x:fill>
        <x:patternFill>
          <x:bgColor rgb="FFFCE4D6"/>
        </x:patternFill>
      </x:fill>
    </x:dxf>
    <x:dxf>
      <x:fill>
        <x:patternFill>
          <x:bgColor rgb="FFFFF2CC"/>
        </x:patternFill>
      </x:fill>
    </x:dxf>
    <x:dxf>
      <x:font>
        <x:b/>
        <x:color rgb="FF990000"/>
      </x:font>
      <x:fill>
        <x:patternFill>
          <x:bgColor rgb="FFF4CCCC"/>
        </x:patternFill>
      </x:fill>
    </x:dxf>
    <x:dxf>
      <x:fill>
        <x:patternFill>
          <x:bgColor rgb="FFFFF2CC"/>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9C0006"/>
      </x:font>
      <x:fill>
        <x:patternFill>
          <x:bgColor rgb="FFFCE4D6"/>
        </x:patternFill>
      </x:fill>
    </x:dxf>
    <x:dxf>
      <x:fill>
        <x:patternFill>
          <x:bgColor rgb="FFFFF2CC"/>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color rgb="FF374151"/>
      </x:font>
      <x:fill>
        <x:patternFill patternType="solid">
          <x:bgColor rgb="FFE5E7EB"/>
        </x:patternFill>
      </x:fill>
    </x:dxf>
    <x:dxf>
      <x:font>
        <x:color rgb="FF92400E"/>
      </x:font>
      <x:fill>
        <x:patternFill patternType="solid">
          <x:bgColor rgb="FFFEF3C7"/>
        </x:patternFill>
      </x:fill>
    </x:dxf>
    <x:dxf>
      <x:font>
        <x:color rgb="FF166534"/>
      </x:font>
      <x:fill>
        <x:patternFill patternType="solid">
          <x:bgColor rgb="FFDCFCE7"/>
        </x:patternFill>
      </x:fill>
    </x:dxf>
    <x:dxf>
      <x:font>
        <x:color rgb="FF374151"/>
      </x:font>
      <x:fill>
        <x:patternFill patternType="solid">
          <x:bgColor rgb="FFE5E7EB"/>
        </x:patternFill>
      </x:fill>
    </x:dxf>
    <x:dxf>
      <x:font>
        <x:color rgb="FF92400E"/>
      </x:font>
      <x:fill>
        <x:patternFill patternType="solid">
          <x:bgColor rgb="FFFEF3C7"/>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4cf112ddf4c4e88" /><Relationship Type="http://schemas.openxmlformats.org/officeDocument/2006/relationships/theme" Target="/xl/theme/theme1.xml" Id="R87d094a304df4fef" /><Relationship Type="http://schemas.openxmlformats.org/officeDocument/2006/relationships/sharedStrings" Target="/xl/sharedStrings.xml" Id="R2749ba531801489b" /><Relationship Type="http://schemas.openxmlformats.org/officeDocument/2006/relationships/worksheet" Target="/xl/worksheets/sheet1.xml" Id="R9d421f7ceb5e408a" /><Relationship Type="http://schemas.openxmlformats.org/officeDocument/2006/relationships/worksheet" Target="/xl/worksheets/sheet2.xml" Id="R2a006fae530f4c36" /><Relationship Type="http://schemas.openxmlformats.org/officeDocument/2006/relationships/worksheet" Target="/xl/worksheets/sheet3.xml" Id="R96d394d77b654feb" /><Relationship Type="http://schemas.openxmlformats.org/officeDocument/2006/relationships/worksheet" Target="/xl/worksheets/sheet4.xml" Id="R0f60be61e53a4627" /><Relationship Type="http://schemas.openxmlformats.org/officeDocument/2006/relationships/worksheet" Target="/xl/worksheets/sheet5.xml" Id="Recbfd60a42b34228" /><Relationship Type="http://schemas.openxmlformats.org/officeDocument/2006/relationships/worksheet" Target="/xl/worksheets/sheet6.xml" Id="Ra80b90b9b976468a" /><Relationship Type="http://schemas.openxmlformats.org/officeDocument/2006/relationships/worksheet" Target="/xl/worksheets/sheet7.xml" Id="R0bff768375e341c5" /><Relationship Type="http://schemas.openxmlformats.org/officeDocument/2006/relationships/worksheet" Target="/xl/worksheets/sheet8.xml" Id="Reca21205b19d45d5" /><Relationship Type="http://schemas.openxmlformats.org/officeDocument/2006/relationships/worksheet" Target="/xl/worksheets/sheet9.xml" Id="Re3a24b2108824fba" /></Relationships>
</file>

<file path=xl/drawings/_rels/drawing1.xml.rels>&#65279;<?xml version="1.0" encoding="utf-8"?><Relationships xmlns="http://schemas.openxmlformats.org/package/2006/relationships"><Relationship Type="http://schemas.openxmlformats.org/officeDocument/2006/relationships/chart" Target="/xl/drawings/charts/chart1.xml" Id="Rc7859a18562c4b5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작업 상태 분포</a:t>
            </a:r>
          </a:p>
        </c:rich>
      </c:tx>
      <c:overlay val="0"/>
    </c:title>
    <c:autoTitleDeleted val="0"/>
    <c:plotArea>
      <c:layout/>
      <c:barChart>
        <c:barDir val="col"/>
        <c:varyColors val="0"/>
        <c:ser>
          <c:idx val="0"/>
          <c:order val="0"/>
          <c:tx>
            <c:v>건수</c:v>
          </c:tx>
          <c:cat>
            <c:strRef>
              <c:f>'00_개요'!$E$5:$E$12</c:f>
              <c:strCache>
                <c:ptCount val="0"/>
              </c:strCache>
            </c:strRef>
          </c:cat>
          <c:val>
            <c:numRef>
              <c:f>'00_개요'!$F$5:$F$12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7859a18562c4b52"/>
        </a:graphicData>
      </a:graphic>
    </xdr:graphicFrame>
    <xdr:clientData/>
  </xdr:twoCellAnchor>
</xdr:wsDr>
</file>

<file path=xl/tables/table1.xml><?xml version="1.0" encoding="utf-8"?>
<x:table xmlns:x="http://schemas.openxmlformats.org/spreadsheetml/2006/main" id="8" name="BacklogTable" displayName="BacklogTable" ref="A1:AJ31" headerRowCount="1">
  <x:tableColumns count="36">
    <x:tableColumn id="1" name="ID"/>
    <x:tableColumn id="2" name="부문"/>
    <x:tableColumn id="3" name="에픽"/>
    <x:tableColumn id="4" name="기능 그룹"/>
    <x:tableColumn id="5" name="구현 항목"/>
    <x:tableColumn id="6" name="목적·설명"/>
    <x:tableColumn id="7" name="수용 기준"/>
    <x:tableColumn id="8" name="완료 정의"/>
    <x:tableColumn id="9" name="범위"/>
    <x:tableColumn id="10" name="우선순위"/>
    <x:tableColumn id="11" name="릴리스 게이트"/>
    <x:tableColumn id="12" name="게이트 분류"/>
    <x:tableColumn id="13" name="마일스톤"/>
    <x:tableColumn id="14" name="담당 부문"/>
    <x:tableColumn id="15" name="담당자명"/>
    <x:tableColumn id="16" name="검토자"/>
    <x:tableColumn id="17" name="대상 플랫폼"/>
    <x:tableColumn id="18" name="권한·실행 주체"/>
    <x:tableColumn id="19" name="영속화"/>
    <x:tableColumn id="20" name="예상 규모"/>
    <x:tableColumn id="21" name="상태"/>
    <x:tableColumn id="22" name="진행률"/>
    <x:tableColumn id="23" name="스프린트"/>
    <x:tableColumn id="24" name="기한"/>
    <x:tableColumn id="25" name="의존 ID"/>
    <x:tableColumn id="26" name="위험도"/>
    <x:tableColumn id="27" name="QA 유형"/>
    <x:tableColumn id="28" name="테스트 케이스 ID"/>
    <x:tableColumn id="29" name="외부 추적 도구 키"/>
    <x:tableColumn id="30" name="근거"/>
    <x:tableColumn id="31" name="증빙 링크"/>
    <x:tableColumn id="32" name="최종 갱신일"/>
    <x:tableColumn id="33" name="비고"/>
    <x:tableColumn id="34" name="시작일"/>
    <x:tableColumn id="35" name="종료일"/>
    <x:tableColumn id="36" name="진행상황"/>
  </x:tableColumns>
  <x:tableStyleInfo name="TableStyleMedium2" showRowStripes="1"/>
</x:table>
</file>

<file path=xl/tables/table2.xml><?xml version="1.0" encoding="utf-8"?>
<x:table xmlns:x="http://schemas.openxmlformats.org/spreadsheetml/2006/main" id="2" name="NETSpec1" displayName="NETSpec1" ref="A1:G9" headerRowCount="1">
  <x:tableColumns count="7">
    <x:tableColumn id="1" name="상태·데이터"/>
    <x:tableColumn id="2" name="권한 주체"/>
    <x:tableColumn id="3" name="클라이언트 수신 정보"/>
    <x:tableColumn id="4" name="클라이언트 요청"/>
    <x:tableColumn id="5" name="검증 항목"/>
    <x:tableColumn id="6" name="저장 범위"/>
    <x:tableColumn id="7" name="관련 ID"/>
  </x:tableColumns>
  <x:tableStyleInfo name="TableStyleMedium2" showRowStripes="1"/>
</x:table>
</file>

<file path=xl/tables/table3.xml><?xml version="1.0" encoding="utf-8"?>
<x:table xmlns:x="http://schemas.openxmlformats.org/spreadsheetml/2006/main" id="3" name="NETSpec2" displayName="NETSpec2" ref="A1:I8" headerRowCount="1">
  <x:tableColumns count="9">
    <x:tableColumn id="1" name="메시지"/>
    <x:tableColumn id="2" name="방향"/>
    <x:tableColumn id="3" name="전송 방식"/>
    <x:tableColumn id="4" name="빈도"/>
    <x:tableColumn id="5" name="페이로드 요약"/>
    <x:tableColumn id="6" name="서버 검증"/>
    <x:tableColumn id="7" name="공개 범위"/>
    <x:tableColumn id="8" name="멱등 키"/>
    <x:tableColumn id="9" name="관련 ID"/>
  </x:tableColumns>
  <x:tableStyleInfo name="TableStyleMedium2" showRowStripes="1"/>
</x:table>
</file>

<file path=xl/tables/table4.xml><?xml version="1.0" encoding="utf-8"?>
<x:table xmlns:x="http://schemas.openxmlformats.org/spreadsheetml/2006/main" id="4" name="NETSpec3" displayName="NETSpec3" ref="A1:H7" headerRowCount="1">
  <x:tableColumns count="8">
    <x:tableColumn id="1" name="프로파일"/>
    <x:tableColumn id="2" name="RTT(ms)"/>
    <x:tableColumn id="3" name="지터(ms)"/>
    <x:tableColumn id="4" name="손실률"/>
    <x:tableColumn id="5" name="대역폭"/>
    <x:tableColumn id="6" name="연결 끊김"/>
    <x:tableColumn id="7" name="기대 결과"/>
    <x:tableColumn id="8" name="용도"/>
  </x:tableColumns>
  <x:tableStyleInfo name="TableStyleMedium2" showRowStripes="1"/>
</x:table>
</file>

<file path=xl/tables/table5.xml><?xml version="1.0" encoding="utf-8"?>
<x:table xmlns:x="http://schemas.openxmlformats.org/spreadsheetml/2006/main" id="9" name="QACasesTable" displayName="QACasesTable" ref="A1:V59" headerRowCount="1">
  <x:tableColumns count="22">
    <x:tableColumn id="1" name="테스트 ID"/>
    <x:tableColumn id="2" name="관련 ID"/>
    <x:tableColumn id="3" name="부문"/>
    <x:tableColumn id="4" name="제목"/>
    <x:tableColumn id="5" name="목적"/>
    <x:tableColumn id="6" name="사전 조건"/>
    <x:tableColumn id="7" name="절차"/>
    <x:tableColumn id="8" name="예상 결과"/>
    <x:tableColumn id="9" name="QA 유형"/>
    <x:tableColumn id="10" name="우선순위"/>
    <x:tableColumn id="11" name="대상 플랫폼"/>
    <x:tableColumn id="12" name="자동화 후보"/>
    <x:tableColumn id="13" name="상태"/>
    <x:tableColumn id="14" name="담당자명"/>
    <x:tableColumn id="15" name="대상 빌드"/>
    <x:tableColumn id="16" name="증빙 링크"/>
    <x:tableColumn id="17" name="결함 키"/>
    <x:tableColumn id="18" name="최종 갱신일"/>
    <x:tableColumn id="19" name="비고"/>
    <x:tableColumn id="20" name="시작일"/>
    <x:tableColumn id="21" name="종료일"/>
    <x:tableColumn id="22" name="진행상황"/>
  </x:tableColumns>
  <x:tableStyleInfo name="TableStyleMedium2" showRowStripes="1"/>
</x:table>
</file>

<file path=xl/tables/table6.xml><?xml version="1.0" encoding="utf-8"?>
<x:table xmlns:x="http://schemas.openxmlformats.org/spreadsheetml/2006/main" id="6" name="RiskTable" displayName="RiskTable" ref="A1:P5" headerRowCount="1">
  <x:tableColumns count="16">
    <x:tableColumn id="1" name="위험 ID"/>
    <x:tableColumn id="2" name="부문"/>
    <x:tableColumn id="3" name="분류"/>
    <x:tableColumn id="4" name="위험 내용"/>
    <x:tableColumn id="5" name="발생 조건"/>
    <x:tableColumn id="6" name="영향"/>
    <x:tableColumn id="7" name="발생 확률"/>
    <x:tableColumn id="8" name="영향도"/>
    <x:tableColumn id="9" name="점수"/>
    <x:tableColumn id="10" name="담당자"/>
    <x:tableColumn id="11" name="예방 조치"/>
    <x:tableColumn id="12" name="비상 대책"/>
    <x:tableColumn id="13" name="상태"/>
    <x:tableColumn id="14" name="관련 ID"/>
    <x:tableColumn id="15" name="검토일"/>
    <x:tableColumn id="16" name="비고"/>
  </x:tableColumns>
  <x:tableStyleInfo name="TableStyleMedium2" showRowStripes="1"/>
</x:table>
</file>

<file path=xl/tables/table7.xml><?xml version="1.0" encoding="utf-8"?>
<x:table xmlns:x="http://schemas.openxmlformats.org/spreadsheetml/2006/main" id="7" name="DecisionTable" displayName="DecisionTable" ref="A1:M3" headerRowCount="1">
  <x:tableColumns count="13">
    <x:tableColumn id="1" name="의사결정 ID"/>
    <x:tableColumn id="2" name="부문"/>
    <x:tableColumn id="3" name="논점"/>
    <x:tableColumn id="4" name="결정 질문"/>
    <x:tableColumn id="5" name="선택지"/>
    <x:tableColumn id="6" name="권고안"/>
    <x:tableColumn id="7" name="최종 결정"/>
    <x:tableColumn id="8" name="상태"/>
    <x:tableColumn id="9" name="결정권자"/>
    <x:tableColumn id="10" name="기한"/>
    <x:tableColumn id="11" name="관련 ID"/>
    <x:tableColumn id="12" name="판단 근거·증빙"/>
    <x:tableColumn id="13" name="최종 갱신일"/>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ac62baf007547eb" /></Relationships>
</file>

<file path=xl/worksheets/_rels/sheet2.xml.rels>&#65279;<?xml version="1.0" encoding="utf-8"?><Relationships xmlns="http://schemas.openxmlformats.org/package/2006/relationships"><Relationship Type="http://schemas.openxmlformats.org/officeDocument/2006/relationships/table" Target="/xl/tables/table1.xml" Id="Rfa8c14f3766c4b24" /></Relationships>
</file>

<file path=xl/worksheets/_rels/sheet3.xml.rels>&#65279;<?xml version="1.0" encoding="utf-8"?><Relationships xmlns="http://schemas.openxmlformats.org/package/2006/relationships"><Relationship Type="http://schemas.openxmlformats.org/officeDocument/2006/relationships/table" Target="/xl/tables/table2.xml" Id="R83c311bec8214457" /></Relationships>
</file>

<file path=xl/worksheets/_rels/sheet4.xml.rels>&#65279;<?xml version="1.0" encoding="utf-8"?><Relationships xmlns="http://schemas.openxmlformats.org/package/2006/relationships"><Relationship Type="http://schemas.openxmlformats.org/officeDocument/2006/relationships/table" Target="/xl/tables/table3.xml" Id="R454b6261e0df44df" /></Relationships>
</file>

<file path=xl/worksheets/_rels/sheet5.xml.rels>&#65279;<?xml version="1.0" encoding="utf-8"?><Relationships xmlns="http://schemas.openxmlformats.org/package/2006/relationships"><Relationship Type="http://schemas.openxmlformats.org/officeDocument/2006/relationships/table" Target="/xl/tables/table4.xml" Id="Rb8e9a5fccfdb4db3" /></Relationships>
</file>

<file path=xl/worksheets/_rels/sheet6.xml.rels>&#65279;<?xml version="1.0" encoding="utf-8"?><Relationships xmlns="http://schemas.openxmlformats.org/package/2006/relationships"><Relationship Type="http://schemas.openxmlformats.org/officeDocument/2006/relationships/table" Target="/xl/tables/table5.xml" Id="R9e325a6e0cef4b80" /></Relationships>
</file>

<file path=xl/worksheets/_rels/sheet7.xml.rels>&#65279;<?xml version="1.0" encoding="utf-8"?><Relationships xmlns="http://schemas.openxmlformats.org/package/2006/relationships"><Relationship Type="http://schemas.openxmlformats.org/officeDocument/2006/relationships/table" Target="/xl/tables/table6.xml" Id="R784f267e30c4481c" /></Relationships>
</file>

<file path=xl/worksheets/_rels/sheet8.xml.rels>&#65279;<?xml version="1.0" encoding="utf-8"?><Relationships xmlns="http://schemas.openxmlformats.org/package/2006/relationships"><Relationship Type="http://schemas.openxmlformats.org/officeDocument/2006/relationships/table" Target="/xl/tables/table7.xml" Id="R3ffcc99e72cd42b3" /></Relationships>
</file>

<file path=xl/worksheets/sheet1.xml><?xml version="1.0" encoding="utf-8"?>
<x:worksheet xmlns:x="http://schemas.openxmlformats.org/spreadsheetml/2006/main">
  <x:sheetFormatPr defaultRowHeight="15"/>
  <x:cols>
    <x:col min="1" max="1" width="29" hidden="0" customWidth="1"/>
    <x:col min="2" max="2" width="23" hidden="0" customWidth="1"/>
    <x:col min="3" max="3" width="34" hidden="0" customWidth="1"/>
    <x:col min="4" max="4" width="23" hidden="0" customWidth="1"/>
    <x:col min="5" max="5" width="25" hidden="0" customWidth="1"/>
    <x:col min="6" max="6" width="25" hidden="0" customWidth="1"/>
    <x:col min="7" max="7" width="25" hidden="0" customWidth="1"/>
    <x:col min="8" max="8" width="31" hidden="0" customWidth="1"/>
  </x:cols>
  <x:sheetData>
    <x:row r="1" ht="34" customHeight="1">
      <x:c r="A1" s="5" t="str">
        <x:v>네트워크 동기화·보안 구현 관리대장</x:v>
      </x:c>
      <x:c r="B1" s="5"/>
      <x:c r="C1" s="5"/>
      <x:c r="D1" s="5"/>
      <x:c r="E1" s="5"/>
      <x:c r="F1" s="5"/>
      <x:c r="G1" s="5"/>
      <x:c r="H1" s="5"/>
    </x:row>
    <x:row r="2" ht="28" customHeight="1">
      <x:c r="A2" s="13" t="str">
        <x:v>버전 2.0-ko / 갱신일 2026-07-10 / 담당 부문: 네트워크 엔지니어링</x:v>
      </x:c>
      <x:c r="B2" s="13"/>
      <x:c r="C2" s="13"/>
      <x:c r="D2" s="13"/>
      <x:c r="E2" s="13"/>
      <x:c r="F2" s="13"/>
      <x:c r="G2" s="13"/>
      <x:c r="H2" s="13"/>
    </x:row>
    <x:row r="3">
      <x:c r="A3"/>
      <x:c r="B3"/>
      <x:c r="C3"/>
      <x:c r="D3"/>
      <x:c r="E3"/>
      <x:c r="F3"/>
      <x:c r="G3"/>
      <x:c r="H3"/>
    </x:row>
    <x:row r="4">
      <x:c r="A4" s="26" t="str">
        <x:v>핵심 지표</x:v>
      </x:c>
      <x:c r="B4" s="26" t="str">
        <x:v>값</x:v>
      </x:c>
      <x:c r="C4" s="26" t="str">
        <x:v>판정·설명</x:v>
      </x:c>
      <x:c r="D4" s="26"/>
      <x:c r="E4" s="26" t="str">
        <x:v>상태</x:v>
      </x:c>
      <x:c r="F4" s="26" t="str">
        <x:v>건수</x:v>
      </x:c>
      <x:c r="G4" s="26" t="str">
        <x:v>비율</x:v>
      </x:c>
      <x:c r="H4" s="26"/>
    </x:row>
    <x:row r="5">
      <x:c r="A5" s="27" t="str">
        <x:v>전체 작업</x:v>
      </x:c>
      <x:c r="B5" s="27" t="n">
        <x:f>COUNTA('01_백로그'!A2:A31)</x:f>
        <x:v>30</x:v>
      </x:c>
      <x:c r="C5" s="27" t="str">
        <x:v>백로그 전체 수</x:v>
      </x:c>
      <x:c r="D5" s="27"/>
      <x:c r="E5" s="27" t="str">
        <x:v>미착수</x:v>
      </x:c>
      <x:c r="F5" s="27" t="n">
        <x:f>COUNTIF('01_백로그'!U2:U31,E5)</x:f>
        <x:v>30</x:v>
      </x:c>
      <x:c r="G5" s="28" t="n">
        <x:f>IFERROR(F5/$B$5,0)</x:f>
        <x:v>1</x:v>
      </x:c>
      <x:c r="H5" s="27"/>
    </x:row>
    <x:row r="6">
      <x:c r="A6" s="27" t="str">
        <x:v>MVP 작업</x:v>
      </x:c>
      <x:c r="B6" s="27" t="n">
        <x:f>COUNTIF('01_백로그'!I2:I31,"MVP")</x:f>
        <x:v>18</x:v>
      </x:c>
      <x:c r="C6" s="27" t="str">
        <x:v>MVP 범위</x:v>
      </x:c>
      <x:c r="D6" s="27"/>
      <x:c r="E6" s="27" t="str">
        <x:v>사양 확인 중</x:v>
      </x:c>
      <x:c r="F6" s="27" t="n">
        <x:f>COUNTIF('01_백로그'!U2:U31,E6)</x:f>
        <x:v>0</x:v>
      </x:c>
      <x:c r="G6" s="28" t="n">
        <x:f>IFERROR(F6/$B$5,0)</x:f>
        <x:v>0</x:v>
      </x:c>
      <x:c r="H6" s="27"/>
    </x:row>
    <x:row r="7">
      <x:c r="A7" s="27" t="str">
        <x:v>P0 미완료</x:v>
      </x:c>
      <x:c r="B7" s="27" t="n">
        <x:f>COUNTIFS('01_백로그'!J2:J31,"P0",'01_백로그'!U2:U31,"&lt;&gt;완료")</x:f>
        <x:v>28</x:v>
      </x:c>
      <x:c r="C7" s="27" t="str">
        <x:v>P0이며 완료되지 않은 항목</x:v>
      </x:c>
      <x:c r="D7" s="27"/>
      <x:c r="E7" s="27" t="str">
        <x:v>구현 중</x:v>
      </x:c>
      <x:c r="F7" s="27" t="n">
        <x:f>COUNTIF('01_백로그'!U2:U31,E7)</x:f>
        <x:v>0</x:v>
      </x:c>
      <x:c r="G7" s="28" t="n">
        <x:f>IFERROR(F7/$B$5,0)</x:f>
        <x:v>0</x:v>
      </x:c>
      <x:c r="H7" s="27"/>
    </x:row>
    <x:row r="8">
      <x:c r="A8" s="27" t="str">
        <x:v>차단</x:v>
      </x:c>
      <x:c r="B8" s="27" t="n">
        <x:f>COUNTIF('01_백로그'!U2:U31,"차단")</x:f>
        <x:v>0</x:v>
      </x:c>
      <x:c r="C8" s="27" t="str">
        <x:v>현재 진행을 막는 항목</x:v>
      </x:c>
      <x:c r="D8" s="27"/>
      <x:c r="E8" s="27" t="str">
        <x:v>코드 리뷰</x:v>
      </x:c>
      <x:c r="F8" s="27" t="n">
        <x:f>COUNTIF('01_백로그'!U2:U31,E8)</x:f>
        <x:v>0</x:v>
      </x:c>
      <x:c r="G8" s="28" t="n">
        <x:f>IFERROR(F8/$B$5,0)</x:f>
        <x:v>0</x:v>
      </x:c>
      <x:c r="H8" s="27"/>
    </x:row>
    <x:row r="9">
      <x:c r="A9" s="27" t="str">
        <x:v>완료</x:v>
      </x:c>
      <x:c r="B9" s="27" t="n">
        <x:f>COUNTIF('01_백로그'!U2:U31,"완료")</x:f>
        <x:v>0</x:v>
      </x:c>
      <x:c r="C9" s="27" t="str">
        <x:v>완료 정의·QA·증빙 충족</x:v>
      </x:c>
      <x:c r="D9" s="27"/>
      <x:c r="E9" s="27" t="str">
        <x:v>QA 진행 중</x:v>
      </x:c>
      <x:c r="F9" s="27" t="n">
        <x:f>COUNTIF('01_백로그'!U2:U31,E9)</x:f>
        <x:v>0</x:v>
      </x:c>
      <x:c r="G9" s="28" t="n">
        <x:f>IFERROR(F9/$B$5,0)</x:f>
        <x:v>0</x:v>
      </x:c>
      <x:c r="H9" s="27"/>
    </x:row>
    <x:row r="10">
      <x:c r="A10" s="27" t="str">
        <x:v>평균 진행률</x:v>
      </x:c>
      <x:c r="B10" s="28" t="n">
        <x:f>IFERROR(AVERAGE('01_백로그'!V2:V31),0)</x:f>
        <x:v>0</x:v>
      </x:c>
      <x:c r="C10" s="27" t="str">
        <x:v>상태별 진행률 환산 평균</x:v>
      </x:c>
      <x:c r="D10" s="27"/>
      <x:c r="E10" s="27" t="str">
        <x:v>차단</x:v>
      </x:c>
      <x:c r="F10" s="27" t="n">
        <x:f>COUNTIF('01_백로그'!U2:U31,E10)</x:f>
        <x:v>0</x:v>
      </x:c>
      <x:c r="G10" s="28" t="n">
        <x:f>IFERROR(F10/$B$5,0)</x:f>
        <x:v>0</x:v>
      </x:c>
      <x:c r="H10" s="27"/>
    </x:row>
    <x:row r="11">
      <x:c r="A11" s="27" t="str">
        <x:v>QA 합격률</x:v>
      </x:c>
      <x:c r="B11" s="28" t="n">
        <x:f>IFERROR(COUNTIF('80_QA_케이스'!M2:M59,"합격")/COUNTIF('80_QA_케이스'!M2:M59,"&lt;&gt;대상 제외"),0)</x:f>
        <x:v>0</x:v>
      </x:c>
      <x:c r="C11" s="27" t="str">
        <x:v>대상 QA 중 통과 비율</x:v>
      </x:c>
      <x:c r="D11" s="27"/>
      <x:c r="E11" s="27" t="str">
        <x:v>완료</x:v>
      </x:c>
      <x:c r="F11" s="27" t="n">
        <x:f>COUNTIF('01_백로그'!U2:U31,E11)</x:f>
        <x:v>0</x:v>
      </x:c>
      <x:c r="G11" s="28" t="n">
        <x:f>IFERROR(F11/$B$5,0)</x:f>
        <x:v>0</x:v>
      </x:c>
      <x:c r="H11" s="27"/>
    </x:row>
    <x:row r="12">
      <x:c r="A12" s="27" t="str">
        <x:v>릴리스 판정</x:v>
      </x:c>
      <x:c r="B12" s="27" t="str">
        <x:f>IF(AND(B7=0,B8=0),"준비 완료","준비 안 됨")</x:f>
        <x:v>준비 안 됨</x:v>
      </x:c>
      <x:c r="C12" s="27" t="str">
        <x:v>P0·차단·게이트 종합 판단</x:v>
      </x:c>
      <x:c r="D12" s="27"/>
      <x:c r="E12" s="27" t="str">
        <x:v>보류</x:v>
      </x:c>
      <x:c r="F12" s="27" t="n">
        <x:f>COUNTIF('01_백로그'!U2:U31,E12)</x:f>
        <x:v>0</x:v>
      </x:c>
      <x:c r="G12" s="28" t="n">
        <x:f>IFERROR(F12/$B$5,0)</x:f>
        <x:v>0</x:v>
      </x:c>
      <x:c r="H12" s="27"/>
    </x:row>
    <x:row r="13">
      <x:c r="A13"/>
      <x:c r="B13"/>
      <x:c r="C13"/>
      <x:c r="D13"/>
      <x:c r="E13"/>
      <x:c r="F13"/>
      <x:c r="G13"/>
      <x:c r="H13"/>
    </x:row>
    <x:row r="14">
      <x:c r="A14" s="49" t="str">
        <x:v>운영 규칙</x:v>
      </x:c>
      <x:c r="B14" s="49" t="str">
        <x:v>갱신 주기</x:v>
      </x:c>
      <x:c r="C14" s="49" t="str">
        <x:v>기준 원본</x:v>
      </x:c>
      <x:c r="D14" s="49" t="str">
        <x:v>완료 판정</x:v>
      </x:c>
      <x:c r="E14" s="49" t="str">
        <x:v>의존관계</x:v>
      </x:c>
      <x:c r="F14" s="49" t="str">
        <x:v>변경관리</x:v>
      </x:c>
      <x:c r="G14" s="49" t="str">
        <x:v>증빙</x:v>
      </x:c>
      <x:c r="H14" s="49" t="str">
        <x:v>보안</x:v>
      </x:c>
    </x:row>
    <x:row r="15" ht="72" customHeight="1">
      <x:c r="A15" s="36" t="str">
        <x:v>ID는 변경하지 않음</x:v>
      </x:c>
      <x:c r="B15" s="36" t="str">
        <x:v>최소 주 2회</x:v>
      </x:c>
      <x:c r="C15" s="36" t="str">
        <x:v>외부 이슈 추적 도구 이전 후 해당 도구</x:v>
      </x:c>
      <x:c r="D15" s="36" t="str">
        <x:v>완료 정의 + QA + 증빙</x:v>
      </x:c>
      <x:c r="E15" s="36" t="str">
        <x:v>관련 ID 기재</x:v>
      </x:c>
      <x:c r="F15" s="36" t="str">
        <x:v>변경 요청·의사결정 경유</x:v>
      </x:c>
      <x:c r="G15" s="36" t="str">
        <x:v>URL·빌드·실행 기록</x:v>
      </x:c>
      <x:c r="H15" s="36" t="str">
        <x:v>비공개 정보 첨부 금지</x:v>
      </x:c>
    </x:row>
    <x:row r="16" ht="72" customHeight="1">
      <x:c r="A16" s="36" t="str">
        <x:v>담당자·기한은 스프린트 계획에서 확정</x:v>
      </x:c>
      <x:c r="B16" s="36" t="str">
        <x:v>게이트 전에는 매일</x:v>
      </x:c>
      <x:c r="C16" s="36" t="str">
        <x:v>Excel은 검토용 스냅샷</x:v>
      </x:c>
      <x:c r="D16" s="36" t="str">
        <x:v>미해결 P0·P1 없음</x:v>
      </x:c>
      <x:c r="E16" s="36" t="str">
        <x:v>부문 간 의존은 통합 파일에서 관리</x:v>
      </x:c>
      <x:c r="F16" s="36" t="str">
        <x:v>예외는 담당자·기한 필수</x:v>
      </x:c>
      <x:c r="G16" s="36" t="str">
        <x:v>로그는 상관관계 ID 포함</x:v>
      </x:c>
      <x:c r="H16" s="36" t="str">
        <x:v>역할·음성·개인정보 마스킹</x:v>
      </x:c>
    </x:row>
  </x:sheetData>
  <x:mergeCells>
    <x:mergeCell ref="A1:H1"/>
    <x:mergeCell ref="A2:H2"/>
  </x:mergeCells>
  <x:pageMargins left="0.7" right="0.7" top="0.75" bottom="0.75" header="0.3" footer="0.3"/>
  <x:drawing xmlns:r="http://schemas.openxmlformats.org/officeDocument/2006/relationships" r:id="R0ac62baf007547eb"/>
</x:worksheet>
</file>

<file path=xl/worksheets/sheet2.xml><?xml version="1.0" encoding="utf-8"?>
<x:worksheet xmlns:x="http://schemas.openxmlformats.org/spreadsheetml/2006/main">
  <x:sheetFormatPr defaultRowHeight="15"/>
  <x:cols>
    <x:col min="1" max="1" width="12" hidden="0" customWidth="1"/>
    <x:col min="2" max="2" width="24" hidden="0" customWidth="1"/>
    <x:col min="3" max="3" width="22" hidden="0" customWidth="1"/>
    <x:col min="4" max="4" width="22" hidden="0" customWidth="1"/>
    <x:col min="5" max="5" width="34" hidden="0" customWidth="1"/>
    <x:col min="6" max="6" width="44" hidden="0" customWidth="1"/>
    <x:col min="7" max="7" width="54" hidden="0" customWidth="1"/>
    <x:col min="8" max="8" width="48" hidden="0" customWidth="1"/>
    <x:col min="9" max="9" width="13" hidden="0" customWidth="1"/>
    <x:col min="10" max="10" width="10" hidden="0" customWidth="1"/>
    <x:col min="11" max="11" width="13" hidden="0" customWidth="1"/>
    <x:col min="12" max="12" width="18" hidden="0" customWidth="1"/>
    <x:col min="13" max="13" width="16" hidden="0" customWidth="1"/>
    <x:col min="14" max="14" width="22" hidden="0" customWidth="1"/>
    <x:col min="15" max="15" width="16" hidden="0" customWidth="1"/>
    <x:col min="16" max="16" width="16" hidden="0" customWidth="1"/>
    <x:col min="17" max="17" width="20" hidden="0" customWidth="1"/>
    <x:col min="18" max="18" width="20" hidden="0" customWidth="1"/>
    <x:col min="19" max="19" width="14" hidden="0" customWidth="1"/>
    <x:col min="20" max="20" width="10" hidden="0" customWidth="1"/>
    <x:col min="21" max="21" width="14" hidden="0" customWidth="1"/>
    <x:col min="22" max="22" width="10" hidden="0" customWidth="1"/>
    <x:col min="23" max="23" width="12" hidden="0" customWidth="1"/>
    <x:col min="24" max="24" width="13" hidden="0" customWidth="1"/>
    <x:col min="25" max="25" width="24" hidden="0" customWidth="1"/>
    <x:col min="26" max="26" width="12" hidden="0" customWidth="1"/>
    <x:col min="27" max="27" width="15" hidden="0" customWidth="1"/>
    <x:col min="28" max="28" width="24" hidden="0" customWidth="1"/>
    <x:col min="29" max="29" width="18" hidden="0" customWidth="1"/>
    <x:col min="30" max="30" width="30" hidden="0" customWidth="1"/>
    <x:col min="31" max="31" width="28" hidden="0" customWidth="1"/>
    <x:col min="32" max="32" width="13" hidden="0" customWidth="1"/>
    <x:col min="33" max="33" width="28" hidden="0" customWidth="1"/>
    <x:col min="34" max="34" width="12" hidden="0" customWidth="1"/>
    <x:col min="35" max="35" width="12" hidden="0" customWidth="1"/>
    <x:col min="36" max="36" width="12" hidden="0" customWidth="1"/>
  </x:cols>
  <x:sheetData>
    <x:row r="1" ht="30" customHeight="1">
      <x:c r="A1" s="40" t="str">
        <x:v>ID</x:v>
      </x:c>
      <x:c r="B1" s="40" t="str">
        <x:v>부문</x:v>
      </x:c>
      <x:c r="C1" s="40" t="str">
        <x:v>에픽</x:v>
      </x:c>
      <x:c r="D1" s="40" t="str">
        <x:v>기능 그룹</x:v>
      </x:c>
      <x:c r="E1" s="40" t="str">
        <x:v>구현 항목</x:v>
      </x:c>
      <x:c r="F1" s="40" t="str">
        <x:v>목적·설명</x:v>
      </x:c>
      <x:c r="G1" s="40" t="str">
        <x:v>수용 기준</x:v>
      </x:c>
      <x:c r="H1" s="40" t="str">
        <x:v>완료 정의</x:v>
      </x:c>
      <x:c r="I1" s="40" t="str">
        <x:v>범위</x:v>
      </x:c>
      <x:c r="J1" s="40" t="str">
        <x:v>우선순위</x:v>
      </x:c>
      <x:c r="K1" s="40" t="str">
        <x:v>릴리스 게이트</x:v>
      </x:c>
      <x:c r="L1" s="40" t="str">
        <x:v>게이트 분류</x:v>
      </x:c>
      <x:c r="M1" s="40" t="str">
        <x:v>마일스톤</x:v>
      </x:c>
      <x:c r="N1" s="40" t="str">
        <x:v>담당 부문</x:v>
      </x:c>
      <x:c r="O1" s="40" t="str">
        <x:v>담당자명</x:v>
      </x:c>
      <x:c r="P1" s="40" t="str">
        <x:v>검토자</x:v>
      </x:c>
      <x:c r="Q1" s="40" t="str">
        <x:v>대상 플랫폼</x:v>
      </x:c>
      <x:c r="R1" s="40" t="str">
        <x:v>권한·실행 주체</x:v>
      </x:c>
      <x:c r="S1" s="40" t="str">
        <x:v>영속화</x:v>
      </x:c>
      <x:c r="T1" s="40" t="str">
        <x:v>예상 규모</x:v>
      </x:c>
      <x:c r="U1" s="40" t="str">
        <x:v>상태</x:v>
      </x:c>
      <x:c r="V1" s="40" t="str">
        <x:v>진행률</x:v>
      </x:c>
      <x:c r="W1" s="40" t="str">
        <x:v>스프린트</x:v>
      </x:c>
      <x:c r="X1" s="40" t="str">
        <x:v>기한</x:v>
      </x:c>
      <x:c r="Y1" s="40" t="str">
        <x:v>의존 ID</x:v>
      </x:c>
      <x:c r="Z1" s="40" t="str">
        <x:v>위험도</x:v>
      </x:c>
      <x:c r="AA1" s="40" t="str">
        <x:v>QA 유형</x:v>
      </x:c>
      <x:c r="AB1" s="40" t="str">
        <x:v>테스트 케이스 ID</x:v>
      </x:c>
      <x:c r="AC1" s="40" t="str">
        <x:v>외부 추적 도구 키</x:v>
      </x:c>
      <x:c r="AD1" s="40" t="str">
        <x:v>근거</x:v>
      </x:c>
      <x:c r="AE1" s="40" t="str">
        <x:v>증빙 링크</x:v>
      </x:c>
      <x:c r="AF1" s="40" t="str">
        <x:v>최종 갱신일</x:v>
      </x:c>
      <x:c r="AG1" s="40" t="str">
        <x:v>비고</x:v>
      </x:c>
      <x:c r="AH1" s="53" t="str">
        <x:v>시작일</x:v>
      </x:c>
      <x:c r="AI1" s="53" t="str">
        <x:v>종료일</x:v>
      </x:c>
      <x:c r="AJ1" s="53" t="str">
        <x:v>진행상황</x:v>
      </x:c>
    </x:row>
    <x:row r="2" ht="42" customHeight="1">
      <x:c r="A2" s="36" t="str">
        <x:v>NET-001</x:v>
      </x:c>
      <x:c r="B2" s="36" t="str">
        <x:v>네트워크 동기화·보안</x:v>
      </x:c>
      <x:c r="C2" s="36" t="str">
        <x:v>네트워크 아키텍처</x:v>
      </x:c>
      <x:c r="D2" s="36" t="str">
        <x:v>권한</x:v>
      </x:c>
      <x:c r="E2" s="36" t="str">
        <x:v>전용 서버 권한 모델</x:v>
      </x:c>
      <x:c r="F2" s="36" t="str">
        <x:v>게임 규칙, 운영 요구사항과 대상 플랫폼 제약을 충족하도록 전용 서버 권한 모델 기능을 구현하고 검증한다.</x:v>
      </x:c>
      <x:c r="G2" s="36" t="str">
        <x:v>역할, 규칙, 메모, 투표, 승패는 전용 서버를 기준 데이터로 삼고 클라이언트는 표시와 예측만 수행한다. P2P 예외는 두지 않는다.</x:v>
      </x:c>
      <x:c r="H2" s="36" t="str">
        <x:v>구현, 코드 리뷰, 사양 갱신, 대상 QA 케이스 실행, 로그·텔레메트리 확인과 관련 플랫폼 검증을 완료하고 미해결 P0·P1 결함이 없다.</x:v>
      </x:c>
      <x:c r="I2" s="36" t="str">
        <x:v>MVP</x:v>
      </x:c>
      <x:c r="J2" s="36" t="str">
        <x:v>P0</x:v>
      </x:c>
      <x:c r="K2" s="36" t="str">
        <x:v>필수</x:v>
      </x:c>
      <x:c r="L2" s="36" t="str">
        <x:v>네트워크 기반</x:v>
      </x:c>
      <x:c r="M2" s="36" t="str">
        <x:v>MVP</x:v>
      </x:c>
      <x:c r="N2" s="36" t="str">
        <x:v>네트워크 엔지니어링</x:v>
      </x:c>
      <x:c r="O2" s="36" t="str">
        <x:v>미정</x:v>
      </x:c>
      <x:c r="P2" s="36" t="str">
        <x:v>미정</x:v>
      </x:c>
      <x:c r="Q2" s="36" t="str">
        <x:v>서버</x:v>
      </x:c>
      <x:c r="R2" s="36" t="str">
        <x:v>서버 권한</x:v>
      </x:c>
      <x:c r="S2" s="36" t="str">
        <x:v>세션</x:v>
      </x:c>
      <x:c r="T2" s="36" t="str">
        <x:v>XL</x:v>
      </x:c>
      <x:c r="U2" s="36" t="str">
        <x:v>미착수</x:v>
      </x:c>
      <x:c r="V2" s="46" t="n">
        <x:f>IF(U2="완료",1,IF(U2="QA 진행 중",0.8,IF(U2="코드 리뷰",0.65,IF(U2="구현 중",0.4,IF(U2="사양 확인 중",0.1,IF(U2="차단",0.4,0))))))</x:f>
        <x:v>0</x:v>
      </x:c>
      <x:c r="W2" s="36" t="str">
        <x:v>미정</x:v>
      </x:c>
      <x:c r="X2" s="44"/>
      <x:c r="Y2" s="36"/>
      <x:c r="Z2" s="36" t="str">
        <x:v>중간</x:v>
      </x:c>
      <x:c r="AA2" s="36" t="str">
        <x:v>보안</x:v>
      </x:c>
      <x:c r="AB2" s="36" t="str">
        <x:v>TC-NET-001-01, TC-NET-001-02</x:v>
      </x:c>
      <x:c r="AC2" s="36"/>
      <x:c r="AD2" s="36" t="str">
        <x:v>게임 기획서</x:v>
      </x:c>
      <x:c r="AE2" s="36"/>
      <x:c r="AF2" s="44" t="str">
        <x:v>2026-07-10</x:v>
      </x:c>
      <x:c r="AG2" s="36"/>
      <x:c r="AH2" s="54"/>
      <x:c r="AI2" s="54"/>
      <x:c r="AJ2" s="53" t="str">
        <x:v>착수 전</x:v>
      </x:c>
    </x:row>
    <x:row r="3" ht="42" customHeight="1">
      <x:c r="A3" s="36" t="str">
        <x:v>NET-002</x:v>
      </x:c>
      <x:c r="B3" s="36" t="str">
        <x:v>네트워크 동기화·보안</x:v>
      </x:c>
      <x:c r="C3" s="36" t="str">
        <x:v>네트워크 아키텍처</x:v>
      </x:c>
      <x:c r="D3" s="36" t="str">
        <x:v>프로토콜 버전</x:v>
      </x:c>
      <x:c r="E3" s="36" t="str">
        <x:v>프로토콜·메시지 스키마 버전 관리</x:v>
      </x:c>
      <x:c r="F3" s="36" t="str">
        <x:v>게임 규칙, 운영 요구사항과 대상 플랫폼 제약을 충족하도록 프로토콜·메시지 스키마 버전 관리 기능을 구현하고 검증한다.</x:v>
      </x:c>
      <x:c r="G3" s="36" t="str">
        <x:v>연결 시 프로토콜 버전과 호환 범위를 교환하고 필수 필드가 없거나 호환되지 않는 버전은 매치 참가 전에 거부한다.</x:v>
      </x:c>
      <x:c r="H3" s="36" t="str">
        <x:v>구현, 코드 리뷰, 사양 갱신, 대상 QA 케이스 실행, 로그·텔레메트리 확인과 관련 플랫폼 검증을 완료하고 미해결 P0·P1 결함이 없다.</x:v>
      </x:c>
      <x:c r="I3" s="36" t="str">
        <x:v>MVP</x:v>
      </x:c>
      <x:c r="J3" s="36" t="str">
        <x:v>P0</x:v>
      </x:c>
      <x:c r="K3" s="36" t="str">
        <x:v>필수</x:v>
      </x:c>
      <x:c r="L3" s="36" t="str">
        <x:v>호환성</x:v>
      </x:c>
      <x:c r="M3" s="36" t="str">
        <x:v>MVP</x:v>
      </x:c>
      <x:c r="N3" s="36" t="str">
        <x:v>네트워크 엔지니어링</x:v>
      </x:c>
      <x:c r="O3" s="36" t="str">
        <x:v>미정</x:v>
      </x:c>
      <x:c r="P3" s="36" t="str">
        <x:v>미정</x:v>
      </x:c>
      <x:c r="Q3" s="36" t="str">
        <x:v>전체</x:v>
      </x:c>
      <x:c r="R3" s="36" t="str">
        <x:v>서버 권한</x:v>
      </x:c>
      <x:c r="S3" s="36" t="str">
        <x:v>없음</x:v>
      </x:c>
      <x:c r="T3" s="36" t="str">
        <x:v>M</x:v>
      </x:c>
      <x:c r="U3" s="36" t="str">
        <x:v>미착수</x:v>
      </x:c>
      <x:c r="V3" s="46" t="n">
        <x:f>IF(U3="완료",1,IF(U3="QA 진행 중",0.8,IF(U3="코드 리뷰",0.65,IF(U3="구현 중",0.4,IF(U3="사양 확인 중",0.1,IF(U3="차단",0.4,0))))))</x:f>
        <x:v>0</x:v>
      </x:c>
      <x:c r="W3" s="36" t="str">
        <x:v>미정</x:v>
      </x:c>
      <x:c r="X3" s="44"/>
      <x:c r="Y3" s="36" t="str">
        <x:v>NET-001</x:v>
      </x:c>
      <x:c r="Z3" s="36" t="str">
        <x:v>중간</x:v>
      </x:c>
      <x:c r="AA3" s="36" t="str">
        <x:v>호환성</x:v>
      </x:c>
      <x:c r="AB3" s="36" t="str">
        <x:v>TC-NET-002-01, TC-NET-002-02</x:v>
      </x:c>
      <x:c r="AC3" s="36"/>
      <x:c r="AD3" s="36" t="str">
        <x:v>게임 기획서</x:v>
      </x:c>
      <x:c r="AE3" s="36"/>
      <x:c r="AF3" s="44" t="str">
        <x:v>2026-07-10</x:v>
      </x:c>
      <x:c r="AG3" s="36"/>
      <x:c r="AH3" s="54"/>
      <x:c r="AI3" s="54"/>
      <x:c r="AJ3" s="53" t="str">
        <x:v>착수 전</x:v>
      </x:c>
    </x:row>
    <x:row r="4" ht="42" customHeight="1">
      <x:c r="A4" s="36" t="str">
        <x:v>NET-003</x:v>
      </x:c>
      <x:c r="B4" s="36" t="str">
        <x:v>네트워크 동기화·보안</x:v>
      </x:c>
      <x:c r="C4" s="36" t="str">
        <x:v>네트워크 아키텍처</x:v>
      </x:c>
      <x:c r="D4" s="36" t="str">
        <x:v>틱 모델</x:v>
      </x:c>
      <x:c r="E4" s="36" t="str">
        <x:v>고정 틱·시뮬레이션 처리 순서</x:v>
      </x:c>
      <x:c r="F4" s="36" t="str">
        <x:v>게임 규칙, 운영 요구사항과 대상 플랫폼 제약을 충족하도록 고정 틱·시뮬레이션 처리 순서 기능을 구현하고 검증한다.</x:v>
      </x:c>
      <x:c r="G4" s="36" t="str">
        <x:v>서버 틱, 입력 처리, 상태 전환, 이벤트 확정 순서를 정의하고 같은 입력에서 결정론적인 메모 순서와 투표 결과를 얻는다.</x:v>
      </x:c>
      <x:c r="H4" s="36" t="str">
        <x:v>구현, 코드 리뷰, 사양 갱신, 대상 QA 케이스 실행, 로그·텔레메트리 확인과 관련 플랫폼 검증을 완료하고 미해결 P0·P1 결함이 없다.</x:v>
      </x:c>
      <x:c r="I4" s="36" t="str">
        <x:v>MVP</x:v>
      </x:c>
      <x:c r="J4" s="36" t="str">
        <x:v>P0</x:v>
      </x:c>
      <x:c r="K4" s="36" t="str">
        <x:v>필수</x:v>
      </x:c>
      <x:c r="L4" s="36" t="str">
        <x:v>네트워크 기반</x:v>
      </x:c>
      <x:c r="M4" s="36" t="str">
        <x:v>MVP</x:v>
      </x:c>
      <x:c r="N4" s="36" t="str">
        <x:v>네트워크 엔지니어링</x:v>
      </x:c>
      <x:c r="O4" s="36" t="str">
        <x:v>미정</x:v>
      </x:c>
      <x:c r="P4" s="36" t="str">
        <x:v>미정</x:v>
      </x:c>
      <x:c r="Q4" s="36" t="str">
        <x:v>서버</x:v>
      </x:c>
      <x:c r="R4" s="36" t="str">
        <x:v>서버 권한</x:v>
      </x:c>
      <x:c r="S4" s="36" t="str">
        <x:v>없음</x:v>
      </x:c>
      <x:c r="T4" s="36" t="str">
        <x:v>L</x:v>
      </x:c>
      <x:c r="U4" s="36" t="str">
        <x:v>미착수</x:v>
      </x:c>
      <x:c r="V4" s="46" t="n">
        <x:f>IF(U4="완료",1,IF(U4="QA 진행 중",0.8,IF(U4="코드 리뷰",0.65,IF(U4="구현 중",0.4,IF(U4="사양 확인 중",0.1,IF(U4="차단",0.4,0))))))</x:f>
        <x:v>0</x:v>
      </x:c>
      <x:c r="W4" s="36" t="str">
        <x:v>미정</x:v>
      </x:c>
      <x:c r="X4" s="44"/>
      <x:c r="Y4" s="36" t="str">
        <x:v>NET-001</x:v>
      </x:c>
      <x:c r="Z4" s="36" t="str">
        <x:v>중간</x:v>
      </x:c>
      <x:c r="AA4" s="36" t="str">
        <x:v>네트워크</x:v>
      </x:c>
      <x:c r="AB4" s="36" t="str">
        <x:v>TC-NET-003-01, TC-NET-003-02</x:v>
      </x:c>
      <x:c r="AC4" s="36"/>
      <x:c r="AD4" s="36" t="str">
        <x:v>게임 기획서</x:v>
      </x:c>
      <x:c r="AE4" s="36"/>
      <x:c r="AF4" s="44" t="str">
        <x:v>2026-07-10</x:v>
      </x:c>
      <x:c r="AG4" s="36"/>
      <x:c r="AH4" s="54"/>
      <x:c r="AI4" s="54"/>
      <x:c r="AJ4" s="53" t="str">
        <x:v>착수 전</x:v>
      </x:c>
    </x:row>
    <x:row r="5" ht="42" customHeight="1">
      <x:c r="A5" s="36" t="str">
        <x:v>NET-004</x:v>
      </x:c>
      <x:c r="B5" s="36" t="str">
        <x:v>네트워크 동기화·보안</x:v>
      </x:c>
      <x:c r="C5" s="36" t="str">
        <x:v>연결</x:v>
      </x:c>
      <x:c r="D5" s="36" t="str">
        <x:v>핸드셰이크</x:v>
      </x:c>
      <x:c r="E5" s="36" t="str">
        <x:v>연결 핸드셰이크·인증 토큰 검증</x:v>
      </x:c>
      <x:c r="F5" s="36" t="str">
        <x:v>게임 규칙, 운영 요구사항과 대상 플랫폼 제약을 충족하도록 연결 핸드셰이크·인증 토큰 검증 기능을 구현하고 검증한다.</x:v>
      </x:c>
      <x:c r="G5" s="36" t="str">
        <x:v>토큰의 만료, 서명, 대상, 세션 ID, 재사용 여부를 검증하고 성공하기 전에는 게임 상태나 비공개 정보를 전송하지 않는다.</x:v>
      </x:c>
      <x:c r="H5" s="36" t="str">
        <x:v>구현, 코드 리뷰, 사양 갱신, 대상 QA 케이스 실행, 로그·텔레메트리 확인과 관련 플랫폼 검증을 완료하고 미해결 P0·P1 결함이 없다.</x:v>
      </x:c>
      <x:c r="I5" s="36" t="str">
        <x:v>MVP</x:v>
      </x:c>
      <x:c r="J5" s="36" t="str">
        <x:v>P0</x:v>
      </x:c>
      <x:c r="K5" s="36" t="str">
        <x:v>필수</x:v>
      </x:c>
      <x:c r="L5" s="36" t="str">
        <x:v>보안</x:v>
      </x:c>
      <x:c r="M5" s="36" t="str">
        <x:v>MVP</x:v>
      </x:c>
      <x:c r="N5" s="36" t="str">
        <x:v>네트워크 엔지니어링</x:v>
      </x:c>
      <x:c r="O5" s="36" t="str">
        <x:v>미정</x:v>
      </x:c>
      <x:c r="P5" s="36" t="str">
        <x:v>미정</x:v>
      </x:c>
      <x:c r="Q5" s="36" t="str">
        <x:v>서버</x:v>
      </x:c>
      <x:c r="R5" s="36" t="str">
        <x:v>서버 권한</x:v>
      </x:c>
      <x:c r="S5" s="36" t="str">
        <x:v>감사 로그</x:v>
      </x:c>
      <x:c r="T5" s="36" t="str">
        <x:v>L</x:v>
      </x:c>
      <x:c r="U5" s="36" t="str">
        <x:v>미착수</x:v>
      </x:c>
      <x:c r="V5" s="46" t="n">
        <x:f>IF(U5="완료",1,IF(U5="QA 진행 중",0.8,IF(U5="코드 리뷰",0.65,IF(U5="구현 중",0.4,IF(U5="사양 확인 중",0.1,IF(U5="차단",0.4,0))))))</x:f>
        <x:v>0</x:v>
      </x:c>
      <x:c r="W5" s="36" t="str">
        <x:v>미정</x:v>
      </x:c>
      <x:c r="X5" s="44"/>
      <x:c r="Y5" s="36" t="str">
        <x:v>ONL-002,BED-001</x:v>
      </x:c>
      <x:c r="Z5" s="36" t="str">
        <x:v>중간</x:v>
      </x:c>
      <x:c r="AA5" s="36" t="str">
        <x:v>보안</x:v>
      </x:c>
      <x:c r="AB5" s="36" t="str">
        <x:v>TC-NET-004-01, TC-NET-004-02</x:v>
      </x:c>
      <x:c r="AC5" s="36"/>
      <x:c r="AD5" s="36" t="str">
        <x:v>게임 기획서</x:v>
      </x:c>
      <x:c r="AE5" s="36"/>
      <x:c r="AF5" s="44" t="str">
        <x:v>2026-07-10</x:v>
      </x:c>
      <x:c r="AG5" s="36"/>
      <x:c r="AH5" s="54"/>
      <x:c r="AI5" s="54"/>
      <x:c r="AJ5" s="53" t="str">
        <x:v>착수 전</x:v>
      </x:c>
    </x:row>
    <x:row r="6" ht="42" customHeight="1">
      <x:c r="A6" s="36" t="str">
        <x:v>NET-005</x:v>
      </x:c>
      <x:c r="B6" s="36" t="str">
        <x:v>네트워크 동기화·보안</x:v>
      </x:c>
      <x:c r="C6" s="36" t="str">
        <x:v>연결</x:v>
      </x:c>
      <x:c r="D6" s="36" t="str">
        <x:v>네트워크 식별</x:v>
      </x:c>
      <x:c r="E6" s="36" t="str">
        <x:v>네트워크 객체 ID·플레이어 소유권</x:v>
      </x:c>
      <x:c r="F6" s="36" t="str">
        <x:v>게임 규칙, 운영 요구사항과 대상 플랫폼 제약을 충족하도록 네트워크 객체 ID·플레이어 소유권 기능을 구현하고 검증한다.</x:v>
      </x:c>
      <x:c r="G6" s="36" t="str">
        <x:v>플레이어, 캐릭터, 미니게임, 메모, 투표 ID가 세션 안에서 고유하고 연결 끊김·재접속 시 다른 플레이어에게 잘못 귀속되지 않는다.</x:v>
      </x:c>
      <x:c r="H6" s="36" t="str">
        <x:v>구현, 코드 리뷰, 사양 갱신, 대상 QA 케이스 실행, 로그·텔레메트리 확인과 관련 플랫폼 검증을 완료하고 미해결 P0·P1 결함이 없다.</x:v>
      </x:c>
      <x:c r="I6" s="36" t="str">
        <x:v>MVP</x:v>
      </x:c>
      <x:c r="J6" s="36" t="str">
        <x:v>P0</x:v>
      </x:c>
      <x:c r="K6" s="36" t="str">
        <x:v>필수</x:v>
      </x:c>
      <x:c r="L6" s="36" t="str">
        <x:v>데이터 무결성</x:v>
      </x:c>
      <x:c r="M6" s="36" t="str">
        <x:v>MVP</x:v>
      </x:c>
      <x:c r="N6" s="36" t="str">
        <x:v>네트워크 엔지니어링</x:v>
      </x:c>
      <x:c r="O6" s="36" t="str">
        <x:v>미정</x:v>
      </x:c>
      <x:c r="P6" s="36" t="str">
        <x:v>미정</x:v>
      </x:c>
      <x:c r="Q6" s="36" t="str">
        <x:v>전체</x:v>
      </x:c>
      <x:c r="R6" s="36" t="str">
        <x:v>서버 권한</x:v>
      </x:c>
      <x:c r="S6" s="36" t="str">
        <x:v>세션</x:v>
      </x:c>
      <x:c r="T6" s="36" t="str">
        <x:v>L</x:v>
      </x:c>
      <x:c r="U6" s="36" t="str">
        <x:v>미착수</x:v>
      </x:c>
      <x:c r="V6" s="46" t="n">
        <x:f>IF(U6="완료",1,IF(U6="QA 진행 중",0.8,IF(U6="코드 리뷰",0.65,IF(U6="구현 중",0.4,IF(U6="사양 확인 중",0.1,IF(U6="차단",0.4,0))))))</x:f>
        <x:v>0</x:v>
      </x:c>
      <x:c r="W6" s="36" t="str">
        <x:v>미정</x:v>
      </x:c>
      <x:c r="X6" s="44"/>
      <x:c r="Y6" s="36" t="str">
        <x:v>NET-004</x:v>
      </x:c>
      <x:c r="Z6" s="36" t="str">
        <x:v>중간</x:v>
      </x:c>
      <x:c r="AA6" s="36" t="str">
        <x:v>통합</x:v>
      </x:c>
      <x:c r="AB6" s="36" t="str">
        <x:v>TC-NET-005-01, TC-NET-005-02</x:v>
      </x:c>
      <x:c r="AC6" s="36"/>
      <x:c r="AD6" s="36" t="str">
        <x:v>게임 기획서</x:v>
      </x:c>
      <x:c r="AE6" s="36"/>
      <x:c r="AF6" s="44" t="str">
        <x:v>2026-07-10</x:v>
      </x:c>
      <x:c r="AG6" s="36"/>
      <x:c r="AH6" s="54"/>
      <x:c r="AI6" s="54"/>
      <x:c r="AJ6" s="53" t="str">
        <x:v>착수 전</x:v>
      </x:c>
    </x:row>
    <x:row r="7" ht="42" customHeight="1">
      <x:c r="A7" s="36" t="str">
        <x:v>NET-006</x:v>
      </x:c>
      <x:c r="B7" s="36" t="str">
        <x:v>네트워크 동기화·보안</x:v>
      </x:c>
      <x:c r="C7" s="36" t="str">
        <x:v>복제</x:v>
      </x:c>
      <x:c r="D7" s="36" t="str">
        <x:v>로비 상태</x:v>
      </x:c>
      <x:c r="E7" s="36" t="str">
        <x:v>로비·참가자·준비 상태 차분 동기화</x:v>
      </x:c>
      <x:c r="F7" s="36" t="str">
        <x:v>게임 규칙, 운영 요구사항과 대상 플랫폼 제약을 충족하도록 로비·참가자·준비 상태 차분 동기화 기능을 구현하고 검증한다.</x:v>
      </x:c>
      <x:c r="G7" s="36" t="str">
        <x:v>입장, 이탈, 준비, 색상, 호스트 권한의 변경에 순번을 부여하고 누락 시 스냅샷을 다시 요청해 복구한다.</x:v>
      </x:c>
      <x:c r="H7" s="36" t="str">
        <x:v>구현, 코드 리뷰, 사양 갱신, 대상 QA 케이스 실행, 로그·텔레메트리 확인과 관련 플랫폼 검증을 완료하고 미해결 P0·P1 결함이 없다.</x:v>
      </x:c>
      <x:c r="I7" s="36" t="str">
        <x:v>MVP</x:v>
      </x:c>
      <x:c r="J7" s="36" t="str">
        <x:v>P0</x:v>
      </x:c>
      <x:c r="K7" s="36" t="str">
        <x:v>필수</x:v>
      </x:c>
      <x:c r="L7" s="36" t="str">
        <x:v>동기화</x:v>
      </x:c>
      <x:c r="M7" s="36" t="str">
        <x:v>MVP</x:v>
      </x:c>
      <x:c r="N7" s="36" t="str">
        <x:v>네트워크 엔지니어링</x:v>
      </x:c>
      <x:c r="O7" s="36" t="str">
        <x:v>미정</x:v>
      </x:c>
      <x:c r="P7" s="36" t="str">
        <x:v>미정</x:v>
      </x:c>
      <x:c r="Q7" s="36" t="str">
        <x:v>전체</x:v>
      </x:c>
      <x:c r="R7" s="36" t="str">
        <x:v>서버 권한</x:v>
      </x:c>
      <x:c r="S7" s="36" t="str">
        <x:v>세션</x:v>
      </x:c>
      <x:c r="T7" s="36" t="str">
        <x:v>L</x:v>
      </x:c>
      <x:c r="U7" s="36" t="str">
        <x:v>미착수</x:v>
      </x:c>
      <x:c r="V7" s="46" t="n">
        <x:f>IF(U7="완료",1,IF(U7="QA 진행 중",0.8,IF(U7="코드 리뷰",0.65,IF(U7="구현 중",0.4,IF(U7="사양 확인 중",0.1,IF(U7="차단",0.4,0))))))</x:f>
        <x:v>0</x:v>
      </x:c>
      <x:c r="W7" s="36" t="str">
        <x:v>미정</x:v>
      </x:c>
      <x:c r="X7" s="44"/>
      <x:c r="Y7" s="36" t="str">
        <x:v>NET-005,ONL-007</x:v>
      </x:c>
      <x:c r="Z7" s="36" t="str">
        <x:v>중간</x:v>
      </x:c>
      <x:c r="AA7" s="36" t="str">
        <x:v>네트워크</x:v>
      </x:c>
      <x:c r="AB7" s="36" t="str">
        <x:v>TC-NET-006-01, TC-NET-006-02</x:v>
      </x:c>
      <x:c r="AC7" s="36"/>
      <x:c r="AD7" s="36" t="str">
        <x:v>게임 기획서</x:v>
      </x:c>
      <x:c r="AE7" s="36"/>
      <x:c r="AF7" s="44" t="str">
        <x:v>2026-07-10</x:v>
      </x:c>
      <x:c r="AG7" s="36"/>
      <x:c r="AH7" s="54"/>
      <x:c r="AI7" s="54"/>
      <x:c r="AJ7" s="53" t="str">
        <x:v>착수 전</x:v>
      </x:c>
    </x:row>
    <x:row r="8" ht="42" customHeight="1">
      <x:c r="A8" s="36" t="str">
        <x:v>NET-007</x:v>
      </x:c>
      <x:c r="B8" s="36" t="str">
        <x:v>네트워크 동기화·보안</x:v>
      </x:c>
      <x:c r="C8" s="36" t="str">
        <x:v>복제</x:v>
      </x:c>
      <x:c r="D8" s="36" t="str">
        <x:v>룸 설정</x:v>
      </x:c>
      <x:c r="E8" s="36" t="str">
        <x:v>확정 룸 설정 버전 동기화</x:v>
      </x:c>
      <x:c r="F8" s="36" t="str">
        <x:v>게임 규칙, 운영 요구사항과 대상 플랫폼 제약을 충족하도록 확정 룸 설정 버전 동기화 기능을 구현하고 검증한다.</x:v>
      </x:c>
      <x:c r="G8" s="36" t="str">
        <x:v>설정 변경에 단조 증가 버전을 부여하고 매치 시작 시 모든 참가자의 수신 확인을 받는다. 이전 버전의 차분은 적용하지 않는다.</x:v>
      </x:c>
      <x:c r="H8" s="36" t="str">
        <x:v>구현, 코드 리뷰, 사양 갱신, 대상 QA 케이스 실행, 로그·텔레메트리 확인과 관련 플랫폼 검증을 완료하고 미해결 P0·P1 결함이 없다.</x:v>
      </x:c>
      <x:c r="I8" s="36" t="str">
        <x:v>MVP</x:v>
      </x:c>
      <x:c r="J8" s="36" t="str">
        <x:v>P0</x:v>
      </x:c>
      <x:c r="K8" s="36" t="str">
        <x:v>필수</x:v>
      </x:c>
      <x:c r="L8" s="36" t="str">
        <x:v>동기화</x:v>
      </x:c>
      <x:c r="M8" s="36" t="str">
        <x:v>MVP</x:v>
      </x:c>
      <x:c r="N8" s="36" t="str">
        <x:v>네트워크 엔지니어링</x:v>
      </x:c>
      <x:c r="O8" s="36" t="str">
        <x:v>미정</x:v>
      </x:c>
      <x:c r="P8" s="36" t="str">
        <x:v>미정</x:v>
      </x:c>
      <x:c r="Q8" s="36" t="str">
        <x:v>전체</x:v>
      </x:c>
      <x:c r="R8" s="36" t="str">
        <x:v>서버 권한</x:v>
      </x:c>
      <x:c r="S8" s="36" t="str">
        <x:v>세션</x:v>
      </x:c>
      <x:c r="T8" s="36" t="str">
        <x:v>M</x:v>
      </x:c>
      <x:c r="U8" s="36" t="str">
        <x:v>미착수</x:v>
      </x:c>
      <x:c r="V8" s="46" t="n">
        <x:f>IF(U8="완료",1,IF(U8="QA 진행 중",0.8,IF(U8="코드 리뷰",0.65,IF(U8="구현 중",0.4,IF(U8="사양 확인 중",0.1,IF(U8="차단",0.4,0))))))</x:f>
        <x:v>0</x:v>
      </x:c>
      <x:c r="W8" s="36" t="str">
        <x:v>미정</x:v>
      </x:c>
      <x:c r="X8" s="44"/>
      <x:c r="Y8" s="36" t="str">
        <x:v>NET-006,SET-021</x:v>
      </x:c>
      <x:c r="Z8" s="36" t="str">
        <x:v>중간</x:v>
      </x:c>
      <x:c r="AA8" s="36" t="str">
        <x:v>네트워크</x:v>
      </x:c>
      <x:c r="AB8" s="36" t="str">
        <x:v>TC-NET-007-01, TC-NET-007-02</x:v>
      </x:c>
      <x:c r="AC8" s="36"/>
      <x:c r="AD8" s="36" t="str">
        <x:v>게임 기획서</x:v>
      </x:c>
      <x:c r="AE8" s="36"/>
      <x:c r="AF8" s="44" t="str">
        <x:v>2026-07-10</x:v>
      </x:c>
      <x:c r="AG8" s="36"/>
      <x:c r="AH8" s="54"/>
      <x:c r="AI8" s="54"/>
      <x:c r="AJ8" s="53" t="str">
        <x:v>착수 전</x:v>
      </x:c>
    </x:row>
    <x:row r="9" ht="42" customHeight="1">
      <x:c r="A9" s="36" t="str">
        <x:v>NET-008</x:v>
      </x:c>
      <x:c r="B9" s="36" t="str">
        <x:v>네트워크 동기화·보안</x:v>
      </x:c>
      <x:c r="C9" s="36" t="str">
        <x:v>시간 동기화</x:v>
      </x:c>
      <x:c r="D9" s="36" t="str">
        <x:v>서버 시계</x:v>
      </x:c>
      <x:c r="E9" s="36" t="str">
        <x:v>서버 시각 동기화·타이머 보정</x:v>
      </x:c>
      <x:c r="F9" s="36" t="str">
        <x:v>게임 규칙, 운영 요구사항과 대상 플랫폼 제약을 충족하도록 서버 시각 동기화·타이머 보정 기능을 구현하고 검증한다.</x:v>
      </x:c>
      <x:c r="G9" s="36" t="str">
        <x:v>왕복 지연을 고려해 시각 차이를 추정하고 페이즈 시작 시각과 마감 시각을 절대 시각으로 배포한다. UI 보정은 부드럽게 처리하되 서버 마감이 우선한다.</x:v>
      </x:c>
      <x:c r="H9" s="36" t="str">
        <x:v>구현, 코드 리뷰, 사양 갱신, 대상 QA 케이스 실행, 로그·텔레메트리 확인과 관련 플랫폼 검증을 완료하고 미해결 P0·P1 결함이 없다.</x:v>
      </x:c>
      <x:c r="I9" s="36" t="str">
        <x:v>MVP</x:v>
      </x:c>
      <x:c r="J9" s="36" t="str">
        <x:v>P0</x:v>
      </x:c>
      <x:c r="K9" s="36" t="str">
        <x:v>필수</x:v>
      </x:c>
      <x:c r="L9" s="36" t="str">
        <x:v>동기화</x:v>
      </x:c>
      <x:c r="M9" s="36" t="str">
        <x:v>MVP</x:v>
      </x:c>
      <x:c r="N9" s="36" t="str">
        <x:v>네트워크 엔지니어링</x:v>
      </x:c>
      <x:c r="O9" s="36" t="str">
        <x:v>미정</x:v>
      </x:c>
      <x:c r="P9" s="36" t="str">
        <x:v>미정</x:v>
      </x:c>
      <x:c r="Q9" s="36" t="str">
        <x:v>전체</x:v>
      </x:c>
      <x:c r="R9" s="36" t="str">
        <x:v>서버 권한</x:v>
      </x:c>
      <x:c r="S9" s="36" t="str">
        <x:v>없음</x:v>
      </x:c>
      <x:c r="T9" s="36" t="str">
        <x:v>L</x:v>
      </x:c>
      <x:c r="U9" s="36" t="str">
        <x:v>미착수</x:v>
      </x:c>
      <x:c r="V9" s="46" t="n">
        <x:f>IF(U9="완료",1,IF(U9="QA 진행 중",0.8,IF(U9="코드 리뷰",0.65,IF(U9="구현 중",0.4,IF(U9="사양 확인 중",0.1,IF(U9="차단",0.4,0))))))</x:f>
        <x:v>0</x:v>
      </x:c>
      <x:c r="W9" s="36" t="str">
        <x:v>미정</x:v>
      </x:c>
      <x:c r="X9" s="44"/>
      <x:c r="Y9" s="36" t="str">
        <x:v>NET-004</x:v>
      </x:c>
      <x:c r="Z9" s="36" t="str">
        <x:v>중간</x:v>
      </x:c>
      <x:c r="AA9" s="36" t="str">
        <x:v>네트워크</x:v>
      </x:c>
      <x:c r="AB9" s="36" t="str">
        <x:v>TC-NET-008-01, TC-NET-008-02</x:v>
      </x:c>
      <x:c r="AC9" s="36"/>
      <x:c r="AD9" s="36" t="str">
        <x:v>게임 기획서</x:v>
      </x:c>
      <x:c r="AE9" s="36"/>
      <x:c r="AF9" s="44" t="str">
        <x:v>2026-07-10</x:v>
      </x:c>
      <x:c r="AG9" s="36"/>
      <x:c r="AH9" s="54"/>
      <x:c r="AI9" s="54"/>
      <x:c r="AJ9" s="53" t="str">
        <x:v>착수 전</x:v>
      </x:c>
    </x:row>
    <x:row r="10" ht="42" customHeight="1">
      <x:c r="A10" s="36" t="str">
        <x:v>NET-009</x:v>
      </x:c>
      <x:c r="B10" s="36" t="str">
        <x:v>네트워크 동기화·보안</x:v>
      </x:c>
      <x:c r="C10" s="36" t="str">
        <x:v>복제</x:v>
      </x:c>
      <x:c r="D10" s="36" t="str">
        <x:v>이동</x:v>
      </x:c>
      <x:c r="E10" s="36" t="str">
        <x:v>이동 동기화·보간·텔레포트</x:v>
      </x:c>
      <x:c r="F10" s="36" t="str">
        <x:v>게임 규칙, 운영 요구사항과 대상 플랫폼 제약을 충족하도록 이동 동기화·보간·텔레포트 기능을 구현하고 검증한다.</x:v>
      </x:c>
      <x:c r="G10" s="36" t="str">
        <x:v>낮 이동을 대역폭 범위 안에서 부드럽게 보간하고 밤 집결은 명시적 텔레포트로 처리한다. 속도 변조와 범위 밖 좌표를 서버가 거부한다.</x:v>
      </x:c>
      <x:c r="H10" s="36" t="str">
        <x:v>구현, 코드 리뷰, 사양 갱신, 대상 QA 케이스 실행, 로그·텔레메트리 확인과 관련 플랫폼 검증을 완료하고 미해결 P0·P1 결함이 없다.</x:v>
      </x:c>
      <x:c r="I10" s="36" t="str">
        <x:v>MVP</x:v>
      </x:c>
      <x:c r="J10" s="36" t="str">
        <x:v>P0</x:v>
      </x:c>
      <x:c r="K10" s="36" t="str">
        <x:v>필수</x:v>
      </x:c>
      <x:c r="L10" s="36" t="str">
        <x:v>동기화</x:v>
      </x:c>
      <x:c r="M10" s="36" t="str">
        <x:v>MVP</x:v>
      </x:c>
      <x:c r="N10" s="36" t="str">
        <x:v>네트워크 엔지니어링</x:v>
      </x:c>
      <x:c r="O10" s="36" t="str">
        <x:v>미정</x:v>
      </x:c>
      <x:c r="P10" s="36" t="str">
        <x:v>미정</x:v>
      </x:c>
      <x:c r="Q10" s="36" t="str">
        <x:v>전체</x:v>
      </x:c>
      <x:c r="R10" s="36" t="str">
        <x:v>클라이언트 예측·서버 검증</x:v>
      </x:c>
      <x:c r="S10" s="36" t="str">
        <x:v>세션</x:v>
      </x:c>
      <x:c r="T10" s="36" t="str">
        <x:v>XL</x:v>
      </x:c>
      <x:c r="U10" s="36" t="str">
        <x:v>미착수</x:v>
      </x:c>
      <x:c r="V10" s="46" t="n">
        <x:f>IF(U10="완료",1,IF(U10="QA 진행 중",0.8,IF(U10="코드 리뷰",0.65,IF(U10="구현 중",0.4,IF(U10="사양 확인 중",0.1,IF(U10="차단",0.4,0))))))</x:f>
        <x:v>0</x:v>
      </x:c>
      <x:c r="W10" s="36" t="str">
        <x:v>미정</x:v>
      </x:c>
      <x:c r="X10" s="44"/>
      <x:c r="Y10" s="36" t="str">
        <x:v>NET-003,NET-005</x:v>
      </x:c>
      <x:c r="Z10" s="36" t="str">
        <x:v>중간</x:v>
      </x:c>
      <x:c r="AA10" s="36" t="str">
        <x:v>네트워크</x:v>
      </x:c>
      <x:c r="AB10" s="36" t="str">
        <x:v>TC-NET-009-01, TC-NET-009-02</x:v>
      </x:c>
      <x:c r="AC10" s="36"/>
      <x:c r="AD10" s="36" t="str">
        <x:v>게임 기획서</x:v>
      </x:c>
      <x:c r="AE10" s="36"/>
      <x:c r="AF10" s="44" t="str">
        <x:v>2026-07-10</x:v>
      </x:c>
      <x:c r="AG10" s="36"/>
      <x:c r="AH10" s="54"/>
      <x:c r="AI10" s="54"/>
      <x:c r="AJ10" s="53" t="str">
        <x:v>착수 전</x:v>
      </x:c>
    </x:row>
    <x:row r="11" ht="42" customHeight="1">
      <x:c r="A11" s="36" t="str">
        <x:v>NET-010</x:v>
      </x:c>
      <x:c r="B11" s="36" t="str">
        <x:v>네트워크 동기화·보안</x:v>
      </x:c>
      <x:c r="C11" s="36" t="str">
        <x:v>복제</x:v>
      </x:c>
      <x:c r="D11" s="36" t="str">
        <x:v>페이즈 이벤트</x:v>
      </x:c>
      <x:c r="E11" s="36" t="str">
        <x:v>페이즈 전환 이벤트 신뢰성 전송</x:v>
      </x:c>
      <x:c r="F11" s="36" t="str">
        <x:v>게임 규칙, 운영 요구사항과 대상 플랫폼 제약을 충족하도록 페이즈 전환 이벤트 신뢰성 전송 기능을 구현하고 검증한다.</x:v>
      </x:c>
      <x:c r="G11" s="36" t="str">
        <x:v>시작 시각, 상태 ID, 일차, 설정 버전을 신뢰성 채널로 전송하고 중복, 지연 도착, 재접속 상황에서도 한 번만 적용한다.</x:v>
      </x:c>
      <x:c r="H11" s="36" t="str">
        <x:v>구현, 코드 리뷰, 사양 갱신, 대상 QA 케이스 실행, 로그·텔레메트리 확인과 관련 플랫폼 검증을 완료하고 미해결 P0·P1 결함이 없다.</x:v>
      </x:c>
      <x:c r="I11" s="36" t="str">
        <x:v>MVP</x:v>
      </x:c>
      <x:c r="J11" s="36" t="str">
        <x:v>P0</x:v>
      </x:c>
      <x:c r="K11" s="36" t="str">
        <x:v>필수</x:v>
      </x:c>
      <x:c r="L11" s="36" t="str">
        <x:v>동기화</x:v>
      </x:c>
      <x:c r="M11" s="36" t="str">
        <x:v>MVP</x:v>
      </x:c>
      <x:c r="N11" s="36" t="str">
        <x:v>네트워크 엔지니어링</x:v>
      </x:c>
      <x:c r="O11" s="36" t="str">
        <x:v>미정</x:v>
      </x:c>
      <x:c r="P11" s="36" t="str">
        <x:v>미정</x:v>
      </x:c>
      <x:c r="Q11" s="36" t="str">
        <x:v>전체</x:v>
      </x:c>
      <x:c r="R11" s="36" t="str">
        <x:v>서버 권한</x:v>
      </x:c>
      <x:c r="S11" s="36" t="str">
        <x:v>매치</x:v>
      </x:c>
      <x:c r="T11" s="36" t="str">
        <x:v>M</x:v>
      </x:c>
      <x:c r="U11" s="36" t="str">
        <x:v>미착수</x:v>
      </x:c>
      <x:c r="V11" s="46" t="n">
        <x:f>IF(U11="완료",1,IF(U11="QA 진행 중",0.8,IF(U11="코드 리뷰",0.65,IF(U11="구현 중",0.4,IF(U11="사양 확인 중",0.1,IF(U11="차단",0.4,0))))))</x:f>
        <x:v>0</x:v>
      </x:c>
      <x:c r="W11" s="36" t="str">
        <x:v>미정</x:v>
      </x:c>
      <x:c r="X11" s="44"/>
      <x:c r="Y11" s="36" t="str">
        <x:v>NET-003,NET-008,IGM-001</x:v>
      </x:c>
      <x:c r="Z11" s="36" t="str">
        <x:v>중간</x:v>
      </x:c>
      <x:c r="AA11" s="36" t="str">
        <x:v>네트워크</x:v>
      </x:c>
      <x:c r="AB11" s="36" t="str">
        <x:v>TC-NET-010-01, TC-NET-010-02</x:v>
      </x:c>
      <x:c r="AC11" s="36"/>
      <x:c r="AD11" s="36" t="str">
        <x:v>게임 기획서</x:v>
      </x:c>
      <x:c r="AE11" s="36"/>
      <x:c r="AF11" s="44" t="str">
        <x:v>2026-07-10</x:v>
      </x:c>
      <x:c r="AG11" s="36"/>
      <x:c r="AH11" s="54"/>
      <x:c r="AI11" s="54"/>
      <x:c r="AJ11" s="53" t="str">
        <x:v>착수 전</x:v>
      </x:c>
    </x:row>
    <x:row r="12" ht="42" customHeight="1">
      <x:c r="A12" s="36" t="str">
        <x:v>NET-011</x:v>
      </x:c>
      <x:c r="B12" s="36" t="str">
        <x:v>네트워크 동기화·보안</x:v>
      </x:c>
      <x:c r="C12" s="36" t="str">
        <x:v>채널</x:v>
      </x:c>
      <x:c r="D12" s="36" t="str">
        <x:v>트래픽 등급</x:v>
      </x:c>
      <x:c r="E12" s="36" t="str">
        <x:v>신뢰성·비신뢰성 채널 설계</x:v>
      </x:c>
      <x:c r="F12" s="36" t="str">
        <x:v>게임 규칙, 운영 요구사항과 대상 플랫폼 제약을 충족하도록 신뢰성·비신뢰성 채널 설계 기능을 구현하고 검증한다.</x:v>
      </x:c>
      <x:c r="G12" s="36" t="str">
        <x:v>역할, 메모, 투표, 설정, 승패는 신뢰성 채널을 사용하고 이동·일시 연출은 적절한 비신뢰성 채널을 사용해 우선순위 역전을 방지한다.</x:v>
      </x:c>
      <x:c r="H12" s="36" t="str">
        <x:v>구현, 코드 리뷰, 사양 갱신, 대상 QA 케이스 실행, 로그·텔레메트리 확인과 관련 플랫폼 검증을 완료하고 미해결 P0·P1 결함이 없다.</x:v>
      </x:c>
      <x:c r="I12" s="36" t="str">
        <x:v>MVP</x:v>
      </x:c>
      <x:c r="J12" s="36" t="str">
        <x:v>P0</x:v>
      </x:c>
      <x:c r="K12" s="36" t="str">
        <x:v>필수</x:v>
      </x:c>
      <x:c r="L12" s="36" t="str">
        <x:v>성능</x:v>
      </x:c>
      <x:c r="M12" s="36" t="str">
        <x:v>MVP</x:v>
      </x:c>
      <x:c r="N12" s="36" t="str">
        <x:v>네트워크 엔지니어링</x:v>
      </x:c>
      <x:c r="O12" s="36" t="str">
        <x:v>미정</x:v>
      </x:c>
      <x:c r="P12" s="36" t="str">
        <x:v>미정</x:v>
      </x:c>
      <x:c r="Q12" s="36" t="str">
        <x:v>전체</x:v>
      </x:c>
      <x:c r="R12" s="36" t="str">
        <x:v>콘텐츠 데이터</x:v>
      </x:c>
      <x:c r="S12" s="36" t="str">
        <x:v>없음</x:v>
      </x:c>
      <x:c r="T12" s="36" t="str">
        <x:v>M</x:v>
      </x:c>
      <x:c r="U12" s="36" t="str">
        <x:v>미착수</x:v>
      </x:c>
      <x:c r="V12" s="46" t="n">
        <x:f>IF(U12="완료",1,IF(U12="QA 진행 중",0.8,IF(U12="코드 리뷰",0.65,IF(U12="구현 중",0.4,IF(U12="사양 확인 중",0.1,IF(U12="차단",0.4,0))))))</x:f>
        <x:v>0</x:v>
      </x:c>
      <x:c r="W12" s="36" t="str">
        <x:v>미정</x:v>
      </x:c>
      <x:c r="X12" s="44"/>
      <x:c r="Y12" s="36" t="str">
        <x:v>NET-001</x:v>
      </x:c>
      <x:c r="Z12" s="36" t="str">
        <x:v>중간</x:v>
      </x:c>
      <x:c r="AA12" s="36" t="str">
        <x:v>성능</x:v>
      </x:c>
      <x:c r="AB12" s="36" t="str">
        <x:v>TC-NET-011-01, TC-NET-011-02</x:v>
      </x:c>
      <x:c r="AC12" s="36"/>
      <x:c r="AD12" s="36" t="str">
        <x:v>게임 기획서</x:v>
      </x:c>
      <x:c r="AE12" s="36"/>
      <x:c r="AF12" s="44" t="str">
        <x:v>2026-07-10</x:v>
      </x:c>
      <x:c r="AG12" s="36"/>
      <x:c r="AH12" s="54"/>
      <x:c r="AI12" s="54"/>
      <x:c r="AJ12" s="53" t="str">
        <x:v>착수 전</x:v>
      </x:c>
    </x:row>
    <x:row r="13" ht="42" customHeight="1">
      <x:c r="A13" s="36" t="str">
        <x:v>NET-012</x:v>
      </x:c>
      <x:c r="B13" s="36" t="str">
        <x:v>네트워크 동기화·보안</x:v>
      </x:c>
      <x:c r="C13" s="36" t="str">
        <x:v>보안</x:v>
      </x:c>
      <x:c r="D13" s="36" t="str">
        <x:v>RPC 검증</x:v>
      </x:c>
      <x:c r="E13" s="36" t="str">
        <x:v>공통 RPC 권한·상태·요청률 검증</x:v>
      </x:c>
      <x:c r="F13" s="36" t="str">
        <x:v>게임 규칙, 운영 요구사항과 대상 플랫폼 제약을 충족하도록 공통 RPC 권한·상태·요청률 검증 기능을 구현하고 검증한다.</x:v>
      </x:c>
      <x:c r="G13" s="36" t="str">
        <x:v>메시지별로 송신자 ID, 역할, 페이즈, 대상, 횟수, 거리, 권한, 요청률을 검증하고 거부 사유와 감사 이벤트를 기록한다.</x:v>
      </x:c>
      <x:c r="H13" s="36" t="str">
        <x:v>구현, 코드 리뷰, 사양 갱신, 대상 QA 케이스 실행, 로그·텔레메트리 확인과 관련 플랫폼 검증을 완료하고 미해결 P0·P1 결함이 없다.</x:v>
      </x:c>
      <x:c r="I13" s="36" t="str">
        <x:v>MVP</x:v>
      </x:c>
      <x:c r="J13" s="36" t="str">
        <x:v>P0</x:v>
      </x:c>
      <x:c r="K13" s="36" t="str">
        <x:v>필수</x:v>
      </x:c>
      <x:c r="L13" s="36" t="str">
        <x:v>보안</x:v>
      </x:c>
      <x:c r="M13" s="36" t="str">
        <x:v>MVP</x:v>
      </x:c>
      <x:c r="N13" s="36" t="str">
        <x:v>네트워크 엔지니어링</x:v>
      </x:c>
      <x:c r="O13" s="36" t="str">
        <x:v>미정</x:v>
      </x:c>
      <x:c r="P13" s="36" t="str">
        <x:v>미정</x:v>
      </x:c>
      <x:c r="Q13" s="36" t="str">
        <x:v>서버</x:v>
      </x:c>
      <x:c r="R13" s="36" t="str">
        <x:v>서버 권한</x:v>
      </x:c>
      <x:c r="S13" s="36" t="str">
        <x:v>감사 로그</x:v>
      </x:c>
      <x:c r="T13" s="36" t="str">
        <x:v>XL</x:v>
      </x:c>
      <x:c r="U13" s="36" t="str">
        <x:v>미착수</x:v>
      </x:c>
      <x:c r="V13" s="46" t="n">
        <x:f>IF(U13="완료",1,IF(U13="QA 진행 중",0.8,IF(U13="코드 리뷰",0.65,IF(U13="구현 중",0.4,IF(U13="사양 확인 중",0.1,IF(U13="차단",0.4,0))))))</x:f>
        <x:v>0</x:v>
      </x:c>
      <x:c r="W13" s="36" t="str">
        <x:v>미정</x:v>
      </x:c>
      <x:c r="X13" s="44"/>
      <x:c r="Y13" s="36" t="str">
        <x:v>NET-004,NET-005</x:v>
      </x:c>
      <x:c r="Z13" s="36" t="str">
        <x:v>중간</x:v>
      </x:c>
      <x:c r="AA13" s="36" t="str">
        <x:v>보안</x:v>
      </x:c>
      <x:c r="AB13" s="36" t="str">
        <x:v>TC-NET-012-01, TC-NET-012-02</x:v>
      </x:c>
      <x:c r="AC13" s="36"/>
      <x:c r="AD13" s="36" t="str">
        <x:v>게임 기획서</x:v>
      </x:c>
      <x:c r="AE13" s="36"/>
      <x:c r="AF13" s="44" t="str">
        <x:v>2026-07-10</x:v>
      </x:c>
      <x:c r="AG13" s="36"/>
      <x:c r="AH13" s="54"/>
      <x:c r="AI13" s="54"/>
      <x:c r="AJ13" s="53" t="str">
        <x:v>착수 전</x:v>
      </x:c>
    </x:row>
    <x:row r="14" ht="42" customHeight="1">
      <x:c r="A14" s="36" t="str">
        <x:v>NET-013</x:v>
      </x:c>
      <x:c r="B14" s="36" t="str">
        <x:v>네트워크 동기화·보안</x:v>
      </x:c>
      <x:c r="C14" s="36" t="str">
        <x:v>게임 메시지</x:v>
      </x:c>
      <x:c r="D14" s="36" t="str">
        <x:v>메모 부착 요청</x:v>
      </x:c>
      <x:c r="E14" s="36" t="str">
        <x:v>메모 부착 요청 메시지</x:v>
      </x:c>
      <x:c r="F14" s="36" t="str">
        <x:v>게임 규칙, 운영 요구사항과 대상 플랫폼 제약을 충족하도록 메모 부착 요청 메시지 기능을 구현하고 검증한다.</x:v>
      </x:c>
      <x:c r="G14" s="36" t="str">
        <x:v>메모 ID, 대상 ID, 클라이언트 시작 틱을 수신하고 서버상의 위치, 등 뒤 각도, 페이즈, 소유권을 다시 검증한다.</x:v>
      </x:c>
      <x:c r="H14" s="36" t="str">
        <x:v>구현, 코드 리뷰, 사양 갱신, 대상 QA 케이스 실행, 로그·텔레메트리 확인과 관련 플랫폼 검증을 완료하고 미해결 P0·P1 결함이 없다.</x:v>
      </x:c>
      <x:c r="I14" s="36" t="str">
        <x:v>MVP</x:v>
      </x:c>
      <x:c r="J14" s="36" t="str">
        <x:v>P0</x:v>
      </x:c>
      <x:c r="K14" s="36" t="str">
        <x:v>필수</x:v>
      </x:c>
      <x:c r="L14" s="36" t="str">
        <x:v>메모</x:v>
      </x:c>
      <x:c r="M14" s="36" t="str">
        <x:v>MVP</x:v>
      </x:c>
      <x:c r="N14" s="36" t="str">
        <x:v>네트워크 엔지니어링</x:v>
      </x:c>
      <x:c r="O14" s="36" t="str">
        <x:v>미정</x:v>
      </x:c>
      <x:c r="P14" s="36" t="str">
        <x:v>미정</x:v>
      </x:c>
      <x:c r="Q14" s="36" t="str">
        <x:v>전체</x:v>
      </x:c>
      <x:c r="R14" s="36" t="str">
        <x:v>서버 권한</x:v>
      </x:c>
      <x:c r="S14" s="36" t="str">
        <x:v>매치</x:v>
      </x:c>
      <x:c r="T14" s="36" t="str">
        <x:v>L</x:v>
      </x:c>
      <x:c r="U14" s="36" t="str">
        <x:v>미착수</x:v>
      </x:c>
      <x:c r="V14" s="46" t="n">
        <x:f>IF(U14="완료",1,IF(U14="QA 진행 중",0.8,IF(U14="코드 리뷰",0.65,IF(U14="구현 중",0.4,IF(U14="사양 확인 중",0.1,IF(U14="차단",0.4,0))))))</x:f>
        <x:v>0</x:v>
      </x:c>
      <x:c r="W14" s="36" t="str">
        <x:v>미정</x:v>
      </x:c>
      <x:c r="X14" s="44"/>
      <x:c r="Y14" s="36" t="str">
        <x:v>NET-012,IGM-016</x:v>
      </x:c>
      <x:c r="Z14" s="36" t="str">
        <x:v>중간</x:v>
      </x:c>
      <x:c r="AA14" s="36" t="str">
        <x:v>보안</x:v>
      </x:c>
      <x:c r="AB14" s="36" t="str">
        <x:v>TC-NET-013-01, TC-NET-013-02</x:v>
      </x:c>
      <x:c r="AC14" s="36"/>
      <x:c r="AD14" s="36" t="str">
        <x:v>게임 기획서</x:v>
      </x:c>
      <x:c r="AE14" s="36"/>
      <x:c r="AF14" s="44" t="str">
        <x:v>2026-07-10</x:v>
      </x:c>
      <x:c r="AG14" s="36"/>
      <x:c r="AH14" s="54"/>
      <x:c r="AI14" s="54"/>
      <x:c r="AJ14" s="53" t="str">
        <x:v>착수 전</x:v>
      </x:c>
    </x:row>
    <x:row r="15" ht="42" customHeight="1">
      <x:c r="A15" s="36" t="str">
        <x:v>NET-014</x:v>
      </x:c>
      <x:c r="B15" s="36" t="str">
        <x:v>네트워크 동기화·보안</x:v>
      </x:c>
      <x:c r="C15" s="36" t="str">
        <x:v>게임 메시지</x:v>
      </x:c>
      <x:c r="D15" s="36" t="str">
        <x:v>메모 확정</x:v>
      </x:c>
      <x:c r="E15" s="36" t="str">
        <x:v>메모 확정·순서·멱등성</x:v>
      </x:c>
      <x:c r="F15" s="36" t="str">
        <x:v>게임 규칙, 운영 요구사항과 대상 플랫폼 제약을 충족하도록 메모 확정·순서·멱등성 기능을 구현하고 검증한다.</x:v>
      </x:c>
      <x:c r="G15" s="36" t="str">
        <x:v>고유 작업 ID로 재전송을 흡수하고 서버 순번을 부여해 대상 메모를 볼 수 있는 클라이언트에 공개 모델만 배포한다.</x:v>
      </x:c>
      <x:c r="H15" s="36" t="str">
        <x:v>구현, 코드 리뷰, 사양 갱신, 대상 QA 케이스 실행, 로그·텔레메트리 확인과 관련 플랫폼 검증을 완료하고 미해결 P0·P1 결함이 없다.</x:v>
      </x:c>
      <x:c r="I15" s="36" t="str">
        <x:v>MVP</x:v>
      </x:c>
      <x:c r="J15" s="36" t="str">
        <x:v>P0</x:v>
      </x:c>
      <x:c r="K15" s="36" t="str">
        <x:v>필수</x:v>
      </x:c>
      <x:c r="L15" s="36" t="str">
        <x:v>데이터 무결성</x:v>
      </x:c>
      <x:c r="M15" s="36" t="str">
        <x:v>MVP</x:v>
      </x:c>
      <x:c r="N15" s="36" t="str">
        <x:v>네트워크 엔지니어링</x:v>
      </x:c>
      <x:c r="O15" s="36" t="str">
        <x:v>미정</x:v>
      </x:c>
      <x:c r="P15" s="36" t="str">
        <x:v>미정</x:v>
      </x:c>
      <x:c r="Q15" s="36" t="str">
        <x:v>전체</x:v>
      </x:c>
      <x:c r="R15" s="36" t="str">
        <x:v>서버 권한</x:v>
      </x:c>
      <x:c r="S15" s="36" t="str">
        <x:v>매치</x:v>
      </x:c>
      <x:c r="T15" s="36" t="str">
        <x:v>XL</x:v>
      </x:c>
      <x:c r="U15" s="36" t="str">
        <x:v>미착수</x:v>
      </x:c>
      <x:c r="V15" s="46" t="n">
        <x:f>IF(U15="완료",1,IF(U15="QA 진행 중",0.8,IF(U15="코드 리뷰",0.65,IF(U15="구현 중",0.4,IF(U15="사양 확인 중",0.1,IF(U15="차단",0.4,0))))))</x:f>
        <x:v>0</x:v>
      </x:c>
      <x:c r="W15" s="36" t="str">
        <x:v>미정</x:v>
      </x:c>
      <x:c r="X15" s="44"/>
      <x:c r="Y15" s="36" t="str">
        <x:v>NET-013,IGM-018</x:v>
      </x:c>
      <x:c r="Z15" s="36" t="str">
        <x:v>중간</x:v>
      </x:c>
      <x:c r="AA15" s="36" t="str">
        <x:v>네트워크</x:v>
      </x:c>
      <x:c r="AB15" s="36" t="str">
        <x:v>TC-NET-014-01, TC-NET-014-02</x:v>
      </x:c>
      <x:c r="AC15" s="36"/>
      <x:c r="AD15" s="36" t="str">
        <x:v>게임 기획서</x:v>
      </x:c>
      <x:c r="AE15" s="36"/>
      <x:c r="AF15" s="44" t="str">
        <x:v>2026-07-10</x:v>
      </x:c>
      <x:c r="AG15" s="36"/>
      <x:c r="AH15" s="54"/>
      <x:c r="AI15" s="54"/>
      <x:c r="AJ15" s="53" t="str">
        <x:v>착수 전</x:v>
      </x:c>
    </x:row>
    <x:row r="16" ht="42" customHeight="1">
      <x:c r="A16" s="36" t="str">
        <x:v>NET-015</x:v>
      </x:c>
      <x:c r="B16" s="36" t="str">
        <x:v>네트워크 동기화·보안</x:v>
      </x:c>
      <x:c r="C16" s="36" t="str">
        <x:v>게임 메시지</x:v>
      </x:c>
      <x:c r="D16" s="36" t="str">
        <x:v>미니게임 완료</x:v>
      </x:c>
      <x:c r="E16" s="36" t="str">
        <x:v>미니게임 완료·보상 멱등성</x:v>
      </x:c>
      <x:c r="F16" s="36" t="str">
        <x:v>게임 규칙, 운영 요구사항과 대상 플랫폼 제약을 충족하도록 미니게임 완료·보상 멱등성 기능을 구현하고 검증한다.</x:v>
      </x:c>
      <x:c r="G16" s="36" t="str">
        <x:v>서버가 발급한 인스턴스 ID와 완료 Nonce를 검증하고 동일 완료 이벤트에 대한 보상은 한 번만 지급한다.</x:v>
      </x:c>
      <x:c r="H16" s="36" t="str">
        <x:v>구현, 코드 리뷰, 사양 갱신, 대상 QA 케이스 실행, 로그·텔레메트리 확인과 관련 플랫폼 검증을 완료하고 미해결 P0·P1 결함이 없다.</x:v>
      </x:c>
      <x:c r="I16" s="36" t="str">
        <x:v>MVP</x:v>
      </x:c>
      <x:c r="J16" s="36" t="str">
        <x:v>P0</x:v>
      </x:c>
      <x:c r="K16" s="36" t="str">
        <x:v>필수</x:v>
      </x:c>
      <x:c r="L16" s="36" t="str">
        <x:v>데이터 무결성</x:v>
      </x:c>
      <x:c r="M16" s="36" t="str">
        <x:v>MVP</x:v>
      </x:c>
      <x:c r="N16" s="36" t="str">
        <x:v>네트워크 엔지니어링</x:v>
      </x:c>
      <x:c r="O16" s="36" t="str">
        <x:v>미정</x:v>
      </x:c>
      <x:c r="P16" s="36" t="str">
        <x:v>미정</x:v>
      </x:c>
      <x:c r="Q16" s="36" t="str">
        <x:v>전체</x:v>
      </x:c>
      <x:c r="R16" s="36" t="str">
        <x:v>서버 권한</x:v>
      </x:c>
      <x:c r="S16" s="36" t="str">
        <x:v>매치</x:v>
      </x:c>
      <x:c r="T16" s="36" t="str">
        <x:v>L</x:v>
      </x:c>
      <x:c r="U16" s="36" t="str">
        <x:v>미착수</x:v>
      </x:c>
      <x:c r="V16" s="46" t="n">
        <x:f>IF(U16="완료",1,IF(U16="QA 진행 중",0.8,IF(U16="코드 리뷰",0.65,IF(U16="구현 중",0.4,IF(U16="사양 확인 중",0.1,IF(U16="차단",0.4,0))))))</x:f>
        <x:v>0</x:v>
      </x:c>
      <x:c r="W16" s="36" t="str">
        <x:v>미정</x:v>
      </x:c>
      <x:c r="X16" s="44"/>
      <x:c r="Y16" s="36" t="str">
        <x:v>NET-012,CNT-020,IGM-010</x:v>
      </x:c>
      <x:c r="Z16" s="36" t="str">
        <x:v>중간</x:v>
      </x:c>
      <x:c r="AA16" s="36" t="str">
        <x:v>보안</x:v>
      </x:c>
      <x:c r="AB16" s="36" t="str">
        <x:v>TC-NET-015-01, TC-NET-015-02</x:v>
      </x:c>
      <x:c r="AC16" s="36"/>
      <x:c r="AD16" s="36" t="str">
        <x:v>게임 기획서</x:v>
      </x:c>
      <x:c r="AE16" s="36"/>
      <x:c r="AF16" s="44" t="str">
        <x:v>2026-07-10</x:v>
      </x:c>
      <x:c r="AG16" s="36"/>
      <x:c r="AH16" s="54"/>
      <x:c r="AI16" s="54"/>
      <x:c r="AJ16" s="53" t="str">
        <x:v>착수 전</x:v>
      </x:c>
    </x:row>
    <x:row r="17" ht="42" customHeight="1">
      <x:c r="A17" s="36" t="str">
        <x:v>NET-016</x:v>
      </x:c>
      <x:c r="B17" s="36" t="str">
        <x:v>네트워크 동기화·보안</x:v>
      </x:c>
      <x:c r="C17" s="36" t="str">
        <x:v>게임 메시지</x:v>
      </x:c>
      <x:c r="D17" s="36" t="str">
        <x:v>투표 제출</x:v>
      </x:c>
      <x:c r="E17" s="36" t="str">
        <x:v>투표 전송·비공개·마감 처리</x:v>
      </x:c>
      <x:c r="F17" s="36" t="str">
        <x:v>게임 규칙, 운영 요구사항과 대상 플랫폼 제약을 충족하도록 투표 전송·비공개·마감 처리 기능을 구현하고 검증한다.</x:v>
      </x:c>
      <x:c r="G17" s="36" t="str">
        <x:v>투표자와 대상을 인증하고 1회성, 마감, 대상 생존 여부를 검증한다. 집계 완료 전에는 다른 클라이언트에 투표 대상과 중간 득표 수를 전송하지 않는다.</x:v>
      </x:c>
      <x:c r="H17" s="36" t="str">
        <x:v>구현, 코드 리뷰, 사양 갱신, 대상 QA 케이스 실행, 로그·텔레메트리 확인과 관련 플랫폼 검증을 완료하고 미해결 P0·P1 결함이 없다.</x:v>
      </x:c>
      <x:c r="I17" s="36" t="str">
        <x:v>MVP</x:v>
      </x:c>
      <x:c r="J17" s="36" t="str">
        <x:v>P0</x:v>
      </x:c>
      <x:c r="K17" s="36" t="str">
        <x:v>필수</x:v>
      </x:c>
      <x:c r="L17" s="36" t="str">
        <x:v>정보 비공개</x:v>
      </x:c>
      <x:c r="M17" s="36" t="str">
        <x:v>MVP</x:v>
      </x:c>
      <x:c r="N17" s="36" t="str">
        <x:v>네트워크 엔지니어링</x:v>
      </x:c>
      <x:c r="O17" s="36" t="str">
        <x:v>미정</x:v>
      </x:c>
      <x:c r="P17" s="36" t="str">
        <x:v>미정</x:v>
      </x:c>
      <x:c r="Q17" s="36" t="str">
        <x:v>전체</x:v>
      </x:c>
      <x:c r="R17" s="36" t="str">
        <x:v>서버 권한</x:v>
      </x:c>
      <x:c r="S17" s="36" t="str">
        <x:v>매치</x:v>
      </x:c>
      <x:c r="T17" s="36" t="str">
        <x:v>L</x:v>
      </x:c>
      <x:c r="U17" s="36" t="str">
        <x:v>미착수</x:v>
      </x:c>
      <x:c r="V17" s="46" t="n">
        <x:f>IF(U17="완료",1,IF(U17="QA 진행 중",0.8,IF(U17="코드 리뷰",0.65,IF(U17="구현 중",0.4,IF(U17="사양 확인 중",0.1,IF(U17="차단",0.4,0))))))</x:f>
        <x:v>0</x:v>
      </x:c>
      <x:c r="W17" s="36" t="str">
        <x:v>미정</x:v>
      </x:c>
      <x:c r="X17" s="44"/>
      <x:c r="Y17" s="36" t="str">
        <x:v>NET-012,IGM-023</x:v>
      </x:c>
      <x:c r="Z17" s="36" t="str">
        <x:v>중간</x:v>
      </x:c>
      <x:c r="AA17" s="36" t="str">
        <x:v>보안</x:v>
      </x:c>
      <x:c r="AB17" s="36" t="str">
        <x:v>TC-NET-016-01, TC-NET-016-02</x:v>
      </x:c>
      <x:c r="AC17" s="36"/>
      <x:c r="AD17" s="36" t="str">
        <x:v>게임 기획서</x:v>
      </x:c>
      <x:c r="AE17" s="36"/>
      <x:c r="AF17" s="44" t="str">
        <x:v>2026-07-10</x:v>
      </x:c>
      <x:c r="AG17" s="36"/>
      <x:c r="AH17" s="54"/>
      <x:c r="AI17" s="54"/>
      <x:c r="AJ17" s="53" t="str">
        <x:v>착수 전</x:v>
      </x:c>
    </x:row>
    <x:row r="18" ht="42" customHeight="1">
      <x:c r="A18" s="36" t="str">
        <x:v>NET-017</x:v>
      </x:c>
      <x:c r="B18" s="36" t="str">
        <x:v>네트워크 동기화·보안</x:v>
      </x:c>
      <x:c r="C18" s="36" t="str">
        <x:v>정보 보안</x:v>
      </x:c>
      <x:c r="D18" s="36" t="str">
        <x:v>역할 비공개</x:v>
      </x:c>
      <x:c r="E18" s="36" t="str">
        <x:v>역할 정보 개인 전송·최소 배포</x:v>
      </x:c>
      <x:c r="F18" s="36" t="str">
        <x:v>게임 규칙, 운영 요구사항과 대상 플랫폼 제약을 충족하도록 역할 정보 개인 전송·최소 배포 기능을 구현하고 검증한다.</x:v>
      </x:c>
      <x:c r="G18" s="36" t="str">
        <x:v>각 플레이어에게 본인 역할만 개인 전송하고 공통 스냅샷, 관전 데이터, 로그, 크래시 덤프에 다른 플레이어의 역할을 포함하지 않는다.</x:v>
      </x:c>
      <x:c r="H18" s="36" t="str">
        <x:v>구현, 코드 리뷰, 사양 갱신, 대상 QA 케이스 실행, 로그·텔레메트리 확인과 관련 플랫폼 검증을 완료하고 미해결 P0·P1 결함이 없다.</x:v>
      </x:c>
      <x:c r="I18" s="36" t="str">
        <x:v>MVP</x:v>
      </x:c>
      <x:c r="J18" s="36" t="str">
        <x:v>P0</x:v>
      </x:c>
      <x:c r="K18" s="36" t="str">
        <x:v>필수</x:v>
      </x:c>
      <x:c r="L18" s="36" t="str">
        <x:v>정보 비공개</x:v>
      </x:c>
      <x:c r="M18" s="36" t="str">
        <x:v>MVP</x:v>
      </x:c>
      <x:c r="N18" s="36" t="str">
        <x:v>네트워크 엔지니어링</x:v>
      </x:c>
      <x:c r="O18" s="36" t="str">
        <x:v>미정</x:v>
      </x:c>
      <x:c r="P18" s="36" t="str">
        <x:v>미정</x:v>
      </x:c>
      <x:c r="Q18" s="36" t="str">
        <x:v>전체</x:v>
      </x:c>
      <x:c r="R18" s="36" t="str">
        <x:v>서버 권한</x:v>
      </x:c>
      <x:c r="S18" s="36" t="str">
        <x:v>매치</x:v>
      </x:c>
      <x:c r="T18" s="36" t="str">
        <x:v>L</x:v>
      </x:c>
      <x:c r="U18" s="36" t="str">
        <x:v>미착수</x:v>
      </x:c>
      <x:c r="V18" s="46" t="n">
        <x:f>IF(U18="완료",1,IF(U18="QA 진행 중",0.8,IF(U18="코드 리뷰",0.65,IF(U18="구현 중",0.4,IF(U18="사양 확인 중",0.1,IF(U18="차단",0.4,0))))))</x:f>
        <x:v>0</x:v>
      </x:c>
      <x:c r="W18" s="36" t="str">
        <x:v>미정</x:v>
      </x:c>
      <x:c r="X18" s="44"/>
      <x:c r="Y18" s="36" t="str">
        <x:v>NET-004,IGM-002</x:v>
      </x:c>
      <x:c r="Z18" s="36" t="str">
        <x:v>중간</x:v>
      </x:c>
      <x:c r="AA18" s="36" t="str">
        <x:v>보안</x:v>
      </x:c>
      <x:c r="AB18" s="36" t="str">
        <x:v>TC-NET-017-01, TC-NET-017-02</x:v>
      </x:c>
      <x:c r="AC18" s="36"/>
      <x:c r="AD18" s="36" t="str">
        <x:v>게임 기획서</x:v>
      </x:c>
      <x:c r="AE18" s="36"/>
      <x:c r="AF18" s="44" t="str">
        <x:v>2026-07-10</x:v>
      </x:c>
      <x:c r="AG18" s="36"/>
      <x:c r="AH18" s="54"/>
      <x:c r="AI18" s="54"/>
      <x:c r="AJ18" s="53" t="str">
        <x:v>착수 전</x:v>
      </x:c>
    </x:row>
    <x:row r="19" ht="42" customHeight="1">
      <x:c r="A19" s="36" t="str">
        <x:v>NET-018</x:v>
      </x:c>
      <x:c r="B19" s="36" t="str">
        <x:v>네트워크 동기화·보안</x:v>
      </x:c>
      <x:c r="C19" s="36" t="str">
        <x:v>정보 보안</x:v>
      </x:c>
      <x:c r="D19" s="36" t="str">
        <x:v>가시성 필터</x:v>
      </x:c>
      <x:c r="E19" s="36" t="str">
        <x:v>수신자별 정보 공개 필터</x:v>
      </x:c>
      <x:c r="F19" s="36" t="str">
        <x:v>게임 규칙, 운영 요구사항과 대상 플랫폼 제약을 충족하도록 수신자별 정보 공개 필터 기능을 구현하고 검증한다.</x:v>
      </x:c>
      <x:c r="G19" s="36" t="str">
        <x:v>본인 등 메모, 실제 작성자, 실제 부착자, 위조 여부, 중간 투표 결과를 수신자별 공개 모델에서 제외하고 재접속 스냅샷에도 같은 규칙을 적용한다.</x:v>
      </x:c>
      <x:c r="H19" s="36" t="str">
        <x:v>구현, 코드 리뷰, 사양 갱신, 대상 QA 케이스 실행, 로그·텔레메트리 확인과 관련 플랫폼 검증을 완료하고 미해결 P0·P1 결함이 없다.</x:v>
      </x:c>
      <x:c r="I19" s="36" t="str">
        <x:v>MVP</x:v>
      </x:c>
      <x:c r="J19" s="36" t="str">
        <x:v>P0</x:v>
      </x:c>
      <x:c r="K19" s="36" t="str">
        <x:v>필수</x:v>
      </x:c>
      <x:c r="L19" s="36" t="str">
        <x:v>정보 비공개</x:v>
      </x:c>
      <x:c r="M19" s="36" t="str">
        <x:v>MVP</x:v>
      </x:c>
      <x:c r="N19" s="36" t="str">
        <x:v>네트워크 엔지니어링</x:v>
      </x:c>
      <x:c r="O19" s="36" t="str">
        <x:v>미정</x:v>
      </x:c>
      <x:c r="P19" s="36" t="str">
        <x:v>미정</x:v>
      </x:c>
      <x:c r="Q19" s="36" t="str">
        <x:v>전체</x:v>
      </x:c>
      <x:c r="R19" s="36" t="str">
        <x:v>서버 권한</x:v>
      </x:c>
      <x:c r="S19" s="36" t="str">
        <x:v>매치</x:v>
      </x:c>
      <x:c r="T19" s="36" t="str">
        <x:v>XL</x:v>
      </x:c>
      <x:c r="U19" s="36" t="str">
        <x:v>미착수</x:v>
      </x:c>
      <x:c r="V19" s="46" t="n">
        <x:f>IF(U19="완료",1,IF(U19="QA 진행 중",0.8,IF(U19="코드 리뷰",0.65,IF(U19="구현 중",0.4,IF(U19="사양 확인 중",0.1,IF(U19="차단",0.4,0))))))</x:f>
        <x:v>0</x:v>
      </x:c>
      <x:c r="W19" s="36" t="str">
        <x:v>미정</x:v>
      </x:c>
      <x:c r="X19" s="44"/>
      <x:c r="Y19" s="36" t="str">
        <x:v>NET-017,IGM-019,IGM-029</x:v>
      </x:c>
      <x:c r="Z19" s="36" t="str">
        <x:v>중간</x:v>
      </x:c>
      <x:c r="AA19" s="36" t="str">
        <x:v>보안</x:v>
      </x:c>
      <x:c r="AB19" s="36" t="str">
        <x:v>TC-NET-018-01, TC-NET-018-02</x:v>
      </x:c>
      <x:c r="AC19" s="36"/>
      <x:c r="AD19" s="36" t="str">
        <x:v>게임 기획서</x:v>
      </x:c>
      <x:c r="AE19" s="36"/>
      <x:c r="AF19" s="44" t="str">
        <x:v>2026-07-10</x:v>
      </x:c>
      <x:c r="AG19" s="36"/>
      <x:c r="AH19" s="54"/>
      <x:c r="AI19" s="54"/>
      <x:c r="AJ19" s="53" t="str">
        <x:v>착수 전</x:v>
      </x:c>
    </x:row>
    <x:row r="20" ht="42" customHeight="1">
      <x:c r="A20" s="36" t="str">
        <x:v>NET-019</x:v>
      </x:c>
      <x:c r="B20" s="36" t="str">
        <x:v>네트워크 동기화·보안</x:v>
      </x:c>
      <x:c r="C20" s="36" t="str">
        <x:v>복원력</x:v>
      </x:c>
      <x:c r="D20" s="36" t="str">
        <x:v>재접속 스냅샷</x:v>
      </x:c>
      <x:c r="E20" s="36" t="str">
        <x:v>재접속 스냅샷·차분 스트림 재개</x:v>
      </x:c>
      <x:c r="F20" s="36" t="str">
        <x:v>게임 규칙, 운영 요구사항과 대상 플랫폼 제약을 충족하도록 재접속 스냅샷·차분 스트림 재개 기능을 구현하고 검증한다.</x:v>
      </x:c>
      <x:c r="G20" s="36" t="str">
        <x:v>스냅샷 버전, 마지막 이벤트 순번, 정보 공개 필터를 사용해 전체 상태를 복원하고 수신 완료 후 차분 스트림으로 전환한다.</x:v>
      </x:c>
      <x:c r="H20" s="36" t="str">
        <x:v>구현, 코드 리뷰, 사양 갱신, 대상 QA 케이스 실행, 로그·텔레메트리 확인과 관련 플랫폼 검증을 완료하고 미해결 P0·P1 결함이 없다.</x:v>
      </x:c>
      <x:c r="I20" s="36" t="str">
        <x:v>알파</x:v>
      </x:c>
      <x:c r="J20" s="36" t="str">
        <x:v>P0</x:v>
      </x:c>
      <x:c r="K20" s="36" t="str">
        <x:v>필수</x:v>
      </x:c>
      <x:c r="L20" s="36" t="str">
        <x:v>안정성</x:v>
      </x:c>
      <x:c r="M20" s="36" t="str">
        <x:v>알파</x:v>
      </x:c>
      <x:c r="N20" s="36" t="str">
        <x:v>네트워크 엔지니어링</x:v>
      </x:c>
      <x:c r="O20" s="36" t="str">
        <x:v>미정</x:v>
      </x:c>
      <x:c r="P20" s="36" t="str">
        <x:v>미정</x:v>
      </x:c>
      <x:c r="Q20" s="36" t="str">
        <x:v>전체</x:v>
      </x:c>
      <x:c r="R20" s="36" t="str">
        <x:v>서버 권한</x:v>
      </x:c>
      <x:c r="S20" s="36" t="str">
        <x:v>세션</x:v>
      </x:c>
      <x:c r="T20" s="36" t="str">
        <x:v>XL</x:v>
      </x:c>
      <x:c r="U20" s="36" t="str">
        <x:v>미착수</x:v>
      </x:c>
      <x:c r="V20" s="46" t="n">
        <x:f>IF(U20="완료",1,IF(U20="QA 진행 중",0.8,IF(U20="코드 리뷰",0.65,IF(U20="구현 중",0.4,IF(U20="사양 확인 중",0.1,IF(U20="차단",0.4,0))))))</x:f>
        <x:v>0</x:v>
      </x:c>
      <x:c r="W20" s="36" t="str">
        <x:v>미정</x:v>
      </x:c>
      <x:c r="X20" s="44"/>
      <x:c r="Y20" s="36" t="str">
        <x:v>NET-006,NET-007,NET-010,NET-018,ONL-017</x:v>
      </x:c>
      <x:c r="Z20" s="36" t="str">
        <x:v>중간</x:v>
      </x:c>
      <x:c r="AA20" s="36" t="str">
        <x:v>네트워크</x:v>
      </x:c>
      <x:c r="AB20" s="36" t="str">
        <x:v>TC-NET-019-01, TC-NET-019-02</x:v>
      </x:c>
      <x:c r="AC20" s="36"/>
      <x:c r="AD20" s="36" t="str">
        <x:v>게임 기획서</x:v>
      </x:c>
      <x:c r="AE20" s="36"/>
      <x:c r="AF20" s="44" t="str">
        <x:v>2026-07-10</x:v>
      </x:c>
      <x:c r="AG20" s="36"/>
      <x:c r="AH20" s="54"/>
      <x:c r="AI20" s="54"/>
      <x:c r="AJ20" s="53" t="str">
        <x:v>착수 전</x:v>
      </x:c>
    </x:row>
    <x:row r="21" ht="42" customHeight="1">
      <x:c r="A21" s="36" t="str">
        <x:v>NET-020</x:v>
      </x:c>
      <x:c r="B21" s="36" t="str">
        <x:v>네트워크 동기화·보안</x:v>
      </x:c>
      <x:c r="C21" s="36" t="str">
        <x:v>복원력</x:v>
      </x:c>
      <x:c r="D21" s="36" t="str">
        <x:v>하트비트·장애</x:v>
      </x:c>
      <x:c r="E21" s="36" t="str">
        <x:v>하트비트·서버 장애 감지</x:v>
      </x:c>
      <x:c r="F21" s="36" t="str">
        <x:v>게임 규칙, 운영 요구사항과 대상 플랫폼 제약을 충족하도록 하트비트·서버 장애 감지 기능을 구현하고 검증한다.</x:v>
      </x:c>
      <x:c r="G21" s="36" t="str">
        <x:v>클라이언트와 서버 양쪽에서 시간 초과를 감지하고 일시 단절, 서버 종료, 인증 만료를 구분해 재접속 또는 무효 매치로 전환한다.</x:v>
      </x:c>
      <x:c r="H21" s="36" t="str">
        <x:v>구현, 코드 리뷰, 사양 갱신, 대상 QA 케이스 실행, 로그·텔레메트리 확인과 관련 플랫폼 검증을 완료하고 미해결 P0·P1 결함이 없다.</x:v>
      </x:c>
      <x:c r="I21" s="36" t="str">
        <x:v>알파</x:v>
      </x:c>
      <x:c r="J21" s="36" t="str">
        <x:v>P0</x:v>
      </x:c>
      <x:c r="K21" s="36" t="str">
        <x:v>필수</x:v>
      </x:c>
      <x:c r="L21" s="36" t="str">
        <x:v>안정성</x:v>
      </x:c>
      <x:c r="M21" s="36" t="str">
        <x:v>알파</x:v>
      </x:c>
      <x:c r="N21" s="36" t="str">
        <x:v>네트워크 엔지니어링</x:v>
      </x:c>
      <x:c r="O21" s="36" t="str">
        <x:v>미정</x:v>
      </x:c>
      <x:c r="P21" s="36" t="str">
        <x:v>미정</x:v>
      </x:c>
      <x:c r="Q21" s="36" t="str">
        <x:v>전체</x:v>
      </x:c>
      <x:c r="R21" s="36" t="str">
        <x:v>서버 권한</x:v>
      </x:c>
      <x:c r="S21" s="36" t="str">
        <x:v>감사 로그</x:v>
      </x:c>
      <x:c r="T21" s="36" t="str">
        <x:v>L</x:v>
      </x:c>
      <x:c r="U21" s="36" t="str">
        <x:v>미착수</x:v>
      </x:c>
      <x:c r="V21" s="46" t="n">
        <x:f>IF(U21="완료",1,IF(U21="QA 진행 중",0.8,IF(U21="코드 리뷰",0.65,IF(U21="구현 중",0.4,IF(U21="사양 확인 중",0.1,IF(U21="차단",0.4,0))))))</x:f>
        <x:v>0</x:v>
      </x:c>
      <x:c r="W21" s="36" t="str">
        <x:v>미정</x:v>
      </x:c>
      <x:c r="X21" s="44"/>
      <x:c r="Y21" s="36" t="str">
        <x:v>NET-004,ONL-021</x:v>
      </x:c>
      <x:c r="Z21" s="36" t="str">
        <x:v>중간</x:v>
      </x:c>
      <x:c r="AA21" s="36" t="str">
        <x:v>네트워크</x:v>
      </x:c>
      <x:c r="AB21" s="36" t="str">
        <x:v>TC-NET-020-01, TC-NET-020-02</x:v>
      </x:c>
      <x:c r="AC21" s="36"/>
      <x:c r="AD21" s="36" t="str">
        <x:v>게임 기획서</x:v>
      </x:c>
      <x:c r="AE21" s="36"/>
      <x:c r="AF21" s="44" t="str">
        <x:v>2026-07-10</x:v>
      </x:c>
      <x:c r="AG21" s="36"/>
      <x:c r="AH21" s="54"/>
      <x:c r="AI21" s="54"/>
      <x:c r="AJ21" s="53" t="str">
        <x:v>착수 전</x:v>
      </x:c>
    </x:row>
    <x:row r="22" ht="42" customHeight="1">
      <x:c r="A22" s="36" t="str">
        <x:v>NET-021</x:v>
      </x:c>
      <x:c r="B22" s="36" t="str">
        <x:v>네트워크 동기화·보안</x:v>
      </x:c>
      <x:c r="C22" s="36" t="str">
        <x:v>복원력</x:v>
      </x:c>
      <x:c r="D22" s="36" t="str">
        <x:v>재시도·백오프</x:v>
      </x:c>
      <x:c r="E22" s="36" t="str">
        <x:v>재전송·재시도·지수 백오프</x:v>
      </x:c>
      <x:c r="F22" s="36" t="str">
        <x:v>게임 규칙, 운영 요구사항과 대상 플랫폼 제약을 충족하도록 재전송·재시도·지수 백오프 기능을 구현하고 검증한다.</x:v>
      </x:c>
      <x:c r="G22" s="36" t="str">
        <x:v>연결, 스냅샷, 중요 API에 상한이 있는 지수 백오프와 지터를 적용해 서비스 장애 중 재시도 폭주를 방지한다.</x:v>
      </x:c>
      <x:c r="H22" s="36" t="str">
        <x:v>구현, 코드 리뷰, 사양 갱신, 대상 QA 케이스 실행, 로그·텔레메트리 확인과 관련 플랫폼 검증을 완료하고 미해결 P0·P1 결함이 없다.</x:v>
      </x:c>
      <x:c r="I22" s="36" t="str">
        <x:v>알파</x:v>
      </x:c>
      <x:c r="J22" s="36" t="str">
        <x:v>P1</x:v>
      </x:c>
      <x:c r="K22" s="36" t="str">
        <x:v>필수</x:v>
      </x:c>
      <x:c r="L22" s="36" t="str">
        <x:v>안정성</x:v>
      </x:c>
      <x:c r="M22" s="36" t="str">
        <x:v>알파</x:v>
      </x:c>
      <x:c r="N22" s="36" t="str">
        <x:v>네트워크 엔지니어링</x:v>
      </x:c>
      <x:c r="O22" s="36" t="str">
        <x:v>미정</x:v>
      </x:c>
      <x:c r="P22" s="36" t="str">
        <x:v>미정</x:v>
      </x:c>
      <x:c r="Q22" s="36" t="str">
        <x:v>전체</x:v>
      </x:c>
      <x:c r="R22" s="36" t="str">
        <x:v>클라이언트 로컬</x:v>
      </x:c>
      <x:c r="S22" s="36" t="str">
        <x:v>없음</x:v>
      </x:c>
      <x:c r="T22" s="36" t="str">
        <x:v>M</x:v>
      </x:c>
      <x:c r="U22" s="36" t="str">
        <x:v>미착수</x:v>
      </x:c>
      <x:c r="V22" s="46" t="n">
        <x:f>IF(U22="완료",1,IF(U22="QA 진행 중",0.8,IF(U22="코드 리뷰",0.65,IF(U22="구현 중",0.4,IF(U22="사양 확인 중",0.1,IF(U22="차단",0.4,0))))))</x:f>
        <x:v>0</x:v>
      </x:c>
      <x:c r="W22" s="36" t="str">
        <x:v>미정</x:v>
      </x:c>
      <x:c r="X22" s="44"/>
      <x:c r="Y22" s="36" t="str">
        <x:v>NET-020</x:v>
      </x:c>
      <x:c r="Z22" s="36" t="str">
        <x:v>중간</x:v>
      </x:c>
      <x:c r="AA22" s="36" t="str">
        <x:v>부하</x:v>
      </x:c>
      <x:c r="AB22" s="36" t="str">
        <x:v>TC-NET-021-01</x:v>
      </x:c>
      <x:c r="AC22" s="36"/>
      <x:c r="AD22" s="36" t="str">
        <x:v>게임 기획서</x:v>
      </x:c>
      <x:c r="AE22" s="36"/>
      <x:c r="AF22" s="44" t="str">
        <x:v>2026-07-10</x:v>
      </x:c>
      <x:c r="AG22" s="36"/>
      <x:c r="AH22" s="54"/>
      <x:c r="AI22" s="54"/>
      <x:c r="AJ22" s="53" t="str">
        <x:v>착수 전</x:v>
      </x:c>
    </x:row>
    <x:row r="23" ht="42" customHeight="1">
      <x:c r="A23" s="36" t="str">
        <x:v>NET-022</x:v>
      </x:c>
      <x:c r="B23" s="36" t="str">
        <x:v>네트워크 동기화·보안</x:v>
      </x:c>
      <x:c r="C23" s="36" t="str">
        <x:v>성능</x:v>
      </x:c>
      <x:c r="D23" s="36" t="str">
        <x:v>관심 범위·대역폭 예산</x:v>
      </x:c>
      <x:c r="E23" s="36" t="str">
        <x:v>관심 영역·대역폭 예산·갱신 주기</x:v>
      </x:c>
      <x:c r="F23" s="36" t="str">
        <x:v>게임 규칙, 운영 요구사항과 대상 플랫폼 제약을 충족하도록 관심 영역·대역폭 예산·갱신 주기 기능을 구현하고 검증한다.</x:v>
      </x:c>
      <x:c r="G23" s="36" t="str">
        <x:v>6명, 등 메모 최대 수, 모든 미니게임 동작 시 업로드·다운로드 예산을 정의하고 원거리 문구나 불필요한 이벤트를 전송하지 않는다.</x:v>
      </x:c>
      <x:c r="H23" s="36" t="str">
        <x:v>구현, 코드 리뷰, 사양 갱신, 대상 QA 케이스 실행, 로그·텔레메트리 확인과 관련 플랫폼 검증을 완료하고 미해결 P0·P1 결함이 없다.</x:v>
      </x:c>
      <x:c r="I23" s="36" t="str">
        <x:v>알파</x:v>
      </x:c>
      <x:c r="J23" s="36" t="str">
        <x:v>P0</x:v>
      </x:c>
      <x:c r="K23" s="36" t="str">
        <x:v>필수</x:v>
      </x:c>
      <x:c r="L23" s="36" t="str">
        <x:v>성능</x:v>
      </x:c>
      <x:c r="M23" s="36" t="str">
        <x:v>알파</x:v>
      </x:c>
      <x:c r="N23" s="36" t="str">
        <x:v>네트워크 엔지니어링</x:v>
      </x:c>
      <x:c r="O23" s="36" t="str">
        <x:v>미정</x:v>
      </x:c>
      <x:c r="P23" s="36" t="str">
        <x:v>미정</x:v>
      </x:c>
      <x:c r="Q23" s="36" t="str">
        <x:v>전체</x:v>
      </x:c>
      <x:c r="R23" s="36" t="str">
        <x:v>서버 권한</x:v>
      </x:c>
      <x:c r="S23" s="36" t="str">
        <x:v>없음</x:v>
      </x:c>
      <x:c r="T23" s="36" t="str">
        <x:v>L</x:v>
      </x:c>
      <x:c r="U23" s="36" t="str">
        <x:v>미착수</x:v>
      </x:c>
      <x:c r="V23" s="46" t="n">
        <x:f>IF(U23="완료",1,IF(U23="QA 진행 중",0.8,IF(U23="코드 리뷰",0.65,IF(U23="구현 중",0.4,IF(U23="사양 확인 중",0.1,IF(U23="차단",0.4,0))))))</x:f>
        <x:v>0</x:v>
      </x:c>
      <x:c r="W23" s="36" t="str">
        <x:v>미정</x:v>
      </x:c>
      <x:c r="X23" s="44"/>
      <x:c r="Y23" s="36" t="str">
        <x:v>NET-011,NET-014</x:v>
      </x:c>
      <x:c r="Z23" s="36" t="str">
        <x:v>중간</x:v>
      </x:c>
      <x:c r="AA23" s="36" t="str">
        <x:v>성능</x:v>
      </x:c>
      <x:c r="AB23" s="36" t="str">
        <x:v>TC-NET-022-01, TC-NET-022-02</x:v>
      </x:c>
      <x:c r="AC23" s="36"/>
      <x:c r="AD23" s="36" t="str">
        <x:v>게임 기획서</x:v>
      </x:c>
      <x:c r="AE23" s="36"/>
      <x:c r="AF23" s="44" t="str">
        <x:v>2026-07-10</x:v>
      </x:c>
      <x:c r="AG23" s="36"/>
      <x:c r="AH23" s="54"/>
      <x:c r="AI23" s="54"/>
      <x:c r="AJ23" s="53" t="str">
        <x:v>착수 전</x:v>
      </x:c>
    </x:row>
    <x:row r="24" ht="42" customHeight="1">
      <x:c r="A24" s="36" t="str">
        <x:v>NET-023</x:v>
      </x:c>
      <x:c r="B24" s="36" t="str">
        <x:v>네트워크 동기화·보안</x:v>
      </x:c>
      <x:c r="C24" s="36" t="str">
        <x:v>관측성</x:v>
      </x:c>
      <x:c r="D24" s="36" t="str">
        <x:v>지표</x:v>
      </x:c>
      <x:c r="E24" s="36" t="str">
        <x:v>핑·손실·지터·대역폭·재전송 계측</x:v>
      </x:c>
      <x:c r="F24" s="36" t="str">
        <x:v>게임 규칙, 운영 요구사항과 대상 플랫폼 제약을 충족하도록 핑·손실·지터·대역폭·재전송 계측 기능을 구현하고 검증한다.</x:v>
      </x:c>
      <x:c r="G24" s="36" t="str">
        <x:v>세션 단위 네트워크 품질 지표를 수집해 지역, 빌드, 플랫폼별로 집계할 수 있으며 개인 정보는 포함하지 않는다.</x:v>
      </x:c>
      <x:c r="H24" s="36" t="str">
        <x:v>구현, 코드 리뷰, 사양 갱신, 대상 QA 케이스 실행, 로그·텔레메트리 확인과 관련 플랫폼 검증을 완료하고 미해결 P0·P1 결함이 없다.</x:v>
      </x:c>
      <x:c r="I24" s="36" t="str">
        <x:v>알파</x:v>
      </x:c>
      <x:c r="J24" s="36" t="str">
        <x:v>P0</x:v>
      </x:c>
      <x:c r="K24" s="36" t="str">
        <x:v>필수</x:v>
      </x:c>
      <x:c r="L24" s="36" t="str">
        <x:v>운영</x:v>
      </x:c>
      <x:c r="M24" s="36" t="str">
        <x:v>알파</x:v>
      </x:c>
      <x:c r="N24" s="36" t="str">
        <x:v>네트워크 엔지니어링</x:v>
      </x:c>
      <x:c r="O24" s="36" t="str">
        <x:v>미정</x:v>
      </x:c>
      <x:c r="P24" s="36" t="str">
        <x:v>미정</x:v>
      </x:c>
      <x:c r="Q24" s="36" t="str">
        <x:v>전체</x:v>
      </x:c>
      <x:c r="R24" s="36" t="str">
        <x:v>서버 권한</x:v>
      </x:c>
      <x:c r="S24" s="36" t="str">
        <x:v>백엔드</x:v>
      </x:c>
      <x:c r="T24" s="36" t="str">
        <x:v>L</x:v>
      </x:c>
      <x:c r="U24" s="36" t="str">
        <x:v>미착수</x:v>
      </x:c>
      <x:c r="V24" s="46" t="n">
        <x:f>IF(U24="완료",1,IF(U24="QA 진행 중",0.8,IF(U24="코드 리뷰",0.65,IF(U24="구현 중",0.4,IF(U24="사양 확인 중",0.1,IF(U24="차단",0.4,0))))))</x:f>
        <x:v>0</x:v>
      </x:c>
      <x:c r="W24" s="36" t="str">
        <x:v>미정</x:v>
      </x:c>
      <x:c r="X24" s="44"/>
      <x:c r="Y24" s="36" t="str">
        <x:v>BED-008</x:v>
      </x:c>
      <x:c r="Z24" s="36" t="str">
        <x:v>중간</x:v>
      </x:c>
      <x:c r="AA24" s="36" t="str">
        <x:v>운영</x:v>
      </x:c>
      <x:c r="AB24" s="36" t="str">
        <x:v>TC-NET-023-01, TC-NET-023-02</x:v>
      </x:c>
      <x:c r="AC24" s="36"/>
      <x:c r="AD24" s="36" t="str">
        <x:v>게임 기획서</x:v>
      </x:c>
      <x:c r="AE24" s="36"/>
      <x:c r="AF24" s="44" t="str">
        <x:v>2026-07-10</x:v>
      </x:c>
      <x:c r="AG24" s="36"/>
      <x:c r="AH24" s="54"/>
      <x:c r="AI24" s="54"/>
      <x:c r="AJ24" s="53" t="str">
        <x:v>착수 전</x:v>
      </x:c>
    </x:row>
    <x:row r="25" ht="42" customHeight="1">
      <x:c r="A25" s="36" t="str">
        <x:v>NET-024</x:v>
      </x:c>
      <x:c r="B25" s="36" t="str">
        <x:v>네트워크 동기화·보안</x:v>
      </x:c>
      <x:c r="C25" s="36" t="str">
        <x:v>테스트 용이성</x:v>
      </x:c>
      <x:c r="D25" s="36" t="str">
        <x:v>시뮬레이션 프로파일</x:v>
      </x:c>
      <x:c r="E25" s="36" t="str">
        <x:v>네트워크 열화 시험 프로파일</x:v>
      </x:c>
      <x:c r="F25" s="36" t="str">
        <x:v>게임 규칙, 운영 요구사항과 대상 플랫폼 제약을 충족하도록 네트워크 열화 시험 프로파일 기능을 구현하고 검증한다.</x:v>
      </x:c>
      <x:c r="G25" s="36" t="str">
        <x:v>50·100·200·350ms RTT, 0·1·3·5% 손실, 지터, 대역폭 제한, 단시간 단절을 재현하고 CI와 수동 시험에서 선택할 수 있다.</x:v>
      </x:c>
      <x:c r="H25" s="36" t="str">
        <x:v>구현, 코드 리뷰, 사양 갱신, 대상 QA 케이스 실행, 로그·텔레메트리 확인과 관련 플랫폼 검증을 완료하고 미해결 P0·P1 결함이 없다.</x:v>
      </x:c>
      <x:c r="I25" s="36" t="str">
        <x:v>알파</x:v>
      </x:c>
      <x:c r="J25" s="36" t="str">
        <x:v>P0</x:v>
      </x:c>
      <x:c r="K25" s="36" t="str">
        <x:v>필수</x:v>
      </x:c>
      <x:c r="L25" s="36" t="str">
        <x:v>테스트</x:v>
      </x:c>
      <x:c r="M25" s="36" t="str">
        <x:v>알파</x:v>
      </x:c>
      <x:c r="N25" s="36" t="str">
        <x:v>네트워크 엔지니어링</x:v>
      </x:c>
      <x:c r="O25" s="36" t="str">
        <x:v>미정</x:v>
      </x:c>
      <x:c r="P25" s="36" t="str">
        <x:v>미정</x:v>
      </x:c>
      <x:c r="Q25" s="36" t="str">
        <x:v>도구</x:v>
      </x:c>
      <x:c r="R25" s="36" t="str">
        <x:v>해당 없음</x:v>
      </x:c>
      <x:c r="S25" s="36" t="str">
        <x:v>없음</x:v>
      </x:c>
      <x:c r="T25" s="36" t="str">
        <x:v>M</x:v>
      </x:c>
      <x:c r="U25" s="36" t="str">
        <x:v>미착수</x:v>
      </x:c>
      <x:c r="V25" s="46" t="n">
        <x:f>IF(U25="완료",1,IF(U25="QA 진행 중",0.8,IF(U25="코드 리뷰",0.65,IF(U25="구현 중",0.4,IF(U25="사양 확인 중",0.1,IF(U25="차단",0.4,0))))))</x:f>
        <x:v>0</x:v>
      </x:c>
      <x:c r="W25" s="36" t="str">
        <x:v>미정</x:v>
      </x:c>
      <x:c r="X25" s="44"/>
      <x:c r="Y25" s="36" t="str">
        <x:v>NET-003</x:v>
      </x:c>
      <x:c r="Z25" s="36" t="str">
        <x:v>중간</x:v>
      </x:c>
      <x:c r="AA25" s="36" t="str">
        <x:v>네트워크</x:v>
      </x:c>
      <x:c r="AB25" s="36" t="str">
        <x:v>TC-NET-024-01, TC-NET-024-02</x:v>
      </x:c>
      <x:c r="AC25" s="36"/>
      <x:c r="AD25" s="36" t="str">
        <x:v>게임 기획서</x:v>
      </x:c>
      <x:c r="AE25" s="36"/>
      <x:c r="AF25" s="44" t="str">
        <x:v>2026-07-10</x:v>
      </x:c>
      <x:c r="AG25" s="36"/>
      <x:c r="AH25" s="54"/>
      <x:c r="AI25" s="54"/>
      <x:c r="AJ25" s="53" t="str">
        <x:v>착수 전</x:v>
      </x:c>
    </x:row>
    <x:row r="26" ht="42" customHeight="1">
      <x:c r="A26" s="36" t="str">
        <x:v>NET-025</x:v>
      </x:c>
      <x:c r="B26" s="36" t="str">
        <x:v>네트워크 동기화·보안</x:v>
      </x:c>
      <x:c r="C26" s="36" t="str">
        <x:v>오류 처리</x:v>
      </x:c>
      <x:c r="D26" s="36" t="str">
        <x:v>매핑</x:v>
      </x:c>
      <x:c r="E26" s="36" t="str">
        <x:v>네트워크 오류·연결 종료 사유 정규화</x:v>
      </x:c>
      <x:c r="F26" s="36" t="str">
        <x:v>게임 규칙, 운영 요구사항과 대상 플랫폼 제약을 충족하도록 네트워크 오류·연결 종료 사유 정규화 기능을 구현하고 검증한다.</x:v>
      </x:c>
      <x:c r="G26" s="36" t="str">
        <x:v>저수준 SDK 오류를 제품 오류 코드로 변환하고 사용자 표시, 로그, 텔레메트리에서 동일한 상관관계 ID를 사용한다.</x:v>
      </x:c>
      <x:c r="H26" s="36" t="str">
        <x:v>구현, 코드 리뷰, 사양 갱신, 대상 QA 케이스 실행, 로그·텔레메트리 확인과 관련 플랫폼 검증을 완료하고 미해결 P0·P1 결함이 없다.</x:v>
      </x:c>
      <x:c r="I26" s="36" t="str">
        <x:v>알파</x:v>
      </x:c>
      <x:c r="J26" s="36" t="str">
        <x:v>P0</x:v>
      </x:c>
      <x:c r="K26" s="36" t="str">
        <x:v>필수</x:v>
      </x:c>
      <x:c r="L26" s="36" t="str">
        <x:v>운영</x:v>
      </x:c>
      <x:c r="M26" s="36" t="str">
        <x:v>알파</x:v>
      </x:c>
      <x:c r="N26" s="36" t="str">
        <x:v>네트워크 엔지니어링</x:v>
      </x:c>
      <x:c r="O26" s="36" t="str">
        <x:v>미정</x:v>
      </x:c>
      <x:c r="P26" s="36" t="str">
        <x:v>미정</x:v>
      </x:c>
      <x:c r="Q26" s="36" t="str">
        <x:v>전체</x:v>
      </x:c>
      <x:c r="R26" s="36" t="str">
        <x:v>클라이언트 로컬</x:v>
      </x:c>
      <x:c r="S26" s="36" t="str">
        <x:v>감사 로그</x:v>
      </x:c>
      <x:c r="T26" s="36" t="str">
        <x:v>M</x:v>
      </x:c>
      <x:c r="U26" s="36" t="str">
        <x:v>미착수</x:v>
      </x:c>
      <x:c r="V26" s="46" t="n">
        <x:f>IF(U26="완료",1,IF(U26="QA 진행 중",0.8,IF(U26="코드 리뷰",0.65,IF(U26="구현 중",0.4,IF(U26="사양 확인 중",0.1,IF(U26="차단",0.4,0))))))</x:f>
        <x:v>0</x:v>
      </x:c>
      <x:c r="W26" s="36" t="str">
        <x:v>미정</x:v>
      </x:c>
      <x:c r="X26" s="44"/>
      <x:c r="Y26" s="36" t="str">
        <x:v>ONL-020,BED-018</x:v>
      </x:c>
      <x:c r="Z26" s="36" t="str">
        <x:v>중간</x:v>
      </x:c>
      <x:c r="AA26" s="36" t="str">
        <x:v>운영</x:v>
      </x:c>
      <x:c r="AB26" s="36" t="str">
        <x:v>TC-NET-025-01, TC-NET-025-02</x:v>
      </x:c>
      <x:c r="AC26" s="36"/>
      <x:c r="AD26" s="36" t="str">
        <x:v>게임 기획서</x:v>
      </x:c>
      <x:c r="AE26" s="36"/>
      <x:c r="AF26" s="44" t="str">
        <x:v>2026-07-10</x:v>
      </x:c>
      <x:c r="AG26" s="36"/>
      <x:c r="AH26" s="54"/>
      <x:c r="AI26" s="54"/>
      <x:c r="AJ26" s="53" t="str">
        <x:v>착수 전</x:v>
      </x:c>
    </x:row>
    <x:row r="27" ht="42" customHeight="1">
      <x:c r="A27" s="36" t="str">
        <x:v>NET-026</x:v>
      </x:c>
      <x:c r="B27" s="36" t="str">
        <x:v>네트워크 동기화·보안</x:v>
      </x:c>
      <x:c r="C27" s="36" t="str">
        <x:v>보안</x:v>
      </x:c>
      <x:c r="D27" s="36" t="str">
        <x:v>이상 탐지</x:v>
      </x:c>
      <x:c r="E27" s="36" t="str">
        <x:v>비정상 요청·속도·연속 입력 탐지</x:v>
      </x:c>
      <x:c r="F27" s="36" t="str">
        <x:v>게임 규칙, 운영 요구사항과 대상 플랫폼 제약을 충족하도록 비정상 요청·속도·연속 입력 탐지 기능을 구현하고 검증한다.</x:v>
      </x:c>
      <x:c r="G27" s="36" t="str">
        <x:v>거리 밖 부착, 위조 횟수 초과, 보상 연속 요청, 중복 투표, 속도 초과를 탐지하고 단계적으로 거부, 연결 종료, 감사 기록을 수행한다.</x:v>
      </x:c>
      <x:c r="H27" s="36" t="str">
        <x:v>구현, 코드 리뷰, 사양 갱신, 대상 QA 케이스 실행, 로그·텔레메트리 확인과 관련 플랫폼 검증을 완료하고 미해결 P0·P1 결함이 없다.</x:v>
      </x:c>
      <x:c r="I27" s="36" t="str">
        <x:v>알파</x:v>
      </x:c>
      <x:c r="J27" s="36" t="str">
        <x:v>P0</x:v>
      </x:c>
      <x:c r="K27" s="36" t="str">
        <x:v>필수</x:v>
      </x:c>
      <x:c r="L27" s="36" t="str">
        <x:v>보안</x:v>
      </x:c>
      <x:c r="M27" s="36" t="str">
        <x:v>알파</x:v>
      </x:c>
      <x:c r="N27" s="36" t="str">
        <x:v>네트워크 엔지니어링</x:v>
      </x:c>
      <x:c r="O27" s="36" t="str">
        <x:v>미정</x:v>
      </x:c>
      <x:c r="P27" s="36" t="str">
        <x:v>미정</x:v>
      </x:c>
      <x:c r="Q27" s="36" t="str">
        <x:v>서버</x:v>
      </x:c>
      <x:c r="R27" s="36" t="str">
        <x:v>서버 권한</x:v>
      </x:c>
      <x:c r="S27" s="36" t="str">
        <x:v>감사 로그</x:v>
      </x:c>
      <x:c r="T27" s="36" t="str">
        <x:v>XL</x:v>
      </x:c>
      <x:c r="U27" s="36" t="str">
        <x:v>미착수</x:v>
      </x:c>
      <x:c r="V27" s="46" t="n">
        <x:f>IF(U27="완료",1,IF(U27="QA 진행 중",0.8,IF(U27="코드 리뷰",0.65,IF(U27="구현 중",0.4,IF(U27="사양 확인 중",0.1,IF(U27="차단",0.4,0))))))</x:f>
        <x:v>0</x:v>
      </x:c>
      <x:c r="W27" s="36" t="str">
        <x:v>미정</x:v>
      </x:c>
      <x:c r="X27" s="44"/>
      <x:c r="Y27" s="36" t="str">
        <x:v>NET-012,NET-013,NET-015,NET-016</x:v>
      </x:c>
      <x:c r="Z27" s="36" t="str">
        <x:v>중간</x:v>
      </x:c>
      <x:c r="AA27" s="36" t="str">
        <x:v>보안</x:v>
      </x:c>
      <x:c r="AB27" s="36" t="str">
        <x:v>TC-NET-026-01, TC-NET-026-02</x:v>
      </x:c>
      <x:c r="AC27" s="36"/>
      <x:c r="AD27" s="36" t="str">
        <x:v>게임 기획서</x:v>
      </x:c>
      <x:c r="AE27" s="36"/>
      <x:c r="AF27" s="44" t="str">
        <x:v>2026-07-10</x:v>
      </x:c>
      <x:c r="AG27" s="36"/>
      <x:c r="AH27" s="54"/>
      <x:c r="AI27" s="54"/>
      <x:c r="AJ27" s="53" t="str">
        <x:v>착수 전</x:v>
      </x:c>
    </x:row>
    <x:row r="28" ht="42" customHeight="1">
      <x:c r="A28" s="36" t="str">
        <x:v>NET-027</x:v>
      </x:c>
      <x:c r="B28" s="36" t="str">
        <x:v>네트워크 동기화·보안</x:v>
      </x:c>
      <x:c r="C28" s="36" t="str">
        <x:v>보안</x:v>
      </x:c>
      <x:c r="D28" s="36" t="str">
        <x:v>전송</x:v>
      </x:c>
      <x:c r="E28" s="36" t="str">
        <x:v>통신 암호화·토큰 재사용 방지</x:v>
      </x:c>
      <x:c r="F28" s="36" t="str">
        <x:v>게임 규칙, 운영 요구사항과 대상 플랫폼 제약을 충족하도록 통신 암호화·토큰 재사용 방지 기능을 구현하고 검증한다.</x:v>
      </x:c>
      <x:c r="G28" s="36" t="str">
        <x:v>통신 경로를 암호화하고 짧은 수명의 토큰, Nonce, 세션 바인딩으로 재생 공격을 방지한다. 인증서와 키 교체 절차를 정의한다.</x:v>
      </x:c>
      <x:c r="H28" s="36" t="str">
        <x:v>구현, 코드 리뷰, 사양 갱신, 대상 QA 케이스 실행, 로그·텔레메트리 확인과 관련 플랫폼 검증을 완료하고 미해결 P0·P1 결함이 없다.</x:v>
      </x:c>
      <x:c r="I28" s="36" t="str">
        <x:v>출시</x:v>
      </x:c>
      <x:c r="J28" s="36" t="str">
        <x:v>P0</x:v>
      </x:c>
      <x:c r="K28" s="36" t="str">
        <x:v>필수</x:v>
      </x:c>
      <x:c r="L28" s="36" t="str">
        <x:v>보안</x:v>
      </x:c>
      <x:c r="M28" s="36" t="str">
        <x:v>출시</x:v>
      </x:c>
      <x:c r="N28" s="36" t="str">
        <x:v>네트워크 엔지니어링</x:v>
      </x:c>
      <x:c r="O28" s="36" t="str">
        <x:v>미정</x:v>
      </x:c>
      <x:c r="P28" s="36" t="str">
        <x:v>미정</x:v>
      </x:c>
      <x:c r="Q28" s="36" t="str">
        <x:v>전체</x:v>
      </x:c>
      <x:c r="R28" s="36" t="str">
        <x:v>백엔드 권한</x:v>
      </x:c>
      <x:c r="S28" s="36" t="str">
        <x:v>감사 로그</x:v>
      </x:c>
      <x:c r="T28" s="36" t="str">
        <x:v>L</x:v>
      </x:c>
      <x:c r="U28" s="36" t="str">
        <x:v>미착수</x:v>
      </x:c>
      <x:c r="V28" s="46" t="n">
        <x:f>IF(U28="완료",1,IF(U28="QA 진행 중",0.8,IF(U28="코드 리뷰",0.65,IF(U28="구현 중",0.4,IF(U28="사양 확인 중",0.1,IF(U28="차단",0.4,0))))))</x:f>
        <x:v>0</x:v>
      </x:c>
      <x:c r="W28" s="36" t="str">
        <x:v>미정</x:v>
      </x:c>
      <x:c r="X28" s="44"/>
      <x:c r="Y28" s="36" t="str">
        <x:v>NET-004,BED-001</x:v>
      </x:c>
      <x:c r="Z28" s="36" t="str">
        <x:v>중간</x:v>
      </x:c>
      <x:c r="AA28" s="36" t="str">
        <x:v>보안</x:v>
      </x:c>
      <x:c r="AB28" s="36" t="str">
        <x:v>TC-NET-027-01, TC-NET-027-02</x:v>
      </x:c>
      <x:c r="AC28" s="36"/>
      <x:c r="AD28" s="36" t="str">
        <x:v>게임 기획서</x:v>
      </x:c>
      <x:c r="AE28" s="36"/>
      <x:c r="AF28" s="44" t="str">
        <x:v>2026-07-10</x:v>
      </x:c>
      <x:c r="AG28" s="36"/>
      <x:c r="AH28" s="54"/>
      <x:c r="AI28" s="54"/>
      <x:c r="AJ28" s="53" t="str">
        <x:v>착수 전</x:v>
      </x:c>
    </x:row>
    <x:row r="29" ht="42" customHeight="1">
      <x:c r="A29" s="36" t="str">
        <x:v>NET-028</x:v>
      </x:c>
      <x:c r="B29" s="36" t="str">
        <x:v>네트워크 동기화·보안</x:v>
      </x:c>
      <x:c r="C29" s="36" t="str">
        <x:v>개발자 도구</x:v>
      </x:c>
      <x:c r="D29" s="36" t="str">
        <x:v>패킷 디버그</x:v>
      </x:c>
      <x:c r="E29" s="36" t="str">
        <x:v>개발용 패킷 가시화·비공개 정보 마스킹</x:v>
      </x:c>
      <x:c r="F29" s="36" t="str">
        <x:v>게임 규칙, 운영 요구사항과 대상 플랫폼 제약을 충족하도록 개발용 패킷 가시화·비공개 정보 마스킹 기능을 구현하고 검증한다.</x:v>
      </x:c>
      <x:c r="G29" s="36" t="str">
        <x:v>메시지 유형, 크기, 빈도, 순번을 확인할 수 있지만 역할, 실제 작성자, 음성, 개인 정보는 권한과 빌드 유형에 따라 마스킹한다.</x:v>
      </x:c>
      <x:c r="H29" s="36" t="str">
        <x:v>구현, 코드 리뷰, 사양 갱신, 대상 QA 케이스 실행, 로그·텔레메트리 확인과 관련 플랫폼 검증을 완료하고 미해결 P0·P1 결함이 없다.</x:v>
      </x:c>
      <x:c r="I29" s="36" t="str">
        <x:v>알파</x:v>
      </x:c>
      <x:c r="J29" s="36" t="str">
        <x:v>P1</x:v>
      </x:c>
      <x:c r="K29" s="36" t="str">
        <x:v>필수</x:v>
      </x:c>
      <x:c r="L29" s="36" t="str">
        <x:v>개발 효율</x:v>
      </x:c>
      <x:c r="M29" s="36" t="str">
        <x:v>알파</x:v>
      </x:c>
      <x:c r="N29" s="36" t="str">
        <x:v>네트워크 엔지니어링</x:v>
      </x:c>
      <x:c r="O29" s="36" t="str">
        <x:v>미정</x:v>
      </x:c>
      <x:c r="P29" s="36" t="str">
        <x:v>미정</x:v>
      </x:c>
      <x:c r="Q29" s="36" t="str">
        <x:v>도구</x:v>
      </x:c>
      <x:c r="R29" s="36" t="str">
        <x:v>해당 없음</x:v>
      </x:c>
      <x:c r="S29" s="36" t="str">
        <x:v>없음</x:v>
      </x:c>
      <x:c r="T29" s="36" t="str">
        <x:v>L</x:v>
      </x:c>
      <x:c r="U29" s="36" t="str">
        <x:v>미착수</x:v>
      </x:c>
      <x:c r="V29" s="46" t="n">
        <x:f>IF(U29="완료",1,IF(U29="QA 진행 중",0.8,IF(U29="코드 리뷰",0.65,IF(U29="구현 중",0.4,IF(U29="사양 확인 중",0.1,IF(U29="차단",0.4,0))))))</x:f>
        <x:v>0</x:v>
      </x:c>
      <x:c r="W29" s="36" t="str">
        <x:v>미정</x:v>
      </x:c>
      <x:c r="X29" s="44"/>
      <x:c r="Y29" s="36" t="str">
        <x:v>NET-011,NET-018</x:v>
      </x:c>
      <x:c r="Z29" s="36" t="str">
        <x:v>중간</x:v>
      </x:c>
      <x:c r="AA29" s="36" t="str">
        <x:v>보안</x:v>
      </x:c>
      <x:c r="AB29" s="36" t="str">
        <x:v>TC-NET-028-01</x:v>
      </x:c>
      <x:c r="AC29" s="36"/>
      <x:c r="AD29" s="36" t="str">
        <x:v>게임 기획서</x:v>
      </x:c>
      <x:c r="AE29" s="36"/>
      <x:c r="AF29" s="44" t="str">
        <x:v>2026-07-10</x:v>
      </x:c>
      <x:c r="AG29" s="36"/>
      <x:c r="AH29" s="54"/>
      <x:c r="AI29" s="54"/>
      <x:c r="AJ29" s="53" t="str">
        <x:v>착수 전</x:v>
      </x:c>
    </x:row>
    <x:row r="30" ht="42" customHeight="1">
      <x:c r="A30" s="36" t="str">
        <x:v>NET-029</x:v>
      </x:c>
      <x:c r="B30" s="36" t="str">
        <x:v>네트워크 동기화·보안</x:v>
      </x:c>
      <x:c r="C30" s="36" t="str">
        <x:v>성능</x:v>
      </x:c>
      <x:c r="D30" s="36" t="str">
        <x:v>장시간·부하</x:v>
      </x:c>
      <x:c r="E30" s="36" t="str">
        <x:v>다중 세션 부하·장시간 안정성 시험</x:v>
      </x:c>
      <x:c r="F30" s="36" t="str">
        <x:v>게임 규칙, 운영 요구사항과 대상 플랫폼 제약을 충족하도록 다중 세션 부하·장시간 안정성 시험 기능을 구현하고 검증한다.</x:v>
      </x:c>
      <x:c r="G30" s="36" t="str">
        <x:v>목표 동시 접속 수와 24시간 상당 연속 시험에서 메모리 증가, 틱 지연, 연결 종료율, 상태 불일치가 기준 안에 들어온다.</x:v>
      </x:c>
      <x:c r="H30" s="36" t="str">
        <x:v>구현, 코드 리뷰, 사양 갱신, 대상 QA 케이스 실행, 로그·텔레메트리 확인과 관련 플랫폼 검증을 완료하고 미해결 P0·P1 결함이 없다.</x:v>
      </x:c>
      <x:c r="I30" s="36" t="str">
        <x:v>릴리스 후보</x:v>
      </x:c>
      <x:c r="J30" s="36" t="str">
        <x:v>P0</x:v>
      </x:c>
      <x:c r="K30" s="36" t="str">
        <x:v>필수</x:v>
      </x:c>
      <x:c r="L30" s="36" t="str">
        <x:v>성능</x:v>
      </x:c>
      <x:c r="M30" s="36" t="str">
        <x:v>릴리스 후보</x:v>
      </x:c>
      <x:c r="N30" s="36" t="str">
        <x:v>네트워크 엔지니어링</x:v>
      </x:c>
      <x:c r="O30" s="36" t="str">
        <x:v>미정</x:v>
      </x:c>
      <x:c r="P30" s="36" t="str">
        <x:v>미정</x:v>
      </x:c>
      <x:c r="Q30" s="36" t="str">
        <x:v>서버</x:v>
      </x:c>
      <x:c r="R30" s="36" t="str">
        <x:v>해당 없음</x:v>
      </x:c>
      <x:c r="S30" s="36" t="str">
        <x:v>백엔드</x:v>
      </x:c>
      <x:c r="T30" s="36" t="str">
        <x:v>XL</x:v>
      </x:c>
      <x:c r="U30" s="36" t="str">
        <x:v>미착수</x:v>
      </x:c>
      <x:c r="V30" s="46" t="n">
        <x:f>IF(U30="완료",1,IF(U30="QA 진행 중",0.8,IF(U30="코드 리뷰",0.65,IF(U30="구현 중",0.4,IF(U30="사양 확인 중",0.1,IF(U30="차단",0.4,0))))))</x:f>
        <x:v>0</x:v>
      </x:c>
      <x:c r="W30" s="36" t="str">
        <x:v>미정</x:v>
      </x:c>
      <x:c r="X30" s="44"/>
      <x:c r="Y30" s="36" t="str">
        <x:v>NET-022,NET-023,QAR-020</x:v>
      </x:c>
      <x:c r="Z30" s="36" t="str">
        <x:v>중간</x:v>
      </x:c>
      <x:c r="AA30" s="36" t="str">
        <x:v>성능</x:v>
      </x:c>
      <x:c r="AB30" s="36" t="str">
        <x:v>TC-NET-029-01, TC-NET-029-02</x:v>
      </x:c>
      <x:c r="AC30" s="36"/>
      <x:c r="AD30" s="36" t="str">
        <x:v>게임 기획서</x:v>
      </x:c>
      <x:c r="AE30" s="36"/>
      <x:c r="AF30" s="44" t="str">
        <x:v>2026-07-10</x:v>
      </x:c>
      <x:c r="AG30" s="36"/>
      <x:c r="AH30" s="54"/>
      <x:c r="AI30" s="54"/>
      <x:c r="AJ30" s="53" t="str">
        <x:v>착수 전</x:v>
      </x:c>
    </x:row>
    <x:row r="31" ht="42" customHeight="1">
      <x:c r="A31" s="36" t="str">
        <x:v>NET-030</x:v>
      </x:c>
      <x:c r="B31" s="36" t="str">
        <x:v>네트워크 동기화·보안</x:v>
      </x:c>
      <x:c r="C31" s="36" t="str">
        <x:v>호환성</x:v>
      </x:c>
      <x:c r="D31" s="36" t="str">
        <x:v>직렬화</x:v>
      </x:c>
      <x:c r="E31" s="36" t="str">
        <x:v>크로스플랫폼 직렬화·엔디언 검증</x:v>
      </x:c>
      <x:c r="F31" s="36" t="str">
        <x:v>게임 규칙, 운영 요구사항과 대상 플랫폼 제약을 충족하도록 크로스플랫폼 직렬화·엔디언 검증 기능을 구현하고 검증한다.</x:v>
      </x:c>
      <x:c r="G31" s="36" t="str">
        <x:v>지원 플랫폼 간 숫자, 열거형, 문자열, 시각, 선택 필드가 동일하게 해석되고 알 수 없는 필드 추가에도 전방 호환성을 유지한다.</x:v>
      </x:c>
      <x:c r="H31" s="36" t="str">
        <x:v>구현, 코드 리뷰, 사양 갱신, 대상 QA 케이스 실행, 로그·텔레메트리 확인과 관련 플랫폼 검증을 완료하고 미해결 P0·P1 결함이 없다.</x:v>
      </x:c>
      <x:c r="I31" s="36" t="str">
        <x:v>베타</x:v>
      </x:c>
      <x:c r="J31" s="36" t="str">
        <x:v>P0</x:v>
      </x:c>
      <x:c r="K31" s="36" t="str">
        <x:v>필수</x:v>
      </x:c>
      <x:c r="L31" s="36" t="str">
        <x:v>호환성</x:v>
      </x:c>
      <x:c r="M31" s="36" t="str">
        <x:v>베타</x:v>
      </x:c>
      <x:c r="N31" s="36" t="str">
        <x:v>네트워크 엔지니어링</x:v>
      </x:c>
      <x:c r="O31" s="36" t="str">
        <x:v>미정</x:v>
      </x:c>
      <x:c r="P31" s="36" t="str">
        <x:v>미정</x:v>
      </x:c>
      <x:c r="Q31" s="36" t="str">
        <x:v>전체</x:v>
      </x:c>
      <x:c r="R31" s="36" t="str">
        <x:v>해당 없음</x:v>
      </x:c>
      <x:c r="S31" s="36" t="str">
        <x:v>없음</x:v>
      </x:c>
      <x:c r="T31" s="36" t="str">
        <x:v>L</x:v>
      </x:c>
      <x:c r="U31" s="36" t="str">
        <x:v>미착수</x:v>
      </x:c>
      <x:c r="V31" s="46" t="n">
        <x:f>IF(U31="완료",1,IF(U31="QA 진행 중",0.8,IF(U31="코드 리뷰",0.65,IF(U31="구현 중",0.4,IF(U31="사양 확인 중",0.1,IF(U31="차단",0.4,0))))))</x:f>
        <x:v>0</x:v>
      </x:c>
      <x:c r="W31" s="36" t="str">
        <x:v>미정</x:v>
      </x:c>
      <x:c r="X31" s="44"/>
      <x:c r="Y31" s="36" t="str">
        <x:v>NET-002</x:v>
      </x:c>
      <x:c r="Z31" s="36" t="str">
        <x:v>중간</x:v>
      </x:c>
      <x:c r="AA31" s="36" t="str">
        <x:v>호환성</x:v>
      </x:c>
      <x:c r="AB31" s="36" t="str">
        <x:v>TC-NET-030-01, TC-NET-030-02</x:v>
      </x:c>
      <x:c r="AC31" s="36"/>
      <x:c r="AD31" s="36" t="str">
        <x:v>게임 기획서</x:v>
      </x:c>
      <x:c r="AE31" s="36"/>
      <x:c r="AF31" s="44" t="str">
        <x:v>2026-07-10</x:v>
      </x:c>
      <x:c r="AG31" s="36"/>
      <x:c r="AH31" s="54"/>
      <x:c r="AI31" s="54"/>
      <x:c r="AJ31" s="53" t="str">
        <x:v>착수 전</x:v>
      </x:c>
    </x:row>
  </x:sheetData>
  <x:conditionalFormatting sqref="U2:U31">
    <x:cfRule type="expression" dxfId="0" priority="1">
      <x:formula>U2="완료"</x:formula>
    </x:cfRule>
    <x:cfRule type="expression" dxfId="1" priority="2">
      <x:formula>U2="통과"</x:formula>
    </x:cfRule>
    <x:cfRule type="expression" dxfId="2" priority="3">
      <x:formula>U2="차단"</x:formula>
    </x:cfRule>
    <x:cfRule type="expression" dxfId="3" priority="4">
      <x:formula>U2="실패"</x:formula>
    </x:cfRule>
    <x:cfRule type="expression" dxfId="4" priority="5">
      <x:formula>U2="구현 중"</x:formula>
    </x:cfRule>
    <x:cfRule type="expression" dxfId="5" priority="6">
      <x:formula>U2="QA 진행 중"</x:formula>
    </x:cfRule>
  </x:conditionalFormatting>
  <x:conditionalFormatting sqref="J2:J31">
    <x:cfRule type="expression" dxfId="6" priority="7">
      <x:formula>J2="P0"</x:formula>
    </x:cfRule>
    <x:cfRule type="expression" dxfId="7" priority="8">
      <x:formula>J2="P1"</x:formula>
    </x:cfRule>
  </x:conditionalFormatting>
  <x:conditionalFormatting sqref="Z2:Z31">
    <x:cfRule type="expression" dxfId="8" priority="9">
      <x:formula>Z2="높음"</x:formula>
    </x:cfRule>
    <x:cfRule type="expression" dxfId="9" priority="10">
      <x:formula>Z2="중간"</x:formula>
    </x:cfRule>
  </x:conditionalFormatting>
  <x:conditionalFormatting sqref="AJ2:AJ31">
    <x:cfRule type="expression" dxfId="30" priority="11">
      <x:formula>AJ2="착수 전"</x:formula>
    </x:cfRule>
    <x:cfRule type="expression" dxfId="31" priority="12">
      <x:formula>AJ2="작업 중"</x:formula>
    </x:cfRule>
    <x:cfRule type="expression" dxfId="32" priority="13">
      <x:formula>AJ2="완료"</x:formula>
    </x:cfRule>
  </x:conditionalFormatting>
  <x:dataValidations count="11">
    <x:dataValidation type="list" sqref="I2:I31">
      <x:formula1>"MVP,알파,베타,릴리스 후보,출시,출시 후,대상 제외"</x:formula1>
    </x:dataValidation>
    <x:dataValidation type="list" sqref="J2:J31">
      <x:formula1>"P0,P1,P2,P3"</x:formula1>
    </x:dataValidation>
    <x:dataValidation type="list" sqref="K2:K31">
      <x:formula1>"필수,조건부,권장,대상 제외"</x:formula1>
    </x:dataValidation>
    <x:dataValidation type="list" sqref="Q2:Q31">
      <x:formula1>"전체,PC,콘솔,모바일,서버,백엔드,도구,웹·관리자"</x:formula1>
    </x:dataValidation>
    <x:dataValidation type="list" sqref="R2:R31">
      <x:formula1>"서버 권한,클라이언트 예측·서버 검증,클라이언트 로컬,백엔드 권한,호스트 권한,콘텐츠 데이터,해당 없음"</x:formula1>
    </x:dataValidation>
    <x:dataValidation type="list" sqref="S2:S31">
      <x:formula1>"없음,세션,매치,계정,단말 로컬,백엔드,감사 로그"</x:formula1>
    </x:dataValidation>
    <x:dataValidation type="list" sqref="T2:T31">
      <x:formula1>"XS,S,M,L,XL,분할 필요"</x:formula1>
    </x:dataValidation>
    <x:dataValidation type="list" sqref="U2:U31">
      <x:formula1>"미착수,사양 확인 중,구현 중,코드 리뷰,QA 진행 중,차단,완료,보류"</x:formula1>
    </x:dataValidation>
    <x:dataValidation type="list" sqref="Z2:Z31">
      <x:formula1>"높음,중간,낮음"</x:formula1>
    </x:dataValidation>
    <x:dataValidation type="list" sqref="AA2:AA31">
      <x:formula1>"기능,통합,경계값,네트워크,보안,성능,호환성,사용성,접근성,현지화,밸런스,운영,안전,부하"</x:formula1>
    </x:dataValidation>
    <x:dataValidation type="list" sqref="AJ2:AJ31">
      <x:formula1>"착수 전,작업 중,완료"</x:formula1>
    </x:dataValidation>
  </x:dataValidations>
  <x:pageMargins left="0.7" right="0.7" top="0.75" bottom="0.75" header="0.3" footer="0.3"/>
  <x:tableParts count="1">
    <x:tablePart xmlns:r="http://schemas.openxmlformats.org/officeDocument/2006/relationships" r:id="Rfa8c14f3766c4b24"/>
  </x:tableParts>
</x:worksheet>
</file>

<file path=xl/worksheets/sheet3.xml><?xml version="1.0" encoding="utf-8"?>
<x:worksheet xmlns:x="http://schemas.openxmlformats.org/spreadsheetml/2006/main">
  <x:sheetFormatPr defaultRowHeight="15"/>
  <x:cols>
    <x:col min="1" max="1" width="24" hidden="0" customWidth="1"/>
    <x:col min="2" max="2" width="22" hidden="0" customWidth="1"/>
    <x:col min="3" max="3" width="34" hidden="0" customWidth="1"/>
    <x:col min="4" max="4" width="32" hidden="0" customWidth="1"/>
    <x:col min="5" max="5" width="34" hidden="0" customWidth="1"/>
    <x:col min="6" max="6" width="16" hidden="0" customWidth="1"/>
    <x:col min="7" max="7" width="24" hidden="0" customWidth="1"/>
  </x:cols>
  <x:sheetData>
    <x:row r="1" ht="30" customHeight="1">
      <x:c r="A1" s="40" t="str">
        <x:v>상태·데이터</x:v>
      </x:c>
      <x:c r="B1" s="40" t="str">
        <x:v>권한 주체</x:v>
      </x:c>
      <x:c r="C1" s="40" t="str">
        <x:v>클라이언트 수신 정보</x:v>
      </x:c>
      <x:c r="D1" s="40" t="str">
        <x:v>클라이언트 요청</x:v>
      </x:c>
      <x:c r="E1" s="40" t="str">
        <x:v>검증 항목</x:v>
      </x:c>
      <x:c r="F1" s="40" t="str">
        <x:v>저장 범위</x:v>
      </x:c>
      <x:c r="G1" s="40" t="str">
        <x:v>관련 ID</x:v>
      </x:c>
    </x:row>
    <x:row r="2" ht="42" customHeight="1">
      <x:c r="A2" s="36" t="str">
        <x:v>역할</x:v>
      </x:c>
      <x:c r="B2" s="36" t="str">
        <x:v>서버</x:v>
      </x:c>
      <x:c r="C2" s="36" t="str">
        <x:v>본인 역할만</x:v>
      </x:c>
      <x:c r="D2" s="36" t="str">
        <x:v>없음</x:v>
      </x:c>
      <x:c r="E2" s="36" t="str">
        <x:v>인증·수신 대상</x:v>
      </x:c>
      <x:c r="F2" s="36" t="str">
        <x:v>매치</x:v>
      </x:c>
      <x:c r="G2" s="36" t="str">
        <x:v>NET-017</x:v>
      </x:c>
    </x:row>
    <x:row r="3" ht="42" customHeight="1">
      <x:c r="A3" s="36" t="str">
        <x:v>플레이어 색상</x:v>
      </x:c>
      <x:c r="B3" s="36" t="str">
        <x:v>서버</x:v>
      </x:c>
      <x:c r="C3" s="36" t="str">
        <x:v>전체 공개 색상</x:v>
      </x:c>
      <x:c r="D3" s="36" t="str">
        <x:v>선택·예약</x:v>
      </x:c>
      <x:c r="E3" s="36" t="str">
        <x:v>중복·사용 가능 여부</x:v>
      </x:c>
      <x:c r="F3" s="36" t="str">
        <x:v>세션</x:v>
      </x:c>
      <x:c r="G3" s="36" t="str">
        <x:v>NET-006,ONL-009</x:v>
      </x:c>
    </x:row>
    <x:row r="4" ht="42" customHeight="1">
      <x:c r="A4" s="36" t="str">
        <x:v>메모 인벤토리</x:v>
      </x:c>
      <x:c r="B4" s="36" t="str">
        <x:v>서버</x:v>
      </x:c>
      <x:c r="C4" s="36" t="str">
        <x:v>본인 보유 수</x:v>
      </x:c>
      <x:c r="D4" s="36" t="str">
        <x:v>작성·소비</x:v>
      </x:c>
      <x:c r="E4" s="36" t="str">
        <x:v>소유권·상한</x:v>
      </x:c>
      <x:c r="F4" s="36" t="str">
        <x:v>매치</x:v>
      </x:c>
      <x:c r="G4" s="36" t="str">
        <x:v>NET-013,NET-014</x:v>
      </x:c>
    </x:row>
    <x:row r="5" ht="42" customHeight="1">
      <x:c r="A5" s="36" t="str">
        <x:v>등 메모 공개 정보</x:v>
      </x:c>
      <x:c r="B5" s="36" t="str">
        <x:v>서버</x:v>
      </x:c>
      <x:c r="C5" s="36" t="str">
        <x:v>타인의 색상·문구·순서</x:v>
      </x:c>
      <x:c r="D5" s="36" t="str">
        <x:v>부착 요청</x:v>
      </x:c>
      <x:c r="E5" s="36" t="str">
        <x:v>거리·각도·페이즈</x:v>
      </x:c>
      <x:c r="F5" s="36" t="str">
        <x:v>매치</x:v>
      </x:c>
      <x:c r="G5" s="36" t="str">
        <x:v>NET-014,NET-018</x:v>
      </x:c>
    </x:row>
    <x:row r="6" ht="42" customHeight="1">
      <x:c r="A6" s="36" t="str">
        <x:v>등 메모 비공개 정보</x:v>
      </x:c>
      <x:c r="B6" s="36" t="str">
        <x:v>서버</x:v>
      </x:c>
      <x:c r="C6" s="36" t="str">
        <x:v>본인에게 전송하지 않음</x:v>
      </x:c>
      <x:c r="D6" s="36" t="str">
        <x:v>없음</x:v>
      </x:c>
      <x:c r="E6" s="36" t="str">
        <x:v>수신자 필터</x:v>
      </x:c>
      <x:c r="F6" s="36" t="str">
        <x:v>매치</x:v>
      </x:c>
      <x:c r="G6" s="36" t="str">
        <x:v>NET-018</x:v>
      </x:c>
    </x:row>
    <x:row r="7" ht="42" customHeight="1">
      <x:c r="A7" s="36" t="str">
        <x:v>투표</x:v>
      </x:c>
      <x:c r="B7" s="36" t="str">
        <x:v>서버</x:v>
      </x:c>
      <x:c r="C7" s="36" t="str">
        <x:v>집계 완료 결과만</x:v>
      </x:c>
      <x:c r="D7" s="36" t="str">
        <x:v>1표 전송</x:v>
      </x:c>
      <x:c r="E7" s="36" t="str">
        <x:v>생존·마감·고유성</x:v>
      </x:c>
      <x:c r="F7" s="36" t="str">
        <x:v>매치</x:v>
      </x:c>
      <x:c r="G7" s="36" t="str">
        <x:v>NET-016</x:v>
      </x:c>
    </x:row>
    <x:row r="8" ht="42" customHeight="1">
      <x:c r="A8" s="36" t="str">
        <x:v>룸 설정</x:v>
      </x:c>
      <x:c r="B8" s="36" t="str">
        <x:v>서버</x:v>
      </x:c>
      <x:c r="C8" s="36" t="str">
        <x:v>확정값·버전</x:v>
      </x:c>
      <x:c r="D8" s="36" t="str">
        <x:v>호스트 변경 요청</x:v>
      </x:c>
      <x:c r="E8" s="36" t="str">
        <x:v>권한·조합</x:v>
      </x:c>
      <x:c r="F8" s="36" t="str">
        <x:v>세션</x:v>
      </x:c>
      <x:c r="G8" s="36" t="str">
        <x:v>NET-007</x:v>
      </x:c>
    </x:row>
    <x:row r="9" ht="42" customHeight="1">
      <x:c r="A9" s="36" t="str">
        <x:v>이동</x:v>
      </x:c>
      <x:c r="B9" s="36" t="str">
        <x:v>서버</x:v>
      </x:c>
      <x:c r="C9" s="36" t="str">
        <x:v>전체 위치·회전</x:v>
      </x:c>
      <x:c r="D9" s="36" t="str">
        <x:v>입력·예측</x:v>
      </x:c>
      <x:c r="E9" s="36" t="str">
        <x:v>속도·범위</x:v>
      </x:c>
      <x:c r="F9" s="36" t="str">
        <x:v>세션</x:v>
      </x:c>
      <x:c r="G9" s="36" t="str">
        <x:v>NET-009</x:v>
      </x:c>
    </x:row>
  </x:sheetData>
  <x:pageMargins left="0.7" right="0.7" top="0.75" bottom="0.75" header="0.3" footer="0.3"/>
  <x:tableParts count="1">
    <x:tablePart xmlns:r="http://schemas.openxmlformats.org/officeDocument/2006/relationships" r:id="R83c311bec8214457"/>
  </x:tableParts>
</x:worksheet>
</file>

<file path=xl/worksheets/sheet4.xml><?xml version="1.0" encoding="utf-8"?>
<x:worksheet xmlns:x="http://schemas.openxmlformats.org/spreadsheetml/2006/main">
  <x:sheetFormatPr defaultRowHeight="15"/>
  <x:cols>
    <x:col min="1" max="1" width="28" hidden="0" customWidth="1"/>
    <x:col min="2" max="2" width="12" hidden="0" customWidth="1"/>
    <x:col min="3" max="3" width="14" hidden="0" customWidth="1"/>
    <x:col min="4" max="4" width="14" hidden="0" customWidth="1"/>
    <x:col min="5" max="5" width="42" hidden="0" customWidth="1"/>
    <x:col min="6" max="6" width="42" hidden="0" customWidth="1"/>
    <x:col min="7" max="7" width="22" hidden="0" customWidth="1"/>
    <x:col min="8" max="8" width="18" hidden="0" customWidth="1"/>
    <x:col min="9" max="9" width="24" hidden="0" customWidth="1"/>
  </x:cols>
  <x:sheetData>
    <x:row r="1" ht="30" customHeight="1">
      <x:c r="A1" s="40" t="str">
        <x:v>메시지</x:v>
      </x:c>
      <x:c r="B1" s="40" t="str">
        <x:v>방향</x:v>
      </x:c>
      <x:c r="C1" s="40" t="str">
        <x:v>전송 방식</x:v>
      </x:c>
      <x:c r="D1" s="40" t="str">
        <x:v>빈도</x:v>
      </x:c>
      <x:c r="E1" s="40" t="str">
        <x:v>페이로드 요약</x:v>
      </x:c>
      <x:c r="F1" s="40" t="str">
        <x:v>서버 검증</x:v>
      </x:c>
      <x:c r="G1" s="40" t="str">
        <x:v>공개 범위</x:v>
      </x:c>
      <x:c r="H1" s="40" t="str">
        <x:v>멱등 키</x:v>
      </x:c>
      <x:c r="I1" s="40" t="str">
        <x:v>관련 ID</x:v>
      </x:c>
    </x:row>
    <x:row r="2" ht="42" customHeight="1">
      <x:c r="A2" s="36" t="str">
        <x:v>C2S_AttachMemo</x:v>
      </x:c>
      <x:c r="B2" s="36" t="str">
        <x:v>클라이언트→서버</x:v>
      </x:c>
      <x:c r="C2" s="36" t="str">
        <x:v>신뢰성</x:v>
      </x:c>
      <x:c r="D2" s="36" t="str">
        <x:v>행동 시</x:v>
      </x:c>
      <x:c r="E2" s="36" t="str">
        <x:v>operationId, memoId, targetId, startTick</x:v>
      </x:c>
      <x:c r="F2" s="36" t="str">
        <x:v>역할·페이즈·소유권·거리·각도</x:v>
      </x:c>
      <x:c r="G2" s="36" t="str">
        <x:v>서버 전용</x:v>
      </x:c>
      <x:c r="H2" s="36" t="str">
        <x:v>operationId</x:v>
      </x:c>
      <x:c r="I2" s="36" t="str">
        <x:v>NET-013</x:v>
      </x:c>
    </x:row>
    <x:row r="3" ht="42" customHeight="1">
      <x:c r="A3" s="36" t="str">
        <x:v>S2C_MemoCommitted</x:v>
      </x:c>
      <x:c r="B3" s="36" t="str">
        <x:v>서버→클라이언트</x:v>
      </x:c>
      <x:c r="C3" s="36" t="str">
        <x:v>신뢰성</x:v>
      </x:c>
      <x:c r="D3" s="36" t="str">
        <x:v>성공 시</x:v>
      </x:c>
      <x:c r="E3" s="36" t="str">
        <x:v>targetId, publicMemo, order</x:v>
      </x:c>
      <x:c r="F3" s="36" t="str">
        <x:v>해당 없음</x:v>
      </x:c>
      <x:c r="G3" s="36" t="str">
        <x:v>수신자 필터</x:v>
      </x:c>
      <x:c r="H3" s="36" t="str">
        <x:v>eventSeq</x:v>
      </x:c>
      <x:c r="I3" s="36" t="str">
        <x:v>NET-014</x:v>
      </x:c>
    </x:row>
    <x:row r="4" ht="42" customHeight="1">
      <x:c r="A4" s="36" t="str">
        <x:v>C2S_CompleteMinigame</x:v>
      </x:c>
      <x:c r="B4" s="36" t="str">
        <x:v>클라이언트→서버</x:v>
      </x:c>
      <x:c r="C4" s="36" t="str">
        <x:v>신뢰성</x:v>
      </x:c>
      <x:c r="D4" s="36" t="str">
        <x:v>완료 시</x:v>
      </x:c>
      <x:c r="E4" s="36" t="str">
        <x:v>instanceId, nonce, result</x:v>
      </x:c>
      <x:c r="F4" s="36" t="str">
        <x:v>인스턴스·참가자·결과</x:v>
      </x:c>
      <x:c r="G4" s="36" t="str">
        <x:v>서버 전용</x:v>
      </x:c>
      <x:c r="H4" s="36" t="str">
        <x:v>nonce</x:v>
      </x:c>
      <x:c r="I4" s="36" t="str">
        <x:v>NET-015</x:v>
      </x:c>
    </x:row>
    <x:row r="5" ht="42" customHeight="1">
      <x:c r="A5" s="36" t="str">
        <x:v>C2S_SubmitVote</x:v>
      </x:c>
      <x:c r="B5" s="36" t="str">
        <x:v>클라이언트→서버</x:v>
      </x:c>
      <x:c r="C5" s="36" t="str">
        <x:v>신뢰성</x:v>
      </x:c>
      <x:c r="D5" s="36" t="str">
        <x:v>페이즈당 1회</x:v>
      </x:c>
      <x:c r="E5" s="36" t="str">
        <x:v>phaseId, targetId, nonce</x:v>
      </x:c>
      <x:c r="F5" s="36" t="str">
        <x:v>생존·마감·고유성</x:v>
      </x:c>
      <x:c r="G5" s="36" t="str">
        <x:v>서버 전용</x:v>
      </x:c>
      <x:c r="H5" s="36" t="str">
        <x:v>nonce</x:v>
      </x:c>
      <x:c r="I5" s="36" t="str">
        <x:v>NET-016</x:v>
      </x:c>
    </x:row>
    <x:row r="6" ht="42" customHeight="1">
      <x:c r="A6" s="36" t="str">
        <x:v>S2C_PhaseChanged</x:v>
      </x:c>
      <x:c r="B6" s="36" t="str">
        <x:v>서버→클라이언트</x:v>
      </x:c>
      <x:c r="C6" s="36" t="str">
        <x:v>신뢰성</x:v>
      </x:c>
      <x:c r="D6" s="36" t="str">
        <x:v>페이즈당 1회</x:v>
      </x:c>
      <x:c r="E6" s="36" t="str">
        <x:v>phaseId, startAt, endAt, day, configVer</x:v>
      </x:c>
      <x:c r="F6" s="36" t="str">
        <x:v>해당 없음</x:v>
      </x:c>
      <x:c r="G6" s="36" t="str">
        <x:v>전체</x:v>
      </x:c>
      <x:c r="H6" s="36" t="str">
        <x:v>phaseId</x:v>
      </x:c>
      <x:c r="I6" s="36" t="str">
        <x:v>NET-010</x:v>
      </x:c>
    </x:row>
    <x:row r="7" ht="42" customHeight="1">
      <x:c r="A7" s="36" t="str">
        <x:v>S2C_Snapshot</x:v>
      </x:c>
      <x:c r="B7" s="36" t="str">
        <x:v>서버→클라이언트</x:v>
      </x:c>
      <x:c r="C7" s="36" t="str">
        <x:v>신뢰성</x:v>
      </x:c>
      <x:c r="D7" s="36" t="str">
        <x:v>재접속 시</x:v>
      </x:c>
      <x:c r="E7" s="36" t="str">
        <x:v>snapshotVer, lastSeq, visibleState</x:v>
      </x:c>
      <x:c r="F7" s="36" t="str">
        <x:v>인증·수신자 필터</x:v>
      </x:c>
      <x:c r="G7" s="36" t="str">
        <x:v>수신자 필터</x:v>
      </x:c>
      <x:c r="H7" s="36" t="str">
        <x:v>snapshotVer</x:v>
      </x:c>
      <x:c r="I7" s="36" t="str">
        <x:v>NET-019</x:v>
      </x:c>
    </x:row>
    <x:row r="8" ht="42" customHeight="1">
      <x:c r="A8" s="36" t="str">
        <x:v>C2S_Input</x:v>
      </x:c>
      <x:c r="B8" s="36" t="str">
        <x:v>클라이언트→서버</x:v>
      </x:c>
      <x:c r="C8" s="36" t="str">
        <x:v>비신뢰성</x:v>
      </x:c>
      <x:c r="D8" s="36" t="str">
        <x:v>20~30Hz</x:v>
      </x:c>
      <x:c r="E8" s="36" t="str">
        <x:v>seq, move, look</x:v>
      </x:c>
      <x:c r="F8" s="36" t="str">
        <x:v>빈도·속도·상태</x:v>
      </x:c>
      <x:c r="G8" s="36" t="str">
        <x:v>서버 전용</x:v>
      </x:c>
      <x:c r="H8" s="36" t="str">
        <x:v>seq</x:v>
      </x:c>
      <x:c r="I8" s="36" t="str">
        <x:v>NET-009</x:v>
      </x:c>
    </x:row>
  </x:sheetData>
  <x:pageMargins left="0.7" right="0.7" top="0.75" bottom="0.75" header="0.3" footer="0.3"/>
  <x:tableParts count="1">
    <x:tablePart xmlns:r="http://schemas.openxmlformats.org/officeDocument/2006/relationships" r:id="R454b6261e0df44df"/>
  </x:tableParts>
</x:worksheet>
</file>

<file path=xl/worksheets/sheet5.xml><?xml version="1.0" encoding="utf-8"?>
<x:worksheet xmlns:x="http://schemas.openxmlformats.org/spreadsheetml/2006/main">
  <x:sheetFormatPr defaultRowHeight="15"/>
  <x:cols>
    <x:col min="1" max="1" width="22" hidden="0" customWidth="1"/>
    <x:col min="2" max="2" width="10" hidden="0" customWidth="1"/>
    <x:col min="3" max="3" width="10" hidden="0" customWidth="1"/>
    <x:col min="4" max="4" width="10" hidden="0" customWidth="1"/>
    <x:col min="5" max="5" width="14" hidden="0" customWidth="1"/>
    <x:col min="6" max="6" width="16" hidden="0" customWidth="1"/>
    <x:col min="7" max="7" width="46" hidden="0" customWidth="1"/>
    <x:col min="8" max="8" width="18" hidden="0" customWidth="1"/>
  </x:cols>
  <x:sheetData>
    <x:row r="1" ht="30" customHeight="1">
      <x:c r="A1" s="40" t="str">
        <x:v>프로파일</x:v>
      </x:c>
      <x:c r="B1" s="40" t="str">
        <x:v>RTT(ms)</x:v>
      </x:c>
      <x:c r="C1" s="40" t="str">
        <x:v>지터(ms)</x:v>
      </x:c>
      <x:c r="D1" s="40" t="str">
        <x:v>손실률</x:v>
      </x:c>
      <x:c r="E1" s="40" t="str">
        <x:v>대역폭</x:v>
      </x:c>
      <x:c r="F1" s="40" t="str">
        <x:v>연결 끊김</x:v>
      </x:c>
      <x:c r="G1" s="40" t="str">
        <x:v>기대 결과</x:v>
      </x:c>
      <x:c r="H1" s="40" t="str">
        <x:v>용도</x:v>
      </x:c>
    </x:row>
    <x:row r="2" ht="42" customHeight="1">
      <x:c r="A2" s="36" t="str">
        <x:v>LAN</x:v>
      </x:c>
      <x:c r="B2" s="36" t="n">
        <x:v>5</x:v>
      </x:c>
      <x:c r="C2" s="36" t="n">
        <x:v>1</x:v>
      </x:c>
      <x:c r="D2" s="36" t="str">
        <x:v>0%</x:v>
      </x:c>
      <x:c r="E2" s="36" t="str">
        <x:v>무제한</x:v>
      </x:c>
      <x:c r="F2" s="36" t="str">
        <x:v>없음</x:v>
      </x:c>
      <x:c r="G2" s="36" t="str">
        <x:v>기준 동작</x:v>
      </x:c>
      <x:c r="H2" s="36" t="str">
        <x:v>스모크</x:v>
      </x:c>
    </x:row>
    <x:row r="3" ht="42" customHeight="1">
      <x:c r="A3" s="36" t="str">
        <x:v>Typical-KR</x:v>
      </x:c>
      <x:c r="B3" s="36" t="n">
        <x:v>50</x:v>
      </x:c>
      <x:c r="C3" s="36" t="n">
        <x:v>10</x:v>
      </x:c>
      <x:c r="D3" s="36" t="str">
        <x:v>0.5%</x:v>
      </x:c>
      <x:c r="E3" s="36" t="str">
        <x:v>10Mbps</x:v>
      </x:c>
      <x:c r="F3" s="36" t="str">
        <x:v>없음</x:v>
      </x:c>
      <x:c r="G3" s="36" t="str">
        <x:v>체감 차이 없음</x:v>
      </x:c>
      <x:c r="H3" s="36" t="str">
        <x:v>기본</x:v>
      </x:c>
    </x:row>
    <x:row r="4" ht="42" customHeight="1">
      <x:c r="A4" s="36" t="str">
        <x:v>High-Latency</x:v>
      </x:c>
      <x:c r="B4" s="36" t="n">
        <x:v>200</x:v>
      </x:c>
      <x:c r="C4" s="36" t="n">
        <x:v>30</x:v>
      </x:c>
      <x:c r="D4" s="36" t="str">
        <x:v>1%</x:v>
      </x:c>
      <x:c r="E4" s="36" t="str">
        <x:v>5Mbps</x:v>
      </x:c>
      <x:c r="F4" s="36" t="str">
        <x:v>없음</x:v>
      </x:c>
      <x:c r="G4" s="36" t="str">
        <x:v>보간과 마감 일치</x:v>
      </x:c>
      <x:c r="H4" s="36" t="str">
        <x:v>회귀</x:v>
      </x:c>
    </x:row>
    <x:row r="5" ht="42" customHeight="1">
      <x:c r="A5" s="36" t="str">
        <x:v>Lossy</x:v>
      </x:c>
      <x:c r="B5" s="36" t="n">
        <x:v>100</x:v>
      </x:c>
      <x:c r="C5" s="36" t="n">
        <x:v>20</x:v>
      </x:c>
      <x:c r="D5" s="36" t="str">
        <x:v>5%</x:v>
      </x:c>
      <x:c r="E5" s="36" t="str">
        <x:v>3Mbps</x:v>
      </x:c>
      <x:c r="F5" s="36" t="str">
        <x:v>없음</x:v>
      </x:c>
      <x:c r="G5" s="36" t="str">
        <x:v>중요 이벤트 누락 없음</x:v>
      </x:c>
      <x:c r="H5" s="36" t="str">
        <x:v>회귀</x:v>
      </x:c>
    </x:row>
    <x:row r="6" ht="42" customHeight="1">
      <x:c r="A6" s="36" t="str">
        <x:v>Mobile-WiFi</x:v>
      </x:c>
      <x:c r="B6" s="36" t="n">
        <x:v>120</x:v>
      </x:c>
      <x:c r="C6" s="36" t="n">
        <x:v>40</x:v>
      </x:c>
      <x:c r="D6" s="36" t="str">
        <x:v>3%</x:v>
      </x:c>
      <x:c r="E6" s="36" t="str">
        <x:v>2Mbps</x:v>
      </x:c>
      <x:c r="F6" s="36" t="str">
        <x:v>2초 1회</x:v>
      </x:c>
      <x:c r="G6" s="36" t="str">
        <x:v>재접속·복구</x:v>
      </x:c>
      <x:c r="H6" s="36" t="str">
        <x:v>복원력</x:v>
      </x:c>
    </x:row>
    <x:row r="7" ht="42" customHeight="1">
      <x:c r="A7" s="36" t="str">
        <x:v>Severe</x:v>
      </x:c>
      <x:c r="B7" s="36" t="n">
        <x:v>350</x:v>
      </x:c>
      <x:c r="C7" s="36" t="n">
        <x:v>80</x:v>
      </x:c>
      <x:c r="D7" s="36" t="str">
        <x:v>8%</x:v>
      </x:c>
      <x:c r="E7" s="36" t="str">
        <x:v>1Mbps</x:v>
      </x:c>
      <x:c r="F7" s="36" t="str">
        <x:v>5초 1회</x:v>
      </x:c>
      <x:c r="G7" s="36" t="str">
        <x:v>명확한 경고, 데이터 손상 없음</x:v>
      </x:c>
      <x:c r="H7" s="36" t="str">
        <x:v>한계</x:v>
      </x:c>
    </x:row>
  </x:sheetData>
  <x:pageMargins left="0.7" right="0.7" top="0.75" bottom="0.75" header="0.3" footer="0.3"/>
  <x:tableParts count="1">
    <x:tablePart xmlns:r="http://schemas.openxmlformats.org/officeDocument/2006/relationships" r:id="Rb8e9a5fccfdb4db3"/>
  </x:tableParts>
</x:worksheet>
</file>

<file path=xl/worksheets/sheet6.xml><?xml version="1.0" encoding="utf-8"?>
<x:worksheet xmlns:x="http://schemas.openxmlformats.org/spreadsheetml/2006/main">
  <x:sheetFormatPr defaultRowHeight="15"/>
  <x:cols>
    <x:col min="1" max="1" width="18" hidden="0" customWidth="1"/>
    <x:col min="2" max="2" width="12" hidden="0" customWidth="1"/>
    <x:col min="3" max="3" width="24" hidden="0" customWidth="1"/>
    <x:col min="4" max="4" width="36" hidden="0" customWidth="1"/>
    <x:col min="5" max="5" width="44" hidden="0" customWidth="1"/>
    <x:col min="6" max="6" width="42" hidden="0" customWidth="1"/>
    <x:col min="7" max="7" width="54" hidden="0" customWidth="1"/>
    <x:col min="8" max="8" width="54" hidden="0" customWidth="1"/>
    <x:col min="9" max="9" width="16" hidden="0" customWidth="1"/>
    <x:col min="10" max="10" width="10" hidden="0" customWidth="1"/>
    <x:col min="11" max="11" width="18" hidden="0" customWidth="1"/>
    <x:col min="12" max="12" width="14" hidden="0" customWidth="1"/>
    <x:col min="13" max="13" width="14" hidden="0" customWidth="1"/>
    <x:col min="14" max="14" width="16" hidden="0" customWidth="1"/>
    <x:col min="15" max="15" width="15" hidden="0" customWidth="1"/>
    <x:col min="16" max="16" width="28" hidden="0" customWidth="1"/>
    <x:col min="17" max="17" width="18" hidden="0" customWidth="1"/>
    <x:col min="18" max="18" width="13" hidden="0" customWidth="1"/>
    <x:col min="19" max="19" width="28" hidden="0" customWidth="1"/>
    <x:col min="20" max="20" width="12" hidden="0" customWidth="1"/>
    <x:col min="21" max="21" width="12" hidden="0" customWidth="1"/>
    <x:col min="22" max="22" width="12" hidden="0" customWidth="1"/>
  </x:cols>
  <x:sheetData>
    <x:row r="1" ht="30" customHeight="1">
      <x:c r="A1" s="40" t="str">
        <x:v>테스트 ID</x:v>
      </x:c>
      <x:c r="B1" s="40" t="str">
        <x:v>관련 ID</x:v>
      </x:c>
      <x:c r="C1" s="40" t="str">
        <x:v>부문</x:v>
      </x:c>
      <x:c r="D1" s="40" t="str">
        <x:v>제목</x:v>
      </x:c>
      <x:c r="E1" s="40" t="str">
        <x:v>목적</x:v>
      </x:c>
      <x:c r="F1" s="40" t="str">
        <x:v>사전 조건</x:v>
      </x:c>
      <x:c r="G1" s="40" t="str">
        <x:v>절차</x:v>
      </x:c>
      <x:c r="H1" s="40" t="str">
        <x:v>예상 결과</x:v>
      </x:c>
      <x:c r="I1" s="40" t="str">
        <x:v>QA 유형</x:v>
      </x:c>
      <x:c r="J1" s="40" t="str">
        <x:v>우선순위</x:v>
      </x:c>
      <x:c r="K1" s="40" t="str">
        <x:v>대상 플랫폼</x:v>
      </x:c>
      <x:c r="L1" s="40" t="str">
        <x:v>자동화 후보</x:v>
      </x:c>
      <x:c r="M1" s="40" t="str">
        <x:v>상태</x:v>
      </x:c>
      <x:c r="N1" s="40" t="str">
        <x:v>담당자명</x:v>
      </x:c>
      <x:c r="O1" s="40" t="str">
        <x:v>대상 빌드</x:v>
      </x:c>
      <x:c r="P1" s="40" t="str">
        <x:v>증빙 링크</x:v>
      </x:c>
      <x:c r="Q1" s="40" t="str">
        <x:v>결함 키</x:v>
      </x:c>
      <x:c r="R1" s="40" t="str">
        <x:v>최종 갱신일</x:v>
      </x:c>
      <x:c r="S1" s="40" t="str">
        <x:v>비고</x:v>
      </x:c>
      <x:c r="T1" s="53" t="str">
        <x:v>시작일</x:v>
      </x:c>
      <x:c r="U1" s="53" t="str">
        <x:v>종료일</x:v>
      </x:c>
      <x:c r="V1" s="53" t="str">
        <x:v>진행상황</x:v>
      </x:c>
    </x:row>
    <x:row r="2" ht="42" customHeight="1">
      <x:c r="A2" s="36" t="str">
        <x:v>TC-NET-001-01</x:v>
      </x:c>
      <x:c r="B2" s="36" t="str">
        <x:v>NET-001</x:v>
      </x:c>
      <x:c r="C2" s="36" t="str">
        <x:v>네트워크 동기화·보안</x:v>
      </x:c>
      <x:c r="D2" s="36" t="str">
        <x:v>정상 시나리오: 전용 서버 권한 모델</x:v>
      </x:c>
      <x:c r="E2" s="36" t="str">
        <x:v>역할, 규칙, 메모, 투표, 승패는 전용 서버를 기준 데이터로 삼고 클라이언트는 표시와 예측만 수행한다. P2P 예외는 두지 않는다.</x:v>
      </x:c>
      <x:c r="F2" s="36" t="str">
        <x:v>대상 기능이 포함된 MVP 빌드, 필요한 테스트 계정·룸 설정·로그 접근 권한을 준비한다.</x:v>
      </x:c>
      <x:c r="G2" s="36" t="str">
        <x:v>1. 사전 조건 상태를 구성한다.
2. 표준 설정에서 다음 테스트 대상을 실행한다: 전용 서버 권한 모델.
3. UI, 서버 상태와 로그·텔레메트리를 확인한다.
4. 필요하면 재입장 또는 재실행하여 재현성을 확인한다.</x:v>
      </x:c>
      <x:c r="H2" s="36" t="str">
        <x:v>역할, 규칙, 메모, 투표, 승패는 전용 서버를 기준 데이터로 삼고 클라이언트는 표시와 예측만 수행한다. P2P 예외는 두지 않는다.</x:v>
      </x:c>
      <x:c r="I2" s="36" t="str">
        <x:v>보안</x:v>
      </x:c>
      <x:c r="J2" s="36" t="str">
        <x:v>P0</x:v>
      </x:c>
      <x:c r="K2" s="36" t="str">
        <x:v>서버</x:v>
      </x:c>
      <x:c r="L2" s="36" t="str">
        <x:v>예</x:v>
      </x:c>
      <x:c r="M2" s="36" t="str">
        <x:v>미실시</x:v>
      </x:c>
      <x:c r="N2" s="36" t="str">
        <x:v>미정</x:v>
      </x:c>
      <x:c r="O2" s="36" t="str">
        <x:v>미정</x:v>
      </x:c>
      <x:c r="P2" s="36"/>
      <x:c r="Q2" s="36"/>
      <x:c r="R2" s="44" t="str">
        <x:v>2026-07-10</x:v>
      </x:c>
      <x:c r="S2" s="36"/>
      <x:c r="T2" s="54"/>
      <x:c r="U2" s="54"/>
      <x:c r="V2" s="53" t="str">
        <x:v>착수 전</x:v>
      </x:c>
    </x:row>
    <x:row r="3" ht="42" customHeight="1">
      <x:c r="A3" s="36" t="str">
        <x:v>TC-NET-001-02</x:v>
      </x:c>
      <x:c r="B3" s="36" t="str">
        <x:v>NET-001</x:v>
      </x:c>
      <x:c r="C3" s="36" t="str">
        <x:v>네트워크 동기화·보안</x:v>
      </x:c>
      <x:c r="D3" s="36" t="str">
        <x:v>예외·경계 시나리오: 전용 서버 권한 모델</x:v>
      </x:c>
      <x:c r="E3" s="36" t="str">
        <x:v>허용되지 않은 상태, 잘못된 값, 중복, 만료, 권한 부족, 연결 끊김 입력으로 데이터 손상·정보 유출·클라이언트 상태 분기가 발생하지 않는지 확인한다.</x:v>
      </x:c>
      <x:c r="F3" s="36" t="str">
        <x:v>대상 기능이 포함된 MVP 빌드와 디버그 입력, 네트워크 열화, 비정상 요청 재현 수단을 준비한다.</x:v>
      </x:c>
      <x:c r="G3" s="36" t="str">
        <x:v>1. 허용되지 않은 페이즈 또는 경계값 조건을 구성한다.
2. 전용 서버 권한 모델에 대해 중복·무효·지연·연결 끊김을 포함한 요청을 전송한다.
3. 서버 거부, 롤백, 오류 표시와 감사 로그를 확인한다.
4. 모든 클라이언트의 상태가 일치하는지 확인한다.</x:v>
      </x:c>
      <x:c r="H3" s="36" t="str">
        <x:v>요청은 사양에 따라 거부되거나 안전하게 복구되며, 중복 반영, 데이터 손실, 정보 유출 또는 진행 중단이 발생하지 않는다. 오류와 상관관계 ID가 기록된다.</x:v>
      </x:c>
      <x:c r="I3" s="36" t="str">
        <x:v>보안</x:v>
      </x:c>
      <x:c r="J3" s="36" t="str">
        <x:v>P0</x:v>
      </x:c>
      <x:c r="K3" s="36" t="str">
        <x:v>서버</x:v>
      </x:c>
      <x:c r="L3" s="36" t="str">
        <x:v>예</x:v>
      </x:c>
      <x:c r="M3" s="36" t="str">
        <x:v>미실시</x:v>
      </x:c>
      <x:c r="N3" s="36" t="str">
        <x:v>미정</x:v>
      </x:c>
      <x:c r="O3" s="36" t="str">
        <x:v>미정</x:v>
      </x:c>
      <x:c r="P3" s="36"/>
      <x:c r="Q3" s="36"/>
      <x:c r="R3" s="44" t="str">
        <x:v>2026-07-10</x:v>
      </x:c>
      <x:c r="S3" s="36"/>
      <x:c r="T3" s="54"/>
      <x:c r="U3" s="54"/>
      <x:c r="V3" s="53" t="str">
        <x:v>착수 전</x:v>
      </x:c>
    </x:row>
    <x:row r="4" ht="42" customHeight="1">
      <x:c r="A4" s="36" t="str">
        <x:v>TC-NET-002-01</x:v>
      </x:c>
      <x:c r="B4" s="36" t="str">
        <x:v>NET-002</x:v>
      </x:c>
      <x:c r="C4" s="36" t="str">
        <x:v>네트워크 동기화·보안</x:v>
      </x:c>
      <x:c r="D4" s="36" t="str">
        <x:v>정상 시나리오: 프로토콜·메시지 스키마 버전 관리</x:v>
      </x:c>
      <x:c r="E4" s="36" t="str">
        <x:v>연결 시 프로토콜 버전과 호환 범위를 교환하고 필수 필드가 없거나 호환되지 않는 버전은 매치 참가 전에 거부한다.</x:v>
      </x:c>
      <x:c r="F4" s="36" t="str">
        <x:v>대상 기능이 포함된 MVP 빌드, 필요한 테스트 계정·룸 설정·로그 접근 권한을 준비한다.</x:v>
      </x:c>
      <x:c r="G4" s="36" t="str">
        <x:v>1. 사전 조건 상태를 구성한다.
2. 표준 설정에서 다음 테스트 대상을 실행한다: 프로토콜·메시지 스키마 버전 관리.
3. UI, 서버 상태와 로그·텔레메트리를 확인한다.
4. 필요하면 재입장 또는 재실행하여 재현성을 확인한다.</x:v>
      </x:c>
      <x:c r="H4" s="36" t="str">
        <x:v>연결 시 프로토콜 버전과 호환 범위를 교환하고 필수 필드가 없거나 호환되지 않는 버전은 매치 참가 전에 거부한다.</x:v>
      </x:c>
      <x:c r="I4" s="36" t="str">
        <x:v>호환성</x:v>
      </x:c>
      <x:c r="J4" s="36" t="str">
        <x:v>P0</x:v>
      </x:c>
      <x:c r="K4" s="36" t="str">
        <x:v>전체</x:v>
      </x:c>
      <x:c r="L4" s="36" t="str">
        <x:v>예</x:v>
      </x:c>
      <x:c r="M4" s="36" t="str">
        <x:v>미실시</x:v>
      </x:c>
      <x:c r="N4" s="36" t="str">
        <x:v>미정</x:v>
      </x:c>
      <x:c r="O4" s="36" t="str">
        <x:v>미정</x:v>
      </x:c>
      <x:c r="P4" s="36"/>
      <x:c r="Q4" s="36"/>
      <x:c r="R4" s="44" t="str">
        <x:v>2026-07-10</x:v>
      </x:c>
      <x:c r="S4" s="36"/>
      <x:c r="T4" s="54"/>
      <x:c r="U4" s="54"/>
      <x:c r="V4" s="53" t="str">
        <x:v>착수 전</x:v>
      </x:c>
    </x:row>
    <x:row r="5" ht="42" customHeight="1">
      <x:c r="A5" s="36" t="str">
        <x:v>TC-NET-002-02</x:v>
      </x:c>
      <x:c r="B5" s="36" t="str">
        <x:v>NET-002</x:v>
      </x:c>
      <x:c r="C5" s="36" t="str">
        <x:v>네트워크 동기화·보안</x:v>
      </x:c>
      <x:c r="D5" s="36" t="str">
        <x:v>예외·경계 시나리오: 프로토콜·메시지 스키마 버전 관리</x:v>
      </x:c>
      <x:c r="E5" s="36" t="str">
        <x:v>허용되지 않은 상태, 잘못된 값, 중복, 만료, 권한 부족, 연결 끊김 입력으로 데이터 손상·정보 유출·클라이언트 상태 분기가 발생하지 않는지 확인한다.</x:v>
      </x:c>
      <x:c r="F5" s="36" t="str">
        <x:v>대상 기능이 포함된 MVP 빌드와 디버그 입력, 네트워크 열화, 비정상 요청 재현 수단을 준비한다.</x:v>
      </x:c>
      <x:c r="G5" s="36" t="str">
        <x:v>1. 허용되지 않은 페이즈 또는 경계값 조건을 구성한다.
2. 프로토콜·메시지 스키마 버전 관리에 대해 중복·무효·지연·연결 끊김을 포함한 요청을 전송한다.
3. 서버 거부, 롤백, 오류 표시와 감사 로그를 확인한다.
4. 모든 클라이언트의 상태가 일치하는지 확인한다.</x:v>
      </x:c>
      <x:c r="H5" s="36" t="str">
        <x:v>요청은 사양에 따라 거부되거나 안전하게 복구되며, 중복 반영, 데이터 손실, 정보 유출 또는 진행 중단이 발생하지 않는다. 오류와 상관관계 ID가 기록된다.</x:v>
      </x:c>
      <x:c r="I5" s="36" t="str">
        <x:v>호환성</x:v>
      </x:c>
      <x:c r="J5" s="36" t="str">
        <x:v>P0</x:v>
      </x:c>
      <x:c r="K5" s="36" t="str">
        <x:v>전체</x:v>
      </x:c>
      <x:c r="L5" s="36" t="str">
        <x:v>예</x:v>
      </x:c>
      <x:c r="M5" s="36" t="str">
        <x:v>미실시</x:v>
      </x:c>
      <x:c r="N5" s="36" t="str">
        <x:v>미정</x:v>
      </x:c>
      <x:c r="O5" s="36" t="str">
        <x:v>미정</x:v>
      </x:c>
      <x:c r="P5" s="36"/>
      <x:c r="Q5" s="36"/>
      <x:c r="R5" s="44" t="str">
        <x:v>2026-07-10</x:v>
      </x:c>
      <x:c r="S5" s="36"/>
      <x:c r="T5" s="54"/>
      <x:c r="U5" s="54"/>
      <x:c r="V5" s="53" t="str">
        <x:v>착수 전</x:v>
      </x:c>
    </x:row>
    <x:row r="6" ht="42" customHeight="1">
      <x:c r="A6" s="36" t="str">
        <x:v>TC-NET-003-01</x:v>
      </x:c>
      <x:c r="B6" s="36" t="str">
        <x:v>NET-003</x:v>
      </x:c>
      <x:c r="C6" s="36" t="str">
        <x:v>네트워크 동기화·보안</x:v>
      </x:c>
      <x:c r="D6" s="36" t="str">
        <x:v>정상 시나리오: 고정 틱·시뮬레이션 처리 순서</x:v>
      </x:c>
      <x:c r="E6" s="36" t="str">
        <x:v>서버 틱, 입력 처리, 상태 전환, 이벤트 확정 순서를 정의하고 같은 입력에서 결정론적인 메모 순서와 투표 결과를 얻는다.</x:v>
      </x:c>
      <x:c r="F6" s="36" t="str">
        <x:v>대상 기능이 포함된 MVP 빌드, 필요한 테스트 계정·룸 설정·로그 접근 권한을 준비한다.</x:v>
      </x:c>
      <x:c r="G6" s="36" t="str">
        <x:v>1. 사전 조건 상태를 구성한다.
2. 표준 설정에서 다음 테스트 대상을 실행한다: 고정 틱·시뮬레이션 처리 순서.
3. UI, 서버 상태와 로그·텔레메트리를 확인한다.
4. 필요하면 재입장 또는 재실행하여 재현성을 확인한다.</x:v>
      </x:c>
      <x:c r="H6" s="36" t="str">
        <x:v>서버 틱, 입력 처리, 상태 전환, 이벤트 확정 순서를 정의하고 같은 입력에서 결정론적인 메모 순서와 투표 결과를 얻는다.</x:v>
      </x:c>
      <x:c r="I6" s="36" t="str">
        <x:v>네트워크</x:v>
      </x:c>
      <x:c r="J6" s="36" t="str">
        <x:v>P0</x:v>
      </x:c>
      <x:c r="K6" s="36" t="str">
        <x:v>서버</x:v>
      </x:c>
      <x:c r="L6" s="36" t="str">
        <x:v>예</x:v>
      </x:c>
      <x:c r="M6" s="36" t="str">
        <x:v>미실시</x:v>
      </x:c>
      <x:c r="N6" s="36" t="str">
        <x:v>미정</x:v>
      </x:c>
      <x:c r="O6" s="36" t="str">
        <x:v>미정</x:v>
      </x:c>
      <x:c r="P6" s="36"/>
      <x:c r="Q6" s="36"/>
      <x:c r="R6" s="44" t="str">
        <x:v>2026-07-10</x:v>
      </x:c>
      <x:c r="S6" s="36"/>
      <x:c r="T6" s="54"/>
      <x:c r="U6" s="54"/>
      <x:c r="V6" s="53" t="str">
        <x:v>착수 전</x:v>
      </x:c>
    </x:row>
    <x:row r="7" ht="42" customHeight="1">
      <x:c r="A7" s="36" t="str">
        <x:v>TC-NET-003-02</x:v>
      </x:c>
      <x:c r="B7" s="36" t="str">
        <x:v>NET-003</x:v>
      </x:c>
      <x:c r="C7" s="36" t="str">
        <x:v>네트워크 동기화·보안</x:v>
      </x:c>
      <x:c r="D7" s="36" t="str">
        <x:v>예외·경계 시나리오: 고정 틱·시뮬레이션 처리 순서</x:v>
      </x:c>
      <x:c r="E7" s="36" t="str">
        <x:v>허용되지 않은 상태, 잘못된 값, 중복, 만료, 권한 부족, 연결 끊김 입력으로 데이터 손상·정보 유출·클라이언트 상태 분기가 발생하지 않는지 확인한다.</x:v>
      </x:c>
      <x:c r="F7" s="36" t="str">
        <x:v>대상 기능이 포함된 MVP 빌드와 디버그 입력, 네트워크 열화, 비정상 요청 재현 수단을 준비한다.</x:v>
      </x:c>
      <x:c r="G7" s="36" t="str">
        <x:v>1. 허용되지 않은 페이즈 또는 경계값 조건을 구성한다.
2. 고정 틱·시뮬레이션 처리 순서에 대해 중복·무효·지연·연결 끊김을 포함한 요청을 전송한다.
3. 서버 거부, 롤백, 오류 표시와 감사 로그를 확인한다.
4. 모든 클라이언트의 상태가 일치하는지 확인한다.</x:v>
      </x:c>
      <x:c r="H7" s="36" t="str">
        <x:v>요청은 사양에 따라 거부되거나 안전하게 복구되며, 중복 반영, 데이터 손실, 정보 유출 또는 진행 중단이 발생하지 않는다. 오류와 상관관계 ID가 기록된다.</x:v>
      </x:c>
      <x:c r="I7" s="36" t="str">
        <x:v>네트워크</x:v>
      </x:c>
      <x:c r="J7" s="36" t="str">
        <x:v>P0</x:v>
      </x:c>
      <x:c r="K7" s="36" t="str">
        <x:v>서버</x:v>
      </x:c>
      <x:c r="L7" s="36" t="str">
        <x:v>예</x:v>
      </x:c>
      <x:c r="M7" s="36" t="str">
        <x:v>미실시</x:v>
      </x:c>
      <x:c r="N7" s="36" t="str">
        <x:v>미정</x:v>
      </x:c>
      <x:c r="O7" s="36" t="str">
        <x:v>미정</x:v>
      </x:c>
      <x:c r="P7" s="36"/>
      <x:c r="Q7" s="36"/>
      <x:c r="R7" s="44" t="str">
        <x:v>2026-07-10</x:v>
      </x:c>
      <x:c r="S7" s="36"/>
      <x:c r="T7" s="54"/>
      <x:c r="U7" s="54"/>
      <x:c r="V7" s="53" t="str">
        <x:v>착수 전</x:v>
      </x:c>
    </x:row>
    <x:row r="8" ht="42" customHeight="1">
      <x:c r="A8" s="36" t="str">
        <x:v>TC-NET-004-01</x:v>
      </x:c>
      <x:c r="B8" s="36" t="str">
        <x:v>NET-004</x:v>
      </x:c>
      <x:c r="C8" s="36" t="str">
        <x:v>네트워크 동기화·보안</x:v>
      </x:c>
      <x:c r="D8" s="36" t="str">
        <x:v>정상 시나리오: 연결 핸드셰이크·인증 토큰 검증</x:v>
      </x:c>
      <x:c r="E8" s="36" t="str">
        <x:v>토큰의 만료, 서명, 대상, 세션 ID, 재사용 여부를 검증하고 성공하기 전에는 게임 상태나 비공개 정보를 전송하지 않는다.</x:v>
      </x:c>
      <x:c r="F8" s="36" t="str">
        <x:v>대상 기능이 포함된 MVP 빌드, 필요한 테스트 계정·룸 설정·로그 접근 권한을 준비한다.</x:v>
      </x:c>
      <x:c r="G8" s="36" t="str">
        <x:v>1. 사전 조건 상태를 구성한다.
2. 표준 설정에서 다음 테스트 대상을 실행한다: 연결 핸드셰이크·인증 토큰 검증.
3. UI, 서버 상태와 로그·텔레메트리를 확인한다.
4. 필요하면 재입장 또는 재실행하여 재현성을 확인한다.</x:v>
      </x:c>
      <x:c r="H8" s="36" t="str">
        <x:v>토큰의 만료, 서명, 대상, 세션 ID, 재사용 여부를 검증하고 성공하기 전에는 게임 상태나 비공개 정보를 전송하지 않는다.</x:v>
      </x:c>
      <x:c r="I8" s="36" t="str">
        <x:v>보안</x:v>
      </x:c>
      <x:c r="J8" s="36" t="str">
        <x:v>P0</x:v>
      </x:c>
      <x:c r="K8" s="36" t="str">
        <x:v>서버</x:v>
      </x:c>
      <x:c r="L8" s="36" t="str">
        <x:v>예</x:v>
      </x:c>
      <x:c r="M8" s="36" t="str">
        <x:v>미실시</x:v>
      </x:c>
      <x:c r="N8" s="36" t="str">
        <x:v>미정</x:v>
      </x:c>
      <x:c r="O8" s="36" t="str">
        <x:v>미정</x:v>
      </x:c>
      <x:c r="P8" s="36"/>
      <x:c r="Q8" s="36"/>
      <x:c r="R8" s="44" t="str">
        <x:v>2026-07-10</x:v>
      </x:c>
      <x:c r="S8" s="36"/>
      <x:c r="T8" s="54"/>
      <x:c r="U8" s="54"/>
      <x:c r="V8" s="53" t="str">
        <x:v>착수 전</x:v>
      </x:c>
    </x:row>
    <x:row r="9" ht="42" customHeight="1">
      <x:c r="A9" s="36" t="str">
        <x:v>TC-NET-004-02</x:v>
      </x:c>
      <x:c r="B9" s="36" t="str">
        <x:v>NET-004</x:v>
      </x:c>
      <x:c r="C9" s="36" t="str">
        <x:v>네트워크 동기화·보안</x:v>
      </x:c>
      <x:c r="D9" s="36" t="str">
        <x:v>예외·경계 시나리오: 연결 핸드셰이크·인증 토큰 검증</x:v>
      </x:c>
      <x:c r="E9" s="36" t="str">
        <x:v>허용되지 않은 상태, 잘못된 값, 중복, 만료, 권한 부족, 연결 끊김 입력으로 데이터 손상·정보 유출·클라이언트 상태 분기가 발생하지 않는지 확인한다.</x:v>
      </x:c>
      <x:c r="F9" s="36" t="str">
        <x:v>대상 기능이 포함된 MVP 빌드와 디버그 입력, 네트워크 열화, 비정상 요청 재현 수단을 준비한다.</x:v>
      </x:c>
      <x:c r="G9" s="36" t="str">
        <x:v>1. 허용되지 않은 페이즈 또는 경계값 조건을 구성한다.
2. 연결 핸드셰이크·인증 토큰 검증에 대해 중복·무효·지연·연결 끊김을 포함한 요청을 전송한다.
3. 서버 거부, 롤백, 오류 표시와 감사 로그를 확인한다.
4. 모든 클라이언트의 상태가 일치하는지 확인한다.</x:v>
      </x:c>
      <x:c r="H9" s="36" t="str">
        <x:v>요청은 사양에 따라 거부되거나 안전하게 복구되며, 중복 반영, 데이터 손실, 정보 유출 또는 진행 중단이 발생하지 않는다. 오류와 상관관계 ID가 기록된다.</x:v>
      </x:c>
      <x:c r="I9" s="36" t="str">
        <x:v>보안</x:v>
      </x:c>
      <x:c r="J9" s="36" t="str">
        <x:v>P0</x:v>
      </x:c>
      <x:c r="K9" s="36" t="str">
        <x:v>서버</x:v>
      </x:c>
      <x:c r="L9" s="36" t="str">
        <x:v>예</x:v>
      </x:c>
      <x:c r="M9" s="36" t="str">
        <x:v>미실시</x:v>
      </x:c>
      <x:c r="N9" s="36" t="str">
        <x:v>미정</x:v>
      </x:c>
      <x:c r="O9" s="36" t="str">
        <x:v>미정</x:v>
      </x:c>
      <x:c r="P9" s="36"/>
      <x:c r="Q9" s="36"/>
      <x:c r="R9" s="44" t="str">
        <x:v>2026-07-10</x:v>
      </x:c>
      <x:c r="S9" s="36"/>
      <x:c r="T9" s="54"/>
      <x:c r="U9" s="54"/>
      <x:c r="V9" s="53" t="str">
        <x:v>착수 전</x:v>
      </x:c>
    </x:row>
    <x:row r="10" ht="42" customHeight="1">
      <x:c r="A10" s="36" t="str">
        <x:v>TC-NET-005-01</x:v>
      </x:c>
      <x:c r="B10" s="36" t="str">
        <x:v>NET-005</x:v>
      </x:c>
      <x:c r="C10" s="36" t="str">
        <x:v>네트워크 동기화·보안</x:v>
      </x:c>
      <x:c r="D10" s="36" t="str">
        <x:v>정상 시나리오: 네트워크 객체 ID·플레이어 소유권</x:v>
      </x:c>
      <x:c r="E10" s="36" t="str">
        <x:v>플레이어, 캐릭터, 미니게임, 메모, 투표 ID가 세션 안에서 고유하고 연결 끊김·재접속 시 다른 플레이어에게 잘못 귀속되지 않는다.</x:v>
      </x:c>
      <x:c r="F10" s="36" t="str">
        <x:v>대상 기능이 포함된 MVP 빌드, 필요한 테스트 계정·룸 설정·로그 접근 권한을 준비한다.</x:v>
      </x:c>
      <x:c r="G10" s="36" t="str">
        <x:v>1. 사전 조건 상태를 구성한다.
2. 표준 설정에서 다음 테스트 대상을 실행한다: 네트워크 객체 ID·플레이어 소유권.
3. UI, 서버 상태와 로그·텔레메트리를 확인한다.
4. 필요하면 재입장 또는 재실행하여 재현성을 확인한다.</x:v>
      </x:c>
      <x:c r="H10" s="36" t="str">
        <x:v>플레이어, 캐릭터, 미니게임, 메모, 투표 ID가 세션 안에서 고유하고 연결 끊김·재접속 시 다른 플레이어에게 잘못 귀속되지 않는다.</x:v>
      </x:c>
      <x:c r="I10" s="36" t="str">
        <x:v>통합</x:v>
      </x:c>
      <x:c r="J10" s="36" t="str">
        <x:v>P0</x:v>
      </x:c>
      <x:c r="K10" s="36" t="str">
        <x:v>전체</x:v>
      </x:c>
      <x:c r="L10" s="36" t="str">
        <x:v>예</x:v>
      </x:c>
      <x:c r="M10" s="36" t="str">
        <x:v>미실시</x:v>
      </x:c>
      <x:c r="N10" s="36" t="str">
        <x:v>미정</x:v>
      </x:c>
      <x:c r="O10" s="36" t="str">
        <x:v>미정</x:v>
      </x:c>
      <x:c r="P10" s="36"/>
      <x:c r="Q10" s="36"/>
      <x:c r="R10" s="44" t="str">
        <x:v>2026-07-10</x:v>
      </x:c>
      <x:c r="S10" s="36"/>
      <x:c r="T10" s="54"/>
      <x:c r="U10" s="54"/>
      <x:c r="V10" s="53" t="str">
        <x:v>착수 전</x:v>
      </x:c>
    </x:row>
    <x:row r="11" ht="42" customHeight="1">
      <x:c r="A11" s="36" t="str">
        <x:v>TC-NET-005-02</x:v>
      </x:c>
      <x:c r="B11" s="36" t="str">
        <x:v>NET-005</x:v>
      </x:c>
      <x:c r="C11" s="36" t="str">
        <x:v>네트워크 동기화·보안</x:v>
      </x:c>
      <x:c r="D11" s="36" t="str">
        <x:v>예외·경계 시나리오: 네트워크 객체 ID·플레이어 소유권</x:v>
      </x:c>
      <x:c r="E11" s="36" t="str">
        <x:v>허용되지 않은 상태, 잘못된 값, 중복, 만료, 권한 부족, 연결 끊김 입력으로 데이터 손상·정보 유출·클라이언트 상태 분기가 발생하지 않는지 확인한다.</x:v>
      </x:c>
      <x:c r="F11" s="36" t="str">
        <x:v>대상 기능이 포함된 MVP 빌드와 디버그 입력, 네트워크 열화, 비정상 요청 재현 수단을 준비한다.</x:v>
      </x:c>
      <x:c r="G11" s="36" t="str">
        <x:v>1. 허용되지 않은 페이즈 또는 경계값 조건을 구성한다.
2. 네트워크 객체 ID·플레이어 소유권에 대해 중복·무효·지연·연결 끊김을 포함한 요청을 전송한다.
3. 서버 거부, 롤백, 오류 표시와 감사 로그를 확인한다.
4. 모든 클라이언트의 상태가 일치하는지 확인한다.</x:v>
      </x:c>
      <x:c r="H11" s="36" t="str">
        <x:v>요청은 사양에 따라 거부되거나 안전하게 복구되며, 중복 반영, 데이터 손실, 정보 유출 또는 진행 중단이 발생하지 않는다. 오류와 상관관계 ID가 기록된다.</x:v>
      </x:c>
      <x:c r="I11" s="36" t="str">
        <x:v>통합</x:v>
      </x:c>
      <x:c r="J11" s="36" t="str">
        <x:v>P0</x:v>
      </x:c>
      <x:c r="K11" s="36" t="str">
        <x:v>전체</x:v>
      </x:c>
      <x:c r="L11" s="36" t="str">
        <x:v>예</x:v>
      </x:c>
      <x:c r="M11" s="36" t="str">
        <x:v>미실시</x:v>
      </x:c>
      <x:c r="N11" s="36" t="str">
        <x:v>미정</x:v>
      </x:c>
      <x:c r="O11" s="36" t="str">
        <x:v>미정</x:v>
      </x:c>
      <x:c r="P11" s="36"/>
      <x:c r="Q11" s="36"/>
      <x:c r="R11" s="44" t="str">
        <x:v>2026-07-10</x:v>
      </x:c>
      <x:c r="S11" s="36"/>
      <x:c r="T11" s="54"/>
      <x:c r="U11" s="54"/>
      <x:c r="V11" s="53" t="str">
        <x:v>착수 전</x:v>
      </x:c>
    </x:row>
    <x:row r="12" ht="42" customHeight="1">
      <x:c r="A12" s="36" t="str">
        <x:v>TC-NET-006-01</x:v>
      </x:c>
      <x:c r="B12" s="36" t="str">
        <x:v>NET-006</x:v>
      </x:c>
      <x:c r="C12" s="36" t="str">
        <x:v>네트워크 동기화·보안</x:v>
      </x:c>
      <x:c r="D12" s="36" t="str">
        <x:v>정상 시나리오: 로비·참가자·준비 상태 차분 동기화</x:v>
      </x:c>
      <x:c r="E12" s="36" t="str">
        <x:v>입장, 이탈, 준비, 색상, 호스트 권한의 변경에 순번을 부여하고 누락 시 스냅샷을 다시 요청해 복구한다.</x:v>
      </x:c>
      <x:c r="F12" s="36" t="str">
        <x:v>대상 기능이 포함된 MVP 빌드, 필요한 테스트 계정·룸 설정·로그 접근 권한을 준비한다.</x:v>
      </x:c>
      <x:c r="G12" s="36" t="str">
        <x:v>1. 사전 조건 상태를 구성한다.
2. 표준 설정에서 다음 테스트 대상을 실행한다: 로비·참가자·준비 상태 차분 동기화.
3. UI, 서버 상태와 로그·텔레메트리를 확인한다.
4. 필요하면 재입장 또는 재실행하여 재현성을 확인한다.</x:v>
      </x:c>
      <x:c r="H12" s="36" t="str">
        <x:v>입장, 이탈, 준비, 색상, 호스트 권한의 변경에 순번을 부여하고 누락 시 스냅샷을 다시 요청해 복구한다.</x:v>
      </x:c>
      <x:c r="I12" s="36" t="str">
        <x:v>네트워크</x:v>
      </x:c>
      <x:c r="J12" s="36" t="str">
        <x:v>P0</x:v>
      </x:c>
      <x:c r="K12" s="36" t="str">
        <x:v>전체</x:v>
      </x:c>
      <x:c r="L12" s="36" t="str">
        <x:v>예</x:v>
      </x:c>
      <x:c r="M12" s="36" t="str">
        <x:v>미실시</x:v>
      </x:c>
      <x:c r="N12" s="36" t="str">
        <x:v>미정</x:v>
      </x:c>
      <x:c r="O12" s="36" t="str">
        <x:v>미정</x:v>
      </x:c>
      <x:c r="P12" s="36"/>
      <x:c r="Q12" s="36"/>
      <x:c r="R12" s="44" t="str">
        <x:v>2026-07-10</x:v>
      </x:c>
      <x:c r="S12" s="36"/>
      <x:c r="T12" s="54"/>
      <x:c r="U12" s="54"/>
      <x:c r="V12" s="53" t="str">
        <x:v>착수 전</x:v>
      </x:c>
    </x:row>
    <x:row r="13" ht="42" customHeight="1">
      <x:c r="A13" s="36" t="str">
        <x:v>TC-NET-006-02</x:v>
      </x:c>
      <x:c r="B13" s="36" t="str">
        <x:v>NET-006</x:v>
      </x:c>
      <x:c r="C13" s="36" t="str">
        <x:v>네트워크 동기화·보안</x:v>
      </x:c>
      <x:c r="D13" s="36" t="str">
        <x:v>예외·경계 시나리오: 로비·참가자·준비 상태 차분 동기화</x:v>
      </x:c>
      <x:c r="E13" s="36" t="str">
        <x:v>허용되지 않은 상태, 잘못된 값, 중복, 만료, 권한 부족, 연결 끊김 입력으로 데이터 손상·정보 유출·클라이언트 상태 분기가 발생하지 않는지 확인한다.</x:v>
      </x:c>
      <x:c r="F13" s="36" t="str">
        <x:v>대상 기능이 포함된 MVP 빌드와 디버그 입력, 네트워크 열화, 비정상 요청 재현 수단을 준비한다.</x:v>
      </x:c>
      <x:c r="G13" s="36" t="str">
        <x:v>1. 허용되지 않은 페이즈 또는 경계값 조건을 구성한다.
2. 로비·참가자·준비 상태 차분 동기화에 대해 중복·무효·지연·연결 끊김을 포함한 요청을 전송한다.
3. 서버 거부, 롤백, 오류 표시와 감사 로그를 확인한다.
4. 모든 클라이언트의 상태가 일치하는지 확인한다.</x:v>
      </x:c>
      <x:c r="H13" s="36" t="str">
        <x:v>요청은 사양에 따라 거부되거나 안전하게 복구되며, 중복 반영, 데이터 손실, 정보 유출 또는 진행 중단이 발생하지 않는다. 오류와 상관관계 ID가 기록된다.</x:v>
      </x:c>
      <x:c r="I13" s="36" t="str">
        <x:v>네트워크</x:v>
      </x:c>
      <x:c r="J13" s="36" t="str">
        <x:v>P0</x:v>
      </x:c>
      <x:c r="K13" s="36" t="str">
        <x:v>전체</x:v>
      </x:c>
      <x:c r="L13" s="36" t="str">
        <x:v>예</x:v>
      </x:c>
      <x:c r="M13" s="36" t="str">
        <x:v>미실시</x:v>
      </x:c>
      <x:c r="N13" s="36" t="str">
        <x:v>미정</x:v>
      </x:c>
      <x:c r="O13" s="36" t="str">
        <x:v>미정</x:v>
      </x:c>
      <x:c r="P13" s="36"/>
      <x:c r="Q13" s="36"/>
      <x:c r="R13" s="44" t="str">
        <x:v>2026-07-10</x:v>
      </x:c>
      <x:c r="S13" s="36"/>
      <x:c r="T13" s="54"/>
      <x:c r="U13" s="54"/>
      <x:c r="V13" s="53" t="str">
        <x:v>착수 전</x:v>
      </x:c>
    </x:row>
    <x:row r="14" ht="42" customHeight="1">
      <x:c r="A14" s="36" t="str">
        <x:v>TC-NET-007-01</x:v>
      </x:c>
      <x:c r="B14" s="36" t="str">
        <x:v>NET-007</x:v>
      </x:c>
      <x:c r="C14" s="36" t="str">
        <x:v>네트워크 동기화·보안</x:v>
      </x:c>
      <x:c r="D14" s="36" t="str">
        <x:v>정상 시나리오: 확정 룸 설정 버전 동기화</x:v>
      </x:c>
      <x:c r="E14" s="36" t="str">
        <x:v>설정 변경에 단조 증가 버전을 부여하고 매치 시작 시 모든 참가자의 수신 확인을 받는다. 이전 버전의 차분은 적용하지 않는다.</x:v>
      </x:c>
      <x:c r="F14" s="36" t="str">
        <x:v>대상 기능이 포함된 MVP 빌드, 필요한 테스트 계정·룸 설정·로그 접근 권한을 준비한다.</x:v>
      </x:c>
      <x:c r="G14" s="36" t="str">
        <x:v>1. 사전 조건 상태를 구성한다.
2. 표준 설정에서 다음 테스트 대상을 실행한다: 확정 룸 설정 버전 동기화.
3. UI, 서버 상태와 로그·텔레메트리를 확인한다.
4. 필요하면 재입장 또는 재실행하여 재현성을 확인한다.</x:v>
      </x:c>
      <x:c r="H14" s="36" t="str">
        <x:v>설정 변경에 단조 증가 버전을 부여하고 매치 시작 시 모든 참가자의 수신 확인을 받는다. 이전 버전의 차분은 적용하지 않는다.</x:v>
      </x:c>
      <x:c r="I14" s="36" t="str">
        <x:v>네트워크</x:v>
      </x:c>
      <x:c r="J14" s="36" t="str">
        <x:v>P0</x:v>
      </x:c>
      <x:c r="K14" s="36" t="str">
        <x:v>전체</x:v>
      </x:c>
      <x:c r="L14" s="36" t="str">
        <x:v>예</x:v>
      </x:c>
      <x:c r="M14" s="36" t="str">
        <x:v>미실시</x:v>
      </x:c>
      <x:c r="N14" s="36" t="str">
        <x:v>미정</x:v>
      </x:c>
      <x:c r="O14" s="36" t="str">
        <x:v>미정</x:v>
      </x:c>
      <x:c r="P14" s="36"/>
      <x:c r="Q14" s="36"/>
      <x:c r="R14" s="44" t="str">
        <x:v>2026-07-10</x:v>
      </x:c>
      <x:c r="S14" s="36"/>
      <x:c r="T14" s="54"/>
      <x:c r="U14" s="54"/>
      <x:c r="V14" s="53" t="str">
        <x:v>착수 전</x:v>
      </x:c>
    </x:row>
    <x:row r="15" ht="42" customHeight="1">
      <x:c r="A15" s="36" t="str">
        <x:v>TC-NET-007-02</x:v>
      </x:c>
      <x:c r="B15" s="36" t="str">
        <x:v>NET-007</x:v>
      </x:c>
      <x:c r="C15" s="36" t="str">
        <x:v>네트워크 동기화·보안</x:v>
      </x:c>
      <x:c r="D15" s="36" t="str">
        <x:v>예외·경계 시나리오: 확정 룸 설정 버전 동기화</x:v>
      </x:c>
      <x:c r="E15" s="36" t="str">
        <x:v>허용되지 않은 상태, 잘못된 값, 중복, 만료, 권한 부족, 연결 끊김 입력으로 데이터 손상·정보 유출·클라이언트 상태 분기가 발생하지 않는지 확인한다.</x:v>
      </x:c>
      <x:c r="F15" s="36" t="str">
        <x:v>대상 기능이 포함된 MVP 빌드와 디버그 입력, 네트워크 열화, 비정상 요청 재현 수단을 준비한다.</x:v>
      </x:c>
      <x:c r="G15" s="36" t="str">
        <x:v>1. 허용되지 않은 페이즈 또는 경계값 조건을 구성한다.
2. 확정 룸 설정 버전 동기화에 대해 중복·무효·지연·연결 끊김을 포함한 요청을 전송한다.
3. 서버 거부, 롤백, 오류 표시와 감사 로그를 확인한다.
4. 모든 클라이언트의 상태가 일치하는지 확인한다.</x:v>
      </x:c>
      <x:c r="H15" s="36" t="str">
        <x:v>요청은 사양에 따라 거부되거나 안전하게 복구되며, 중복 반영, 데이터 손실, 정보 유출 또는 진행 중단이 발생하지 않는다. 오류와 상관관계 ID가 기록된다.</x:v>
      </x:c>
      <x:c r="I15" s="36" t="str">
        <x:v>네트워크</x:v>
      </x:c>
      <x:c r="J15" s="36" t="str">
        <x:v>P0</x:v>
      </x:c>
      <x:c r="K15" s="36" t="str">
        <x:v>전체</x:v>
      </x:c>
      <x:c r="L15" s="36" t="str">
        <x:v>예</x:v>
      </x:c>
      <x:c r="M15" s="36" t="str">
        <x:v>미실시</x:v>
      </x:c>
      <x:c r="N15" s="36" t="str">
        <x:v>미정</x:v>
      </x:c>
      <x:c r="O15" s="36" t="str">
        <x:v>미정</x:v>
      </x:c>
      <x:c r="P15" s="36"/>
      <x:c r="Q15" s="36"/>
      <x:c r="R15" s="44" t="str">
        <x:v>2026-07-10</x:v>
      </x:c>
      <x:c r="S15" s="36"/>
      <x:c r="T15" s="54"/>
      <x:c r="U15" s="54"/>
      <x:c r="V15" s="53" t="str">
        <x:v>착수 전</x:v>
      </x:c>
    </x:row>
    <x:row r="16" ht="42" customHeight="1">
      <x:c r="A16" s="36" t="str">
        <x:v>TC-NET-008-01</x:v>
      </x:c>
      <x:c r="B16" s="36" t="str">
        <x:v>NET-008</x:v>
      </x:c>
      <x:c r="C16" s="36" t="str">
        <x:v>네트워크 동기화·보안</x:v>
      </x:c>
      <x:c r="D16" s="36" t="str">
        <x:v>정상 시나리오: 서버 시각 동기화·타이머 보정</x:v>
      </x:c>
      <x:c r="E16" s="36" t="str">
        <x:v>왕복 지연을 고려해 시각 차이를 추정하고 페이즈 시작 시각과 마감 시각을 절대 시각으로 배포한다. UI 보정은 부드럽게 처리하되 서버 마감이 우선한다.</x:v>
      </x:c>
      <x:c r="F16" s="36" t="str">
        <x:v>대상 기능이 포함된 MVP 빌드, 필요한 테스트 계정·룸 설정·로그 접근 권한을 준비한다.</x:v>
      </x:c>
      <x:c r="G16" s="36" t="str">
        <x:v>1. 사전 조건 상태를 구성한다.
2. 표준 설정에서 다음 테스트 대상을 실행한다: 서버 시각 동기화·타이머 보정.
3. UI, 서버 상태와 로그·텔레메트리를 확인한다.
4. 필요하면 재입장 또는 재실행하여 재현성을 확인한다.</x:v>
      </x:c>
      <x:c r="H16" s="36" t="str">
        <x:v>왕복 지연을 고려해 시각 차이를 추정하고 페이즈 시작 시각과 마감 시각을 절대 시각으로 배포한다. UI 보정은 부드럽게 처리하되 서버 마감이 우선한다.</x:v>
      </x:c>
      <x:c r="I16" s="36" t="str">
        <x:v>네트워크</x:v>
      </x:c>
      <x:c r="J16" s="36" t="str">
        <x:v>P0</x:v>
      </x:c>
      <x:c r="K16" s="36" t="str">
        <x:v>전체</x:v>
      </x:c>
      <x:c r="L16" s="36" t="str">
        <x:v>예</x:v>
      </x:c>
      <x:c r="M16" s="36" t="str">
        <x:v>미실시</x:v>
      </x:c>
      <x:c r="N16" s="36" t="str">
        <x:v>미정</x:v>
      </x:c>
      <x:c r="O16" s="36" t="str">
        <x:v>미정</x:v>
      </x:c>
      <x:c r="P16" s="36"/>
      <x:c r="Q16" s="36"/>
      <x:c r="R16" s="44" t="str">
        <x:v>2026-07-10</x:v>
      </x:c>
      <x:c r="S16" s="36"/>
      <x:c r="T16" s="54"/>
      <x:c r="U16" s="54"/>
      <x:c r="V16" s="53" t="str">
        <x:v>착수 전</x:v>
      </x:c>
    </x:row>
    <x:row r="17" ht="42" customHeight="1">
      <x:c r="A17" s="36" t="str">
        <x:v>TC-NET-008-02</x:v>
      </x:c>
      <x:c r="B17" s="36" t="str">
        <x:v>NET-008</x:v>
      </x:c>
      <x:c r="C17" s="36" t="str">
        <x:v>네트워크 동기화·보안</x:v>
      </x:c>
      <x:c r="D17" s="36" t="str">
        <x:v>예외·경계 시나리오: 서버 시각 동기화·타이머 보정</x:v>
      </x:c>
      <x:c r="E17" s="36" t="str">
        <x:v>허용되지 않은 상태, 잘못된 값, 중복, 만료, 권한 부족, 연결 끊김 입력으로 데이터 손상·정보 유출·클라이언트 상태 분기가 발생하지 않는지 확인한다.</x:v>
      </x:c>
      <x:c r="F17" s="36" t="str">
        <x:v>대상 기능이 포함된 MVP 빌드와 디버그 입력, 네트워크 열화, 비정상 요청 재현 수단을 준비한다.</x:v>
      </x:c>
      <x:c r="G17" s="36" t="str">
        <x:v>1. 허용되지 않은 페이즈 또는 경계값 조건을 구성한다.
2. 서버 시각 동기화·타이머 보정에 대해 중복·무효·지연·연결 끊김을 포함한 요청을 전송한다.
3. 서버 거부, 롤백, 오류 표시와 감사 로그를 확인한다.
4. 모든 클라이언트의 상태가 일치하는지 확인한다.</x:v>
      </x:c>
      <x:c r="H17" s="36" t="str">
        <x:v>요청은 사양에 따라 거부되거나 안전하게 복구되며, 중복 반영, 데이터 손실, 정보 유출 또는 진행 중단이 발생하지 않는다. 오류와 상관관계 ID가 기록된다.</x:v>
      </x:c>
      <x:c r="I17" s="36" t="str">
        <x:v>네트워크</x:v>
      </x:c>
      <x:c r="J17" s="36" t="str">
        <x:v>P0</x:v>
      </x:c>
      <x:c r="K17" s="36" t="str">
        <x:v>전체</x:v>
      </x:c>
      <x:c r="L17" s="36" t="str">
        <x:v>예</x:v>
      </x:c>
      <x:c r="M17" s="36" t="str">
        <x:v>미실시</x:v>
      </x:c>
      <x:c r="N17" s="36" t="str">
        <x:v>미정</x:v>
      </x:c>
      <x:c r="O17" s="36" t="str">
        <x:v>미정</x:v>
      </x:c>
      <x:c r="P17" s="36"/>
      <x:c r="Q17" s="36"/>
      <x:c r="R17" s="44" t="str">
        <x:v>2026-07-10</x:v>
      </x:c>
      <x:c r="S17" s="36"/>
      <x:c r="T17" s="54"/>
      <x:c r="U17" s="54"/>
      <x:c r="V17" s="53" t="str">
        <x:v>착수 전</x:v>
      </x:c>
    </x:row>
    <x:row r="18" ht="42" customHeight="1">
      <x:c r="A18" s="36" t="str">
        <x:v>TC-NET-009-01</x:v>
      </x:c>
      <x:c r="B18" s="36" t="str">
        <x:v>NET-009</x:v>
      </x:c>
      <x:c r="C18" s="36" t="str">
        <x:v>네트워크 동기화·보안</x:v>
      </x:c>
      <x:c r="D18" s="36" t="str">
        <x:v>정상 시나리오: 이동 동기화·보간·텔레포트</x:v>
      </x:c>
      <x:c r="E18" s="36" t="str">
        <x:v>낮 이동을 대역폭 범위 안에서 부드럽게 보간하고 밤 집결은 명시적 텔레포트로 처리한다. 속도 변조와 범위 밖 좌표를 서버가 거부한다.</x:v>
      </x:c>
      <x:c r="F18" s="36" t="str">
        <x:v>대상 기능이 포함된 MVP 빌드, 필요한 테스트 계정·룸 설정·로그 접근 권한을 준비한다.</x:v>
      </x:c>
      <x:c r="G18" s="36" t="str">
        <x:v>1. 사전 조건 상태를 구성한다.
2. 표준 설정에서 다음 테스트 대상을 실행한다: 이동 동기화·보간·텔레포트.
3. UI, 서버 상태와 로그·텔레메트리를 확인한다.
4. 필요하면 재입장 또는 재실행하여 재현성을 확인한다.</x:v>
      </x:c>
      <x:c r="H18" s="36" t="str">
        <x:v>낮 이동을 대역폭 범위 안에서 부드럽게 보간하고 밤 집결은 명시적 텔레포트로 처리한다. 속도 변조와 범위 밖 좌표를 서버가 거부한다.</x:v>
      </x:c>
      <x:c r="I18" s="36" t="str">
        <x:v>네트워크</x:v>
      </x:c>
      <x:c r="J18" s="36" t="str">
        <x:v>P0</x:v>
      </x:c>
      <x:c r="K18" s="36" t="str">
        <x:v>전체</x:v>
      </x:c>
      <x:c r="L18" s="36" t="str">
        <x:v>부분</x:v>
      </x:c>
      <x:c r="M18" s="36" t="str">
        <x:v>미실시</x:v>
      </x:c>
      <x:c r="N18" s="36" t="str">
        <x:v>미정</x:v>
      </x:c>
      <x:c r="O18" s="36" t="str">
        <x:v>미정</x:v>
      </x:c>
      <x:c r="P18" s="36"/>
      <x:c r="Q18" s="36"/>
      <x:c r="R18" s="44" t="str">
        <x:v>2026-07-10</x:v>
      </x:c>
      <x:c r="S18" s="36"/>
      <x:c r="T18" s="54"/>
      <x:c r="U18" s="54"/>
      <x:c r="V18" s="53" t="str">
        <x:v>착수 전</x:v>
      </x:c>
    </x:row>
    <x:row r="19" ht="42" customHeight="1">
      <x:c r="A19" s="36" t="str">
        <x:v>TC-NET-009-02</x:v>
      </x:c>
      <x:c r="B19" s="36" t="str">
        <x:v>NET-009</x:v>
      </x:c>
      <x:c r="C19" s="36" t="str">
        <x:v>네트워크 동기화·보안</x:v>
      </x:c>
      <x:c r="D19" s="36" t="str">
        <x:v>예외·경계 시나리오: 이동 동기화·보간·텔레포트</x:v>
      </x:c>
      <x:c r="E19" s="36" t="str">
        <x:v>허용되지 않은 상태, 잘못된 값, 중복, 만료, 권한 부족, 연결 끊김 입력으로 데이터 손상·정보 유출·클라이언트 상태 분기가 발생하지 않는지 확인한다.</x:v>
      </x:c>
      <x:c r="F19" s="36" t="str">
        <x:v>대상 기능이 포함된 MVP 빌드와 디버그 입력, 네트워크 열화, 비정상 요청 재현 수단을 준비한다.</x:v>
      </x:c>
      <x:c r="G19" s="36" t="str">
        <x:v>1. 허용되지 않은 페이즈 또는 경계값 조건을 구성한다.
2. 이동 동기화·보간·텔레포트에 대해 중복·무효·지연·연결 끊김을 포함한 요청을 전송한다.
3. 서버 거부, 롤백, 오류 표시와 감사 로그를 확인한다.
4. 모든 클라이언트의 상태가 일치하는지 확인한다.</x:v>
      </x:c>
      <x:c r="H19" s="36" t="str">
        <x:v>요청은 사양에 따라 거부되거나 안전하게 복구되며, 중복 반영, 데이터 손실, 정보 유출 또는 진행 중단이 발생하지 않는다. 오류와 상관관계 ID가 기록된다.</x:v>
      </x:c>
      <x:c r="I19" s="36" t="str">
        <x:v>네트워크</x:v>
      </x:c>
      <x:c r="J19" s="36" t="str">
        <x:v>P0</x:v>
      </x:c>
      <x:c r="K19" s="36" t="str">
        <x:v>전체</x:v>
      </x:c>
      <x:c r="L19" s="36" t="str">
        <x:v>부분</x:v>
      </x:c>
      <x:c r="M19" s="36" t="str">
        <x:v>미실시</x:v>
      </x:c>
      <x:c r="N19" s="36" t="str">
        <x:v>미정</x:v>
      </x:c>
      <x:c r="O19" s="36" t="str">
        <x:v>미정</x:v>
      </x:c>
      <x:c r="P19" s="36"/>
      <x:c r="Q19" s="36"/>
      <x:c r="R19" s="44" t="str">
        <x:v>2026-07-10</x:v>
      </x:c>
      <x:c r="S19" s="36"/>
      <x:c r="T19" s="54"/>
      <x:c r="U19" s="54"/>
      <x:c r="V19" s="53" t="str">
        <x:v>착수 전</x:v>
      </x:c>
    </x:row>
    <x:row r="20" ht="42" customHeight="1">
      <x:c r="A20" s="36" t="str">
        <x:v>TC-NET-010-01</x:v>
      </x:c>
      <x:c r="B20" s="36" t="str">
        <x:v>NET-010</x:v>
      </x:c>
      <x:c r="C20" s="36" t="str">
        <x:v>네트워크 동기화·보안</x:v>
      </x:c>
      <x:c r="D20" s="36" t="str">
        <x:v>정상 시나리오: 페이즈 전환 이벤트 신뢰성 전송</x:v>
      </x:c>
      <x:c r="E20" s="36" t="str">
        <x:v>시작 시각, 상태 ID, 일차, 설정 버전을 신뢰성 채널로 전송하고 중복, 지연 도착, 재접속 상황에서도 한 번만 적용한다.</x:v>
      </x:c>
      <x:c r="F20" s="36" t="str">
        <x:v>대상 기능이 포함된 MVP 빌드, 필요한 테스트 계정·룸 설정·로그 접근 권한을 준비한다.</x:v>
      </x:c>
      <x:c r="G20" s="36" t="str">
        <x:v>1. 사전 조건 상태를 구성한다.
2. 표준 설정에서 다음 테스트 대상을 실행한다: 페이즈 전환 이벤트 신뢰성 전송.
3. UI, 서버 상태와 로그·텔레메트리를 확인한다.
4. 필요하면 재입장 또는 재실행하여 재현성을 확인한다.</x:v>
      </x:c>
      <x:c r="H20" s="36" t="str">
        <x:v>시작 시각, 상태 ID, 일차, 설정 버전을 신뢰성 채널로 전송하고 중복, 지연 도착, 재접속 상황에서도 한 번만 적용한다.</x:v>
      </x:c>
      <x:c r="I20" s="36" t="str">
        <x:v>네트워크</x:v>
      </x:c>
      <x:c r="J20" s="36" t="str">
        <x:v>P0</x:v>
      </x:c>
      <x:c r="K20" s="36" t="str">
        <x:v>전체</x:v>
      </x:c>
      <x:c r="L20" s="36" t="str">
        <x:v>예</x:v>
      </x:c>
      <x:c r="M20" s="36" t="str">
        <x:v>미실시</x:v>
      </x:c>
      <x:c r="N20" s="36" t="str">
        <x:v>미정</x:v>
      </x:c>
      <x:c r="O20" s="36" t="str">
        <x:v>미정</x:v>
      </x:c>
      <x:c r="P20" s="36"/>
      <x:c r="Q20" s="36"/>
      <x:c r="R20" s="44" t="str">
        <x:v>2026-07-10</x:v>
      </x:c>
      <x:c r="S20" s="36"/>
      <x:c r="T20" s="54"/>
      <x:c r="U20" s="54"/>
      <x:c r="V20" s="53" t="str">
        <x:v>착수 전</x:v>
      </x:c>
    </x:row>
    <x:row r="21" ht="42" customHeight="1">
      <x:c r="A21" s="36" t="str">
        <x:v>TC-NET-010-02</x:v>
      </x:c>
      <x:c r="B21" s="36" t="str">
        <x:v>NET-010</x:v>
      </x:c>
      <x:c r="C21" s="36" t="str">
        <x:v>네트워크 동기화·보안</x:v>
      </x:c>
      <x:c r="D21" s="36" t="str">
        <x:v>예외·경계 시나리오: 페이즈 전환 이벤트 신뢰성 전송</x:v>
      </x:c>
      <x:c r="E21" s="36" t="str">
        <x:v>허용되지 않은 상태, 잘못된 값, 중복, 만료, 권한 부족, 연결 끊김 입력으로 데이터 손상·정보 유출·클라이언트 상태 분기가 발생하지 않는지 확인한다.</x:v>
      </x:c>
      <x:c r="F21" s="36" t="str">
        <x:v>대상 기능이 포함된 MVP 빌드와 디버그 입력, 네트워크 열화, 비정상 요청 재현 수단을 준비한다.</x:v>
      </x:c>
      <x:c r="G21" s="36" t="str">
        <x:v>1. 허용되지 않은 페이즈 또는 경계값 조건을 구성한다.
2. 페이즈 전환 이벤트 신뢰성 전송에 대해 중복·무효·지연·연결 끊김을 포함한 요청을 전송한다.
3. 서버 거부, 롤백, 오류 표시와 감사 로그를 확인한다.
4. 모든 클라이언트의 상태가 일치하는지 확인한다.</x:v>
      </x:c>
      <x:c r="H21" s="36" t="str">
        <x:v>요청은 사양에 따라 거부되거나 안전하게 복구되며, 중복 반영, 데이터 손실, 정보 유출 또는 진행 중단이 발생하지 않는다. 오류와 상관관계 ID가 기록된다.</x:v>
      </x:c>
      <x:c r="I21" s="36" t="str">
        <x:v>네트워크</x:v>
      </x:c>
      <x:c r="J21" s="36" t="str">
        <x:v>P0</x:v>
      </x:c>
      <x:c r="K21" s="36" t="str">
        <x:v>전체</x:v>
      </x:c>
      <x:c r="L21" s="36" t="str">
        <x:v>예</x:v>
      </x:c>
      <x:c r="M21" s="36" t="str">
        <x:v>미실시</x:v>
      </x:c>
      <x:c r="N21" s="36" t="str">
        <x:v>미정</x:v>
      </x:c>
      <x:c r="O21" s="36" t="str">
        <x:v>미정</x:v>
      </x:c>
      <x:c r="P21" s="36"/>
      <x:c r="Q21" s="36"/>
      <x:c r="R21" s="44" t="str">
        <x:v>2026-07-10</x:v>
      </x:c>
      <x:c r="S21" s="36"/>
      <x:c r="T21" s="54"/>
      <x:c r="U21" s="54"/>
      <x:c r="V21" s="53" t="str">
        <x:v>착수 전</x:v>
      </x:c>
    </x:row>
    <x:row r="22" ht="42" customHeight="1">
      <x:c r="A22" s="36" t="str">
        <x:v>TC-NET-011-01</x:v>
      </x:c>
      <x:c r="B22" s="36" t="str">
        <x:v>NET-011</x:v>
      </x:c>
      <x:c r="C22" s="36" t="str">
        <x:v>네트워크 동기화·보안</x:v>
      </x:c>
      <x:c r="D22" s="36" t="str">
        <x:v>정상 시나리오: 신뢰성·비신뢰성 채널 설계</x:v>
      </x:c>
      <x:c r="E22" s="36" t="str">
        <x:v>역할, 메모, 투표, 설정, 승패는 신뢰성 채널을 사용하고 이동·일시 연출은 적절한 비신뢰성 채널을 사용해 우선순위 역전을 방지한다.</x:v>
      </x:c>
      <x:c r="F22" s="36" t="str">
        <x:v>대상 기능이 포함된 MVP 빌드, 필요한 테스트 계정·룸 설정·로그 접근 권한을 준비한다.</x:v>
      </x:c>
      <x:c r="G22" s="36" t="str">
        <x:v>1. 사전 조건 상태를 구성한다.
2. 표준 설정에서 다음 테스트 대상을 실행한다: 신뢰성·비신뢰성 채널 설계.
3. UI, 서버 상태와 로그·텔레메트리를 확인한다.
4. 필요하면 재입장 또는 재실행하여 재현성을 확인한다.</x:v>
      </x:c>
      <x:c r="H22" s="36" t="str">
        <x:v>역할, 메모, 투표, 설정, 승패는 신뢰성 채널을 사용하고 이동·일시 연출은 적절한 비신뢰성 채널을 사용해 우선순위 역전을 방지한다.</x:v>
      </x:c>
      <x:c r="I22" s="36" t="str">
        <x:v>성능</x:v>
      </x:c>
      <x:c r="J22" s="36" t="str">
        <x:v>P0</x:v>
      </x:c>
      <x:c r="K22" s="36" t="str">
        <x:v>전체</x:v>
      </x:c>
      <x:c r="L22" s="36" t="str">
        <x:v>예</x:v>
      </x:c>
      <x:c r="M22" s="36" t="str">
        <x:v>미실시</x:v>
      </x:c>
      <x:c r="N22" s="36" t="str">
        <x:v>미정</x:v>
      </x:c>
      <x:c r="O22" s="36" t="str">
        <x:v>미정</x:v>
      </x:c>
      <x:c r="P22" s="36"/>
      <x:c r="Q22" s="36"/>
      <x:c r="R22" s="44" t="str">
        <x:v>2026-07-10</x:v>
      </x:c>
      <x:c r="S22" s="36"/>
      <x:c r="T22" s="54"/>
      <x:c r="U22" s="54"/>
      <x:c r="V22" s="53" t="str">
        <x:v>착수 전</x:v>
      </x:c>
    </x:row>
    <x:row r="23" ht="42" customHeight="1">
      <x:c r="A23" s="36" t="str">
        <x:v>TC-NET-011-02</x:v>
      </x:c>
      <x:c r="B23" s="36" t="str">
        <x:v>NET-011</x:v>
      </x:c>
      <x:c r="C23" s="36" t="str">
        <x:v>네트워크 동기화·보안</x:v>
      </x:c>
      <x:c r="D23" s="36" t="str">
        <x:v>예외·경계 시나리오: 신뢰성·비신뢰성 채널 설계</x:v>
      </x:c>
      <x:c r="E23" s="36" t="str">
        <x:v>허용되지 않은 상태, 잘못된 값, 중복, 만료, 권한 부족, 연결 끊김 입력으로 데이터 손상·정보 유출·클라이언트 상태 분기가 발생하지 않는지 확인한다.</x:v>
      </x:c>
      <x:c r="F23" s="36" t="str">
        <x:v>대상 기능이 포함된 MVP 빌드와 디버그 입력, 네트워크 열화, 비정상 요청 재현 수단을 준비한다.</x:v>
      </x:c>
      <x:c r="G23" s="36" t="str">
        <x:v>1. 허용되지 않은 페이즈 또는 경계값 조건을 구성한다.
2. 신뢰성·비신뢰성 채널 설계에 대해 중복·무효·지연·연결 끊김을 포함한 요청을 전송한다.
3. 서버 거부, 롤백, 오류 표시와 감사 로그를 확인한다.
4. 모든 클라이언트의 상태가 일치하는지 확인한다.</x:v>
      </x:c>
      <x:c r="H23" s="36" t="str">
        <x:v>요청은 사양에 따라 거부되거나 안전하게 복구되며, 중복 반영, 데이터 손실, 정보 유출 또는 진행 중단이 발생하지 않는다. 오류와 상관관계 ID가 기록된다.</x:v>
      </x:c>
      <x:c r="I23" s="36" t="str">
        <x:v>성능</x:v>
      </x:c>
      <x:c r="J23" s="36" t="str">
        <x:v>P0</x:v>
      </x:c>
      <x:c r="K23" s="36" t="str">
        <x:v>전체</x:v>
      </x:c>
      <x:c r="L23" s="36" t="str">
        <x:v>예</x:v>
      </x:c>
      <x:c r="M23" s="36" t="str">
        <x:v>미실시</x:v>
      </x:c>
      <x:c r="N23" s="36" t="str">
        <x:v>미정</x:v>
      </x:c>
      <x:c r="O23" s="36" t="str">
        <x:v>미정</x:v>
      </x:c>
      <x:c r="P23" s="36"/>
      <x:c r="Q23" s="36"/>
      <x:c r="R23" s="44" t="str">
        <x:v>2026-07-10</x:v>
      </x:c>
      <x:c r="S23" s="36"/>
      <x:c r="T23" s="54"/>
      <x:c r="U23" s="54"/>
      <x:c r="V23" s="53" t="str">
        <x:v>착수 전</x:v>
      </x:c>
    </x:row>
    <x:row r="24" ht="42" customHeight="1">
      <x:c r="A24" s="36" t="str">
        <x:v>TC-NET-012-01</x:v>
      </x:c>
      <x:c r="B24" s="36" t="str">
        <x:v>NET-012</x:v>
      </x:c>
      <x:c r="C24" s="36" t="str">
        <x:v>네트워크 동기화·보안</x:v>
      </x:c>
      <x:c r="D24" s="36" t="str">
        <x:v>정상 시나리오: 공통 RPC 권한·상태·요청률 검증</x:v>
      </x:c>
      <x:c r="E24" s="36" t="str">
        <x:v>메시지별로 송신자 ID, 역할, 페이즈, 대상, 횟수, 거리, 권한, 요청률을 검증하고 거부 사유와 감사 이벤트를 기록한다.</x:v>
      </x:c>
      <x:c r="F24" s="36" t="str">
        <x:v>대상 기능이 포함된 MVP 빌드, 필요한 테스트 계정·룸 설정·로그 접근 권한을 준비한다.</x:v>
      </x:c>
      <x:c r="G24" s="36" t="str">
        <x:v>1. 사전 조건 상태를 구성한다.
2. 표준 설정에서 다음 테스트 대상을 실행한다: 공통 RPC 권한·상태·요청률 검증.
3. UI, 서버 상태와 로그·텔레메트리를 확인한다.
4. 필요하면 재입장 또는 재실행하여 재현성을 확인한다.</x:v>
      </x:c>
      <x:c r="H24" s="36" t="str">
        <x:v>메시지별로 송신자 ID, 역할, 페이즈, 대상, 횟수, 거리, 권한, 요청률을 검증하고 거부 사유와 감사 이벤트를 기록한다.</x:v>
      </x:c>
      <x:c r="I24" s="36" t="str">
        <x:v>보안</x:v>
      </x:c>
      <x:c r="J24" s="36" t="str">
        <x:v>P0</x:v>
      </x:c>
      <x:c r="K24" s="36" t="str">
        <x:v>서버</x:v>
      </x:c>
      <x:c r="L24" s="36" t="str">
        <x:v>예</x:v>
      </x:c>
      <x:c r="M24" s="36" t="str">
        <x:v>미실시</x:v>
      </x:c>
      <x:c r="N24" s="36" t="str">
        <x:v>미정</x:v>
      </x:c>
      <x:c r="O24" s="36" t="str">
        <x:v>미정</x:v>
      </x:c>
      <x:c r="P24" s="36"/>
      <x:c r="Q24" s="36"/>
      <x:c r="R24" s="44" t="str">
        <x:v>2026-07-10</x:v>
      </x:c>
      <x:c r="S24" s="36"/>
      <x:c r="T24" s="54"/>
      <x:c r="U24" s="54"/>
      <x:c r="V24" s="53" t="str">
        <x:v>착수 전</x:v>
      </x:c>
    </x:row>
    <x:row r="25" ht="42" customHeight="1">
      <x:c r="A25" s="36" t="str">
        <x:v>TC-NET-012-02</x:v>
      </x:c>
      <x:c r="B25" s="36" t="str">
        <x:v>NET-012</x:v>
      </x:c>
      <x:c r="C25" s="36" t="str">
        <x:v>네트워크 동기화·보안</x:v>
      </x:c>
      <x:c r="D25" s="36" t="str">
        <x:v>예외·경계 시나리오: 공통 RPC 권한·상태·요청률 검증</x:v>
      </x:c>
      <x:c r="E25" s="36" t="str">
        <x:v>허용되지 않은 상태, 잘못된 값, 중복, 만료, 권한 부족, 연결 끊김 입력으로 데이터 손상·정보 유출·클라이언트 상태 분기가 발생하지 않는지 확인한다.</x:v>
      </x:c>
      <x:c r="F25" s="36" t="str">
        <x:v>대상 기능이 포함된 MVP 빌드와 디버그 입력, 네트워크 열화, 비정상 요청 재현 수단을 준비한다.</x:v>
      </x:c>
      <x:c r="G25" s="36" t="str">
        <x:v>1. 허용되지 않은 페이즈 또는 경계값 조건을 구성한다.
2. 공통 RPC 권한·상태·요청률 검증에 대해 중복·무효·지연·연결 끊김을 포함한 요청을 전송한다.
3. 서버 거부, 롤백, 오류 표시와 감사 로그를 확인한다.
4. 모든 클라이언트의 상태가 일치하는지 확인한다.</x:v>
      </x:c>
      <x:c r="H25" s="36" t="str">
        <x:v>요청은 사양에 따라 거부되거나 안전하게 복구되며, 중복 반영, 데이터 손실, 정보 유출 또는 진행 중단이 발생하지 않는다. 오류와 상관관계 ID가 기록된다.</x:v>
      </x:c>
      <x:c r="I25" s="36" t="str">
        <x:v>보안</x:v>
      </x:c>
      <x:c r="J25" s="36" t="str">
        <x:v>P0</x:v>
      </x:c>
      <x:c r="K25" s="36" t="str">
        <x:v>서버</x:v>
      </x:c>
      <x:c r="L25" s="36" t="str">
        <x:v>예</x:v>
      </x:c>
      <x:c r="M25" s="36" t="str">
        <x:v>미실시</x:v>
      </x:c>
      <x:c r="N25" s="36" t="str">
        <x:v>미정</x:v>
      </x:c>
      <x:c r="O25" s="36" t="str">
        <x:v>미정</x:v>
      </x:c>
      <x:c r="P25" s="36"/>
      <x:c r="Q25" s="36"/>
      <x:c r="R25" s="44" t="str">
        <x:v>2026-07-10</x:v>
      </x:c>
      <x:c r="S25" s="36"/>
      <x:c r="T25" s="54"/>
      <x:c r="U25" s="54"/>
      <x:c r="V25" s="53" t="str">
        <x:v>착수 전</x:v>
      </x:c>
    </x:row>
    <x:row r="26" ht="42" customHeight="1">
      <x:c r="A26" s="36" t="str">
        <x:v>TC-NET-013-01</x:v>
      </x:c>
      <x:c r="B26" s="36" t="str">
        <x:v>NET-013</x:v>
      </x:c>
      <x:c r="C26" s="36" t="str">
        <x:v>네트워크 동기화·보안</x:v>
      </x:c>
      <x:c r="D26" s="36" t="str">
        <x:v>정상 시나리오: 메모 부착 요청 메시지</x:v>
      </x:c>
      <x:c r="E26" s="36" t="str">
        <x:v>메모 ID, 대상 ID, 클라이언트 시작 틱을 수신하고 서버상의 위치, 등 뒤 각도, 페이즈, 소유권을 다시 검증한다.</x:v>
      </x:c>
      <x:c r="F26" s="36" t="str">
        <x:v>대상 기능이 포함된 MVP 빌드, 필요한 테스트 계정·룸 설정·로그 접근 권한을 준비한다.</x:v>
      </x:c>
      <x:c r="G26" s="36" t="str">
        <x:v>1. 사전 조건 상태를 구성한다.
2. 표준 설정에서 다음 테스트 대상을 실행한다: 메모 부착 요청 메시지.
3. UI, 서버 상태와 로그·텔레메트리를 확인한다.
4. 필요하면 재입장 또는 재실행하여 재현성을 확인한다.</x:v>
      </x:c>
      <x:c r="H26" s="36" t="str">
        <x:v>메모 ID, 대상 ID, 클라이언트 시작 틱을 수신하고 서버상의 위치, 등 뒤 각도, 페이즈, 소유권을 다시 검증한다.</x:v>
      </x:c>
      <x:c r="I26" s="36" t="str">
        <x:v>보안</x:v>
      </x:c>
      <x:c r="J26" s="36" t="str">
        <x:v>P0</x:v>
      </x:c>
      <x:c r="K26" s="36" t="str">
        <x:v>전체</x:v>
      </x:c>
      <x:c r="L26" s="36" t="str">
        <x:v>예</x:v>
      </x:c>
      <x:c r="M26" s="36" t="str">
        <x:v>미실시</x:v>
      </x:c>
      <x:c r="N26" s="36" t="str">
        <x:v>미정</x:v>
      </x:c>
      <x:c r="O26" s="36" t="str">
        <x:v>미정</x:v>
      </x:c>
      <x:c r="P26" s="36"/>
      <x:c r="Q26" s="36"/>
      <x:c r="R26" s="44" t="str">
        <x:v>2026-07-10</x:v>
      </x:c>
      <x:c r="S26" s="36"/>
      <x:c r="T26" s="54"/>
      <x:c r="U26" s="54"/>
      <x:c r="V26" s="53" t="str">
        <x:v>착수 전</x:v>
      </x:c>
    </x:row>
    <x:row r="27" ht="42" customHeight="1">
      <x:c r="A27" s="36" t="str">
        <x:v>TC-NET-013-02</x:v>
      </x:c>
      <x:c r="B27" s="36" t="str">
        <x:v>NET-013</x:v>
      </x:c>
      <x:c r="C27" s="36" t="str">
        <x:v>네트워크 동기화·보안</x:v>
      </x:c>
      <x:c r="D27" s="36" t="str">
        <x:v>예외·경계 시나리오: 메모 부착 요청 메시지</x:v>
      </x:c>
      <x:c r="E27" s="36" t="str">
        <x:v>허용되지 않은 상태, 잘못된 값, 중복, 만료, 권한 부족, 연결 끊김 입력으로 데이터 손상·정보 유출·클라이언트 상태 분기가 발생하지 않는지 확인한다.</x:v>
      </x:c>
      <x:c r="F27" s="36" t="str">
        <x:v>대상 기능이 포함된 MVP 빌드와 디버그 입력, 네트워크 열화, 비정상 요청 재현 수단을 준비한다.</x:v>
      </x:c>
      <x:c r="G27" s="36" t="str">
        <x:v>1. 허용되지 않은 페이즈 또는 경계값 조건을 구성한다.
2. 메모 부착 요청 메시지에 대해 중복·무효·지연·연결 끊김을 포함한 요청을 전송한다.
3. 서버 거부, 롤백, 오류 표시와 감사 로그를 확인한다.
4. 모든 클라이언트의 상태가 일치하는지 확인한다.</x:v>
      </x:c>
      <x:c r="H27" s="36" t="str">
        <x:v>요청은 사양에 따라 거부되거나 안전하게 복구되며, 중복 반영, 데이터 손실, 정보 유출 또는 진행 중단이 발생하지 않는다. 오류와 상관관계 ID가 기록된다.</x:v>
      </x:c>
      <x:c r="I27" s="36" t="str">
        <x:v>보안</x:v>
      </x:c>
      <x:c r="J27" s="36" t="str">
        <x:v>P0</x:v>
      </x:c>
      <x:c r="K27" s="36" t="str">
        <x:v>전체</x:v>
      </x:c>
      <x:c r="L27" s="36" t="str">
        <x:v>예</x:v>
      </x:c>
      <x:c r="M27" s="36" t="str">
        <x:v>미실시</x:v>
      </x:c>
      <x:c r="N27" s="36" t="str">
        <x:v>미정</x:v>
      </x:c>
      <x:c r="O27" s="36" t="str">
        <x:v>미정</x:v>
      </x:c>
      <x:c r="P27" s="36"/>
      <x:c r="Q27" s="36"/>
      <x:c r="R27" s="44" t="str">
        <x:v>2026-07-10</x:v>
      </x:c>
      <x:c r="S27" s="36"/>
      <x:c r="T27" s="54"/>
      <x:c r="U27" s="54"/>
      <x:c r="V27" s="53" t="str">
        <x:v>착수 전</x:v>
      </x:c>
    </x:row>
    <x:row r="28" ht="42" customHeight="1">
      <x:c r="A28" s="36" t="str">
        <x:v>TC-NET-014-01</x:v>
      </x:c>
      <x:c r="B28" s="36" t="str">
        <x:v>NET-014</x:v>
      </x:c>
      <x:c r="C28" s="36" t="str">
        <x:v>네트워크 동기화·보안</x:v>
      </x:c>
      <x:c r="D28" s="36" t="str">
        <x:v>정상 시나리오: 메모 확정·순서·멱등성</x:v>
      </x:c>
      <x:c r="E28" s="36" t="str">
        <x:v>고유 작업 ID로 재전송을 흡수하고 서버 순번을 부여해 대상 메모를 볼 수 있는 클라이언트에 공개 모델만 배포한다.</x:v>
      </x:c>
      <x:c r="F28" s="36" t="str">
        <x:v>대상 기능이 포함된 MVP 빌드, 필요한 테스트 계정·룸 설정·로그 접근 권한을 준비한다.</x:v>
      </x:c>
      <x:c r="G28" s="36" t="str">
        <x:v>1. 사전 조건 상태를 구성한다.
2. 표준 설정에서 다음 테스트 대상을 실행한다: 메모 확정·순서·멱등성.
3. UI, 서버 상태와 로그·텔레메트리를 확인한다.
4. 필요하면 재입장 또는 재실행하여 재현성을 확인한다.</x:v>
      </x:c>
      <x:c r="H28" s="36" t="str">
        <x:v>고유 작업 ID로 재전송을 흡수하고 서버 순번을 부여해 대상 메모를 볼 수 있는 클라이언트에 공개 모델만 배포한다.</x:v>
      </x:c>
      <x:c r="I28" s="36" t="str">
        <x:v>네트워크</x:v>
      </x:c>
      <x:c r="J28" s="36" t="str">
        <x:v>P0</x:v>
      </x:c>
      <x:c r="K28" s="36" t="str">
        <x:v>전체</x:v>
      </x:c>
      <x:c r="L28" s="36" t="str">
        <x:v>예</x:v>
      </x:c>
      <x:c r="M28" s="36" t="str">
        <x:v>미실시</x:v>
      </x:c>
      <x:c r="N28" s="36" t="str">
        <x:v>미정</x:v>
      </x:c>
      <x:c r="O28" s="36" t="str">
        <x:v>미정</x:v>
      </x:c>
      <x:c r="P28" s="36"/>
      <x:c r="Q28" s="36"/>
      <x:c r="R28" s="44" t="str">
        <x:v>2026-07-10</x:v>
      </x:c>
      <x:c r="S28" s="36"/>
      <x:c r="T28" s="54"/>
      <x:c r="U28" s="54"/>
      <x:c r="V28" s="53" t="str">
        <x:v>착수 전</x:v>
      </x:c>
    </x:row>
    <x:row r="29" ht="42" customHeight="1">
      <x:c r="A29" s="36" t="str">
        <x:v>TC-NET-014-02</x:v>
      </x:c>
      <x:c r="B29" s="36" t="str">
        <x:v>NET-014</x:v>
      </x:c>
      <x:c r="C29" s="36" t="str">
        <x:v>네트워크 동기화·보안</x:v>
      </x:c>
      <x:c r="D29" s="36" t="str">
        <x:v>예외·경계 시나리오: 메모 확정·순서·멱등성</x:v>
      </x:c>
      <x:c r="E29" s="36" t="str">
        <x:v>허용되지 않은 상태, 잘못된 값, 중복, 만료, 권한 부족, 연결 끊김 입력으로 데이터 손상·정보 유출·클라이언트 상태 분기가 발생하지 않는지 확인한다.</x:v>
      </x:c>
      <x:c r="F29" s="36" t="str">
        <x:v>대상 기능이 포함된 MVP 빌드와 디버그 입력, 네트워크 열화, 비정상 요청 재현 수단을 준비한다.</x:v>
      </x:c>
      <x:c r="G29" s="36" t="str">
        <x:v>1. 허용되지 않은 페이즈 또는 경계값 조건을 구성한다.
2. 메모 확정·순서·멱등성에 대해 중복·무효·지연·연결 끊김을 포함한 요청을 전송한다.
3. 서버 거부, 롤백, 오류 표시와 감사 로그를 확인한다.
4. 모든 클라이언트의 상태가 일치하는지 확인한다.</x:v>
      </x:c>
      <x:c r="H29" s="36" t="str">
        <x:v>요청은 사양에 따라 거부되거나 안전하게 복구되며, 중복 반영, 데이터 손실, 정보 유출 또는 진행 중단이 발생하지 않는다. 오류와 상관관계 ID가 기록된다.</x:v>
      </x:c>
      <x:c r="I29" s="36" t="str">
        <x:v>네트워크</x:v>
      </x:c>
      <x:c r="J29" s="36" t="str">
        <x:v>P0</x:v>
      </x:c>
      <x:c r="K29" s="36" t="str">
        <x:v>전체</x:v>
      </x:c>
      <x:c r="L29" s="36" t="str">
        <x:v>예</x:v>
      </x:c>
      <x:c r="M29" s="36" t="str">
        <x:v>미실시</x:v>
      </x:c>
      <x:c r="N29" s="36" t="str">
        <x:v>미정</x:v>
      </x:c>
      <x:c r="O29" s="36" t="str">
        <x:v>미정</x:v>
      </x:c>
      <x:c r="P29" s="36"/>
      <x:c r="Q29" s="36"/>
      <x:c r="R29" s="44" t="str">
        <x:v>2026-07-10</x:v>
      </x:c>
      <x:c r="S29" s="36"/>
      <x:c r="T29" s="54"/>
      <x:c r="U29" s="54"/>
      <x:c r="V29" s="53" t="str">
        <x:v>착수 전</x:v>
      </x:c>
    </x:row>
    <x:row r="30" ht="42" customHeight="1">
      <x:c r="A30" s="36" t="str">
        <x:v>TC-NET-015-01</x:v>
      </x:c>
      <x:c r="B30" s="36" t="str">
        <x:v>NET-015</x:v>
      </x:c>
      <x:c r="C30" s="36" t="str">
        <x:v>네트워크 동기화·보안</x:v>
      </x:c>
      <x:c r="D30" s="36" t="str">
        <x:v>정상 시나리오: 미니게임 완료·보상 멱등성</x:v>
      </x:c>
      <x:c r="E30" s="36" t="str">
        <x:v>서버가 발급한 인스턴스 ID와 완료 Nonce를 검증하고 동일 완료 이벤트에 대한 보상은 한 번만 지급한다.</x:v>
      </x:c>
      <x:c r="F30" s="36" t="str">
        <x:v>대상 기능이 포함된 MVP 빌드, 필요한 테스트 계정·룸 설정·로그 접근 권한을 준비한다.</x:v>
      </x:c>
      <x:c r="G30" s="36" t="str">
        <x:v>1. 사전 조건 상태를 구성한다.
2. 표준 설정에서 다음 테스트 대상을 실행한다: 미니게임 완료·보상 멱등성.
3. UI, 서버 상태와 로그·텔레메트리를 확인한다.
4. 필요하면 재입장 또는 재실행하여 재현성을 확인한다.</x:v>
      </x:c>
      <x:c r="H30" s="36" t="str">
        <x:v>서버가 발급한 인스턴스 ID와 완료 Nonce를 검증하고 동일 완료 이벤트에 대한 보상은 한 번만 지급한다.</x:v>
      </x:c>
      <x:c r="I30" s="36" t="str">
        <x:v>보안</x:v>
      </x:c>
      <x:c r="J30" s="36" t="str">
        <x:v>P0</x:v>
      </x:c>
      <x:c r="K30" s="36" t="str">
        <x:v>전체</x:v>
      </x:c>
      <x:c r="L30" s="36" t="str">
        <x:v>예</x:v>
      </x:c>
      <x:c r="M30" s="36" t="str">
        <x:v>미실시</x:v>
      </x:c>
      <x:c r="N30" s="36" t="str">
        <x:v>미정</x:v>
      </x:c>
      <x:c r="O30" s="36" t="str">
        <x:v>미정</x:v>
      </x:c>
      <x:c r="P30" s="36"/>
      <x:c r="Q30" s="36"/>
      <x:c r="R30" s="44" t="str">
        <x:v>2026-07-10</x:v>
      </x:c>
      <x:c r="S30" s="36"/>
      <x:c r="T30" s="54"/>
      <x:c r="U30" s="54"/>
      <x:c r="V30" s="53" t="str">
        <x:v>착수 전</x:v>
      </x:c>
    </x:row>
    <x:row r="31" ht="42" customHeight="1">
      <x:c r="A31" s="36" t="str">
        <x:v>TC-NET-015-02</x:v>
      </x:c>
      <x:c r="B31" s="36" t="str">
        <x:v>NET-015</x:v>
      </x:c>
      <x:c r="C31" s="36" t="str">
        <x:v>네트워크 동기화·보안</x:v>
      </x:c>
      <x:c r="D31" s="36" t="str">
        <x:v>예외·경계 시나리오: 미니게임 완료·보상 멱등성</x:v>
      </x:c>
      <x:c r="E31" s="36" t="str">
        <x:v>허용되지 않은 상태, 잘못된 값, 중복, 만료, 권한 부족, 연결 끊김 입력으로 데이터 손상·정보 유출·클라이언트 상태 분기가 발생하지 않는지 확인한다.</x:v>
      </x:c>
      <x:c r="F31" s="36" t="str">
        <x:v>대상 기능이 포함된 MVP 빌드와 디버그 입력, 네트워크 열화, 비정상 요청 재현 수단을 준비한다.</x:v>
      </x:c>
      <x:c r="G31" s="36" t="str">
        <x:v>1. 허용되지 않은 페이즈 또는 경계값 조건을 구성한다.
2. 미니게임 완료·보상 멱등성에 대해 중복·무효·지연·연결 끊김을 포함한 요청을 전송한다.
3. 서버 거부, 롤백, 오류 표시와 감사 로그를 확인한다.
4. 모든 클라이언트의 상태가 일치하는지 확인한다.</x:v>
      </x:c>
      <x:c r="H31" s="36" t="str">
        <x:v>요청은 사양에 따라 거부되거나 안전하게 복구되며, 중복 반영, 데이터 손실, 정보 유출 또는 진행 중단이 발생하지 않는다. 오류와 상관관계 ID가 기록된다.</x:v>
      </x:c>
      <x:c r="I31" s="36" t="str">
        <x:v>보안</x:v>
      </x:c>
      <x:c r="J31" s="36" t="str">
        <x:v>P0</x:v>
      </x:c>
      <x:c r="K31" s="36" t="str">
        <x:v>전체</x:v>
      </x:c>
      <x:c r="L31" s="36" t="str">
        <x:v>예</x:v>
      </x:c>
      <x:c r="M31" s="36" t="str">
        <x:v>미실시</x:v>
      </x:c>
      <x:c r="N31" s="36" t="str">
        <x:v>미정</x:v>
      </x:c>
      <x:c r="O31" s="36" t="str">
        <x:v>미정</x:v>
      </x:c>
      <x:c r="P31" s="36"/>
      <x:c r="Q31" s="36"/>
      <x:c r="R31" s="44" t="str">
        <x:v>2026-07-10</x:v>
      </x:c>
      <x:c r="S31" s="36"/>
      <x:c r="T31" s="54"/>
      <x:c r="U31" s="54"/>
      <x:c r="V31" s="53" t="str">
        <x:v>착수 전</x:v>
      </x:c>
    </x:row>
    <x:row r="32" ht="42" customHeight="1">
      <x:c r="A32" s="36" t="str">
        <x:v>TC-NET-016-01</x:v>
      </x:c>
      <x:c r="B32" s="36" t="str">
        <x:v>NET-016</x:v>
      </x:c>
      <x:c r="C32" s="36" t="str">
        <x:v>네트워크 동기화·보안</x:v>
      </x:c>
      <x:c r="D32" s="36" t="str">
        <x:v>정상 시나리오: 투표 전송·비공개·마감 처리</x:v>
      </x:c>
      <x:c r="E32" s="36" t="str">
        <x:v>투표자와 대상을 인증하고 1회성, 마감, 대상 생존 여부를 검증한다. 집계 완료 전에는 다른 클라이언트에 투표 대상과 중간 득표 수를 전송하지 않는다.</x:v>
      </x:c>
      <x:c r="F32" s="36" t="str">
        <x:v>대상 기능이 포함된 MVP 빌드, 필요한 테스트 계정·룸 설정·로그 접근 권한을 준비한다.</x:v>
      </x:c>
      <x:c r="G32" s="36" t="str">
        <x:v>1. 사전 조건 상태를 구성한다.
2. 표준 설정에서 다음 테스트 대상을 실행한다: 투표 전송·비공개·마감 처리.
3. UI, 서버 상태와 로그·텔레메트리를 확인한다.
4. 필요하면 재입장 또는 재실행하여 재현성을 확인한다.</x:v>
      </x:c>
      <x:c r="H32" s="36" t="str">
        <x:v>투표자와 대상을 인증하고 1회성, 마감, 대상 생존 여부를 검증한다. 집계 완료 전에는 다른 클라이언트에 투표 대상과 중간 득표 수를 전송하지 않는다.</x:v>
      </x:c>
      <x:c r="I32" s="36" t="str">
        <x:v>보안</x:v>
      </x:c>
      <x:c r="J32" s="36" t="str">
        <x:v>P0</x:v>
      </x:c>
      <x:c r="K32" s="36" t="str">
        <x:v>전체</x:v>
      </x:c>
      <x:c r="L32" s="36" t="str">
        <x:v>예</x:v>
      </x:c>
      <x:c r="M32" s="36" t="str">
        <x:v>미실시</x:v>
      </x:c>
      <x:c r="N32" s="36" t="str">
        <x:v>미정</x:v>
      </x:c>
      <x:c r="O32" s="36" t="str">
        <x:v>미정</x:v>
      </x:c>
      <x:c r="P32" s="36"/>
      <x:c r="Q32" s="36"/>
      <x:c r="R32" s="44" t="str">
        <x:v>2026-07-10</x:v>
      </x:c>
      <x:c r="S32" s="36"/>
      <x:c r="T32" s="54"/>
      <x:c r="U32" s="54"/>
      <x:c r="V32" s="53" t="str">
        <x:v>착수 전</x:v>
      </x:c>
    </x:row>
    <x:row r="33" ht="42" customHeight="1">
      <x:c r="A33" s="36" t="str">
        <x:v>TC-NET-016-02</x:v>
      </x:c>
      <x:c r="B33" s="36" t="str">
        <x:v>NET-016</x:v>
      </x:c>
      <x:c r="C33" s="36" t="str">
        <x:v>네트워크 동기화·보안</x:v>
      </x:c>
      <x:c r="D33" s="36" t="str">
        <x:v>예외·경계 시나리오: 투표 전송·비공개·마감 처리</x:v>
      </x:c>
      <x:c r="E33" s="36" t="str">
        <x:v>허용되지 않은 상태, 잘못된 값, 중복, 만료, 권한 부족, 연결 끊김 입력으로 데이터 손상·정보 유출·클라이언트 상태 분기가 발생하지 않는지 확인한다.</x:v>
      </x:c>
      <x:c r="F33" s="36" t="str">
        <x:v>대상 기능이 포함된 MVP 빌드와 디버그 입력, 네트워크 열화, 비정상 요청 재현 수단을 준비한다.</x:v>
      </x:c>
      <x:c r="G33" s="36" t="str">
        <x:v>1. 허용되지 않은 페이즈 또는 경계값 조건을 구성한다.
2. 투표 전송·비공개·마감 처리에 대해 중복·무효·지연·연결 끊김을 포함한 요청을 전송한다.
3. 서버 거부, 롤백, 오류 표시와 감사 로그를 확인한다.
4. 모든 클라이언트의 상태가 일치하는지 확인한다.</x:v>
      </x:c>
      <x:c r="H33" s="36" t="str">
        <x:v>요청은 사양에 따라 거부되거나 안전하게 복구되며, 중복 반영, 데이터 손실, 정보 유출 또는 진행 중단이 발생하지 않는다. 오류와 상관관계 ID가 기록된다.</x:v>
      </x:c>
      <x:c r="I33" s="36" t="str">
        <x:v>보안</x:v>
      </x:c>
      <x:c r="J33" s="36" t="str">
        <x:v>P0</x:v>
      </x:c>
      <x:c r="K33" s="36" t="str">
        <x:v>전체</x:v>
      </x:c>
      <x:c r="L33" s="36" t="str">
        <x:v>예</x:v>
      </x:c>
      <x:c r="M33" s="36" t="str">
        <x:v>미실시</x:v>
      </x:c>
      <x:c r="N33" s="36" t="str">
        <x:v>미정</x:v>
      </x:c>
      <x:c r="O33" s="36" t="str">
        <x:v>미정</x:v>
      </x:c>
      <x:c r="P33" s="36"/>
      <x:c r="Q33" s="36"/>
      <x:c r="R33" s="44" t="str">
        <x:v>2026-07-10</x:v>
      </x:c>
      <x:c r="S33" s="36"/>
      <x:c r="T33" s="54"/>
      <x:c r="U33" s="54"/>
      <x:c r="V33" s="53" t="str">
        <x:v>착수 전</x:v>
      </x:c>
    </x:row>
    <x:row r="34" ht="42" customHeight="1">
      <x:c r="A34" s="36" t="str">
        <x:v>TC-NET-017-01</x:v>
      </x:c>
      <x:c r="B34" s="36" t="str">
        <x:v>NET-017</x:v>
      </x:c>
      <x:c r="C34" s="36" t="str">
        <x:v>네트워크 동기화·보안</x:v>
      </x:c>
      <x:c r="D34" s="36" t="str">
        <x:v>정상 시나리오: 역할 정보 개인 전송·최소 배포</x:v>
      </x:c>
      <x:c r="E34" s="36" t="str">
        <x:v>각 플레이어에게 본인 역할만 개인 전송하고 공통 스냅샷, 관전 데이터, 로그, 크래시 덤프에 다른 플레이어의 역할을 포함하지 않는다.</x:v>
      </x:c>
      <x:c r="F34" s="36" t="str">
        <x:v>대상 기능이 포함된 MVP 빌드, 필요한 테스트 계정·룸 설정·로그 접근 권한을 준비한다.</x:v>
      </x:c>
      <x:c r="G34" s="36" t="str">
        <x:v>1. 사전 조건 상태를 구성한다.
2. 표준 설정에서 다음 테스트 대상을 실행한다: 역할 정보 개인 전송·최소 배포.
3. UI, 서버 상태와 로그·텔레메트리를 확인한다.
4. 필요하면 재입장 또는 재실행하여 재현성을 확인한다.</x:v>
      </x:c>
      <x:c r="H34" s="36" t="str">
        <x:v>각 플레이어에게 본인 역할만 개인 전송하고 공통 스냅샷, 관전 데이터, 로그, 크래시 덤프에 다른 플레이어의 역할을 포함하지 않는다.</x:v>
      </x:c>
      <x:c r="I34" s="36" t="str">
        <x:v>보안</x:v>
      </x:c>
      <x:c r="J34" s="36" t="str">
        <x:v>P0</x:v>
      </x:c>
      <x:c r="K34" s="36" t="str">
        <x:v>전체</x:v>
      </x:c>
      <x:c r="L34" s="36" t="str">
        <x:v>예</x:v>
      </x:c>
      <x:c r="M34" s="36" t="str">
        <x:v>미실시</x:v>
      </x:c>
      <x:c r="N34" s="36" t="str">
        <x:v>미정</x:v>
      </x:c>
      <x:c r="O34" s="36" t="str">
        <x:v>미정</x:v>
      </x:c>
      <x:c r="P34" s="36"/>
      <x:c r="Q34" s="36"/>
      <x:c r="R34" s="44" t="str">
        <x:v>2026-07-10</x:v>
      </x:c>
      <x:c r="S34" s="36"/>
      <x:c r="T34" s="54"/>
      <x:c r="U34" s="54"/>
      <x:c r="V34" s="53" t="str">
        <x:v>착수 전</x:v>
      </x:c>
    </x:row>
    <x:row r="35" ht="42" customHeight="1">
      <x:c r="A35" s="36" t="str">
        <x:v>TC-NET-017-02</x:v>
      </x:c>
      <x:c r="B35" s="36" t="str">
        <x:v>NET-017</x:v>
      </x:c>
      <x:c r="C35" s="36" t="str">
        <x:v>네트워크 동기화·보안</x:v>
      </x:c>
      <x:c r="D35" s="36" t="str">
        <x:v>예외·경계 시나리오: 역할 정보 개인 전송·최소 배포</x:v>
      </x:c>
      <x:c r="E35" s="36" t="str">
        <x:v>허용되지 않은 상태, 잘못된 값, 중복, 만료, 권한 부족, 연결 끊김 입력으로 데이터 손상·정보 유출·클라이언트 상태 분기가 발생하지 않는지 확인한다.</x:v>
      </x:c>
      <x:c r="F35" s="36" t="str">
        <x:v>대상 기능이 포함된 MVP 빌드와 디버그 입력, 네트워크 열화, 비정상 요청 재현 수단을 준비한다.</x:v>
      </x:c>
      <x:c r="G35" s="36" t="str">
        <x:v>1. 허용되지 않은 페이즈 또는 경계값 조건을 구성한다.
2. 역할 정보 개인 전송·최소 배포에 대해 중복·무효·지연·연결 끊김을 포함한 요청을 전송한다.
3. 서버 거부, 롤백, 오류 표시와 감사 로그를 확인한다.
4. 모든 클라이언트의 상태가 일치하는지 확인한다.</x:v>
      </x:c>
      <x:c r="H35" s="36" t="str">
        <x:v>요청은 사양에 따라 거부되거나 안전하게 복구되며, 중복 반영, 데이터 손실, 정보 유출 또는 진행 중단이 발생하지 않는다. 오류와 상관관계 ID가 기록된다.</x:v>
      </x:c>
      <x:c r="I35" s="36" t="str">
        <x:v>보안</x:v>
      </x:c>
      <x:c r="J35" s="36" t="str">
        <x:v>P0</x:v>
      </x:c>
      <x:c r="K35" s="36" t="str">
        <x:v>전체</x:v>
      </x:c>
      <x:c r="L35" s="36" t="str">
        <x:v>예</x:v>
      </x:c>
      <x:c r="M35" s="36" t="str">
        <x:v>미실시</x:v>
      </x:c>
      <x:c r="N35" s="36" t="str">
        <x:v>미정</x:v>
      </x:c>
      <x:c r="O35" s="36" t="str">
        <x:v>미정</x:v>
      </x:c>
      <x:c r="P35" s="36"/>
      <x:c r="Q35" s="36"/>
      <x:c r="R35" s="44" t="str">
        <x:v>2026-07-10</x:v>
      </x:c>
      <x:c r="S35" s="36"/>
      <x:c r="T35" s="54"/>
      <x:c r="U35" s="54"/>
      <x:c r="V35" s="53" t="str">
        <x:v>착수 전</x:v>
      </x:c>
    </x:row>
    <x:row r="36" ht="42" customHeight="1">
      <x:c r="A36" s="36" t="str">
        <x:v>TC-NET-018-01</x:v>
      </x:c>
      <x:c r="B36" s="36" t="str">
        <x:v>NET-018</x:v>
      </x:c>
      <x:c r="C36" s="36" t="str">
        <x:v>네트워크 동기화·보안</x:v>
      </x:c>
      <x:c r="D36" s="36" t="str">
        <x:v>정상 시나리오: 수신자별 정보 공개 필터</x:v>
      </x:c>
      <x:c r="E36" s="36" t="str">
        <x:v>본인 등 메모, 실제 작성자, 실제 부착자, 위조 여부, 중간 투표 결과를 수신자별 공개 모델에서 제외하고 재접속 스냅샷에도 같은 규칙을 적용한다.</x:v>
      </x:c>
      <x:c r="F36" s="36" t="str">
        <x:v>대상 기능이 포함된 MVP 빌드, 필요한 테스트 계정·룸 설정·로그 접근 권한을 준비한다.</x:v>
      </x:c>
      <x:c r="G36" s="36" t="str">
        <x:v>1. 사전 조건 상태를 구성한다.
2. 표준 설정에서 다음 테스트 대상을 실행한다: 수신자별 정보 공개 필터.
3. UI, 서버 상태와 로그·텔레메트리를 확인한다.
4. 필요하면 재입장 또는 재실행하여 재현성을 확인한다.</x:v>
      </x:c>
      <x:c r="H36" s="36" t="str">
        <x:v>본인 등 메모, 실제 작성자, 실제 부착자, 위조 여부, 중간 투표 결과를 수신자별 공개 모델에서 제외하고 재접속 스냅샷에도 같은 규칙을 적용한다.</x:v>
      </x:c>
      <x:c r="I36" s="36" t="str">
        <x:v>보안</x:v>
      </x:c>
      <x:c r="J36" s="36" t="str">
        <x:v>P0</x:v>
      </x:c>
      <x:c r="K36" s="36" t="str">
        <x:v>전체</x:v>
      </x:c>
      <x:c r="L36" s="36" t="str">
        <x:v>예</x:v>
      </x:c>
      <x:c r="M36" s="36" t="str">
        <x:v>미실시</x:v>
      </x:c>
      <x:c r="N36" s="36" t="str">
        <x:v>미정</x:v>
      </x:c>
      <x:c r="O36" s="36" t="str">
        <x:v>미정</x:v>
      </x:c>
      <x:c r="P36" s="36"/>
      <x:c r="Q36" s="36"/>
      <x:c r="R36" s="44" t="str">
        <x:v>2026-07-10</x:v>
      </x:c>
      <x:c r="S36" s="36"/>
      <x:c r="T36" s="54"/>
      <x:c r="U36" s="54"/>
      <x:c r="V36" s="53" t="str">
        <x:v>착수 전</x:v>
      </x:c>
    </x:row>
    <x:row r="37" ht="42" customHeight="1">
      <x:c r="A37" s="36" t="str">
        <x:v>TC-NET-018-02</x:v>
      </x:c>
      <x:c r="B37" s="36" t="str">
        <x:v>NET-018</x:v>
      </x:c>
      <x:c r="C37" s="36" t="str">
        <x:v>네트워크 동기화·보안</x:v>
      </x:c>
      <x:c r="D37" s="36" t="str">
        <x:v>예외·경계 시나리오: 수신자별 정보 공개 필터</x:v>
      </x:c>
      <x:c r="E37" s="36" t="str">
        <x:v>허용되지 않은 상태, 잘못된 값, 중복, 만료, 권한 부족, 연결 끊김 입력으로 데이터 손상·정보 유출·클라이언트 상태 분기가 발생하지 않는지 확인한다.</x:v>
      </x:c>
      <x:c r="F37" s="36" t="str">
        <x:v>대상 기능이 포함된 MVP 빌드와 디버그 입력, 네트워크 열화, 비정상 요청 재현 수단을 준비한다.</x:v>
      </x:c>
      <x:c r="G37" s="36" t="str">
        <x:v>1. 허용되지 않은 페이즈 또는 경계값 조건을 구성한다.
2. 수신자별 정보 공개 필터에 대해 중복·무효·지연·연결 끊김을 포함한 요청을 전송한다.
3. 서버 거부, 롤백, 오류 표시와 감사 로그를 확인한다.
4. 모든 클라이언트의 상태가 일치하는지 확인한다.</x:v>
      </x:c>
      <x:c r="H37" s="36" t="str">
        <x:v>요청은 사양에 따라 거부되거나 안전하게 복구되며, 중복 반영, 데이터 손실, 정보 유출 또는 진행 중단이 발생하지 않는다. 오류와 상관관계 ID가 기록된다.</x:v>
      </x:c>
      <x:c r="I37" s="36" t="str">
        <x:v>보안</x:v>
      </x:c>
      <x:c r="J37" s="36" t="str">
        <x:v>P0</x:v>
      </x:c>
      <x:c r="K37" s="36" t="str">
        <x:v>전체</x:v>
      </x:c>
      <x:c r="L37" s="36" t="str">
        <x:v>예</x:v>
      </x:c>
      <x:c r="M37" s="36" t="str">
        <x:v>미실시</x:v>
      </x:c>
      <x:c r="N37" s="36" t="str">
        <x:v>미정</x:v>
      </x:c>
      <x:c r="O37" s="36" t="str">
        <x:v>미정</x:v>
      </x:c>
      <x:c r="P37" s="36"/>
      <x:c r="Q37" s="36"/>
      <x:c r="R37" s="44" t="str">
        <x:v>2026-07-10</x:v>
      </x:c>
      <x:c r="S37" s="36"/>
      <x:c r="T37" s="54"/>
      <x:c r="U37" s="54"/>
      <x:c r="V37" s="53" t="str">
        <x:v>착수 전</x:v>
      </x:c>
    </x:row>
    <x:row r="38" ht="42" customHeight="1">
      <x:c r="A38" s="36" t="str">
        <x:v>TC-NET-019-01</x:v>
      </x:c>
      <x:c r="B38" s="36" t="str">
        <x:v>NET-019</x:v>
      </x:c>
      <x:c r="C38" s="36" t="str">
        <x:v>네트워크 동기화·보안</x:v>
      </x:c>
      <x:c r="D38" s="36" t="str">
        <x:v>정상 시나리오: 재접속 스냅샷·차분 스트림 재개</x:v>
      </x:c>
      <x:c r="E38" s="36" t="str">
        <x:v>스냅샷 버전, 마지막 이벤트 순번, 정보 공개 필터를 사용해 전체 상태를 복원하고 수신 완료 후 차분 스트림으로 전환한다.</x:v>
      </x:c>
      <x:c r="F38" s="36" t="str">
        <x:v>대상 기능이 포함된 알파 빌드, 필요한 테스트 계정·룸 설정·로그 접근 권한을 준비한다.</x:v>
      </x:c>
      <x:c r="G38" s="36" t="str">
        <x:v>1. 사전 조건 상태를 구성한다.
2. 표준 설정에서 다음 테스트 대상을 실행한다: 재접속 스냅샷·차분 스트림 재개.
3. UI, 서버 상태와 로그·텔레메트리를 확인한다.
4. 필요하면 재입장 또는 재실행하여 재현성을 확인한다.</x:v>
      </x:c>
      <x:c r="H38" s="36" t="str">
        <x:v>스냅샷 버전, 마지막 이벤트 순번, 정보 공개 필터를 사용해 전체 상태를 복원하고 수신 완료 후 차분 스트림으로 전환한다.</x:v>
      </x:c>
      <x:c r="I38" s="36" t="str">
        <x:v>네트워크</x:v>
      </x:c>
      <x:c r="J38" s="36" t="str">
        <x:v>P0</x:v>
      </x:c>
      <x:c r="K38" s="36" t="str">
        <x:v>전체</x:v>
      </x:c>
      <x:c r="L38" s="36" t="str">
        <x:v>예</x:v>
      </x:c>
      <x:c r="M38" s="36" t="str">
        <x:v>미실시</x:v>
      </x:c>
      <x:c r="N38" s="36" t="str">
        <x:v>미정</x:v>
      </x:c>
      <x:c r="O38" s="36" t="str">
        <x:v>미정</x:v>
      </x:c>
      <x:c r="P38" s="36"/>
      <x:c r="Q38" s="36"/>
      <x:c r="R38" s="44" t="str">
        <x:v>2026-07-10</x:v>
      </x:c>
      <x:c r="S38" s="36"/>
      <x:c r="T38" s="54"/>
      <x:c r="U38" s="54"/>
      <x:c r="V38" s="53" t="str">
        <x:v>착수 전</x:v>
      </x:c>
    </x:row>
    <x:row r="39" ht="42" customHeight="1">
      <x:c r="A39" s="36" t="str">
        <x:v>TC-NET-019-02</x:v>
      </x:c>
      <x:c r="B39" s="36" t="str">
        <x:v>NET-019</x:v>
      </x:c>
      <x:c r="C39" s="36" t="str">
        <x:v>네트워크 동기화·보안</x:v>
      </x:c>
      <x:c r="D39" s="36" t="str">
        <x:v>예외·경계 시나리오: 재접속 스냅샷·차분 스트림 재개</x:v>
      </x:c>
      <x:c r="E39" s="36" t="str">
        <x:v>허용되지 않은 상태, 잘못된 값, 중복, 만료, 권한 부족, 연결 끊김 입력으로 데이터 손상·정보 유출·클라이언트 상태 분기가 발생하지 않는지 확인한다.</x:v>
      </x:c>
      <x:c r="F39" s="36" t="str">
        <x:v>대상 기능이 포함된 알파 빌드와 디버그 입력, 네트워크 열화, 비정상 요청 재현 수단을 준비한다.</x:v>
      </x:c>
      <x:c r="G39" s="36" t="str">
        <x:v>1. 허용되지 않은 페이즈 또는 경계값 조건을 구성한다.
2. 재접속 스냅샷·차분 스트림 재개에 대해 중복·무효·지연·연결 끊김을 포함한 요청을 전송한다.
3. 서버 거부, 롤백, 오류 표시와 감사 로그를 확인한다.
4. 모든 클라이언트의 상태가 일치하는지 확인한다.</x:v>
      </x:c>
      <x:c r="H39" s="36" t="str">
        <x:v>요청은 사양에 따라 거부되거나 안전하게 복구되며, 중복 반영, 데이터 손실, 정보 유출 또는 진행 중단이 발생하지 않는다. 오류와 상관관계 ID가 기록된다.</x:v>
      </x:c>
      <x:c r="I39" s="36" t="str">
        <x:v>네트워크</x:v>
      </x:c>
      <x:c r="J39" s="36" t="str">
        <x:v>P0</x:v>
      </x:c>
      <x:c r="K39" s="36" t="str">
        <x:v>전체</x:v>
      </x:c>
      <x:c r="L39" s="36" t="str">
        <x:v>예</x:v>
      </x:c>
      <x:c r="M39" s="36" t="str">
        <x:v>미실시</x:v>
      </x:c>
      <x:c r="N39" s="36" t="str">
        <x:v>미정</x:v>
      </x:c>
      <x:c r="O39" s="36" t="str">
        <x:v>미정</x:v>
      </x:c>
      <x:c r="P39" s="36"/>
      <x:c r="Q39" s="36"/>
      <x:c r="R39" s="44" t="str">
        <x:v>2026-07-10</x:v>
      </x:c>
      <x:c r="S39" s="36"/>
      <x:c r="T39" s="54"/>
      <x:c r="U39" s="54"/>
      <x:c r="V39" s="53" t="str">
        <x:v>착수 전</x:v>
      </x:c>
    </x:row>
    <x:row r="40" ht="42" customHeight="1">
      <x:c r="A40" s="36" t="str">
        <x:v>TC-NET-020-01</x:v>
      </x:c>
      <x:c r="B40" s="36" t="str">
        <x:v>NET-020</x:v>
      </x:c>
      <x:c r="C40" s="36" t="str">
        <x:v>네트워크 동기화·보안</x:v>
      </x:c>
      <x:c r="D40" s="36" t="str">
        <x:v>정상 시나리오: 하트비트·서버 장애 감지</x:v>
      </x:c>
      <x:c r="E40" s="36" t="str">
        <x:v>클라이언트와 서버 양쪽에서 시간 초과를 감지하고 일시 단절, 서버 종료, 인증 만료를 구분해 재접속 또는 무효 매치로 전환한다.</x:v>
      </x:c>
      <x:c r="F40" s="36" t="str">
        <x:v>대상 기능이 포함된 알파 빌드, 필요한 테스트 계정·룸 설정·로그 접근 권한을 준비한다.</x:v>
      </x:c>
      <x:c r="G40" s="36" t="str">
        <x:v>1. 사전 조건 상태를 구성한다.
2. 표준 설정에서 다음 테스트 대상을 실행한다: 하트비트·서버 장애 감지.
3. UI, 서버 상태와 로그·텔레메트리를 확인한다.
4. 필요하면 재입장 또는 재실행하여 재현성을 확인한다.</x:v>
      </x:c>
      <x:c r="H40" s="36" t="str">
        <x:v>클라이언트와 서버 양쪽에서 시간 초과를 감지하고 일시 단절, 서버 종료, 인증 만료를 구분해 재접속 또는 무효 매치로 전환한다.</x:v>
      </x:c>
      <x:c r="I40" s="36" t="str">
        <x:v>네트워크</x:v>
      </x:c>
      <x:c r="J40" s="36" t="str">
        <x:v>P0</x:v>
      </x:c>
      <x:c r="K40" s="36" t="str">
        <x:v>전체</x:v>
      </x:c>
      <x:c r="L40" s="36" t="str">
        <x:v>예</x:v>
      </x:c>
      <x:c r="M40" s="36" t="str">
        <x:v>미실시</x:v>
      </x:c>
      <x:c r="N40" s="36" t="str">
        <x:v>미정</x:v>
      </x:c>
      <x:c r="O40" s="36" t="str">
        <x:v>미정</x:v>
      </x:c>
      <x:c r="P40" s="36"/>
      <x:c r="Q40" s="36"/>
      <x:c r="R40" s="44" t="str">
        <x:v>2026-07-10</x:v>
      </x:c>
      <x:c r="S40" s="36"/>
      <x:c r="T40" s="54"/>
      <x:c r="U40" s="54"/>
      <x:c r="V40" s="53" t="str">
        <x:v>착수 전</x:v>
      </x:c>
    </x:row>
    <x:row r="41" ht="42" customHeight="1">
      <x:c r="A41" s="36" t="str">
        <x:v>TC-NET-020-02</x:v>
      </x:c>
      <x:c r="B41" s="36" t="str">
        <x:v>NET-020</x:v>
      </x:c>
      <x:c r="C41" s="36" t="str">
        <x:v>네트워크 동기화·보안</x:v>
      </x:c>
      <x:c r="D41" s="36" t="str">
        <x:v>예외·경계 시나리오: 하트비트·서버 장애 감지</x:v>
      </x:c>
      <x:c r="E41" s="36" t="str">
        <x:v>허용되지 않은 상태, 잘못된 값, 중복, 만료, 권한 부족, 연결 끊김 입력으로 데이터 손상·정보 유출·클라이언트 상태 분기가 발생하지 않는지 확인한다.</x:v>
      </x:c>
      <x:c r="F41" s="36" t="str">
        <x:v>대상 기능이 포함된 알파 빌드와 디버그 입력, 네트워크 열화, 비정상 요청 재현 수단을 준비한다.</x:v>
      </x:c>
      <x:c r="G41" s="36" t="str">
        <x:v>1. 허용되지 않은 페이즈 또는 경계값 조건을 구성한다.
2. 하트비트·서버 장애 감지에 대해 중복·무효·지연·연결 끊김을 포함한 요청을 전송한다.
3. 서버 거부, 롤백, 오류 표시와 감사 로그를 확인한다.
4. 모든 클라이언트의 상태가 일치하는지 확인한다.</x:v>
      </x:c>
      <x:c r="H41" s="36" t="str">
        <x:v>요청은 사양에 따라 거부되거나 안전하게 복구되며, 중복 반영, 데이터 손실, 정보 유출 또는 진행 중단이 발생하지 않는다. 오류와 상관관계 ID가 기록된다.</x:v>
      </x:c>
      <x:c r="I41" s="36" t="str">
        <x:v>네트워크</x:v>
      </x:c>
      <x:c r="J41" s="36" t="str">
        <x:v>P0</x:v>
      </x:c>
      <x:c r="K41" s="36" t="str">
        <x:v>전체</x:v>
      </x:c>
      <x:c r="L41" s="36" t="str">
        <x:v>예</x:v>
      </x:c>
      <x:c r="M41" s="36" t="str">
        <x:v>미실시</x:v>
      </x:c>
      <x:c r="N41" s="36" t="str">
        <x:v>미정</x:v>
      </x:c>
      <x:c r="O41" s="36" t="str">
        <x:v>미정</x:v>
      </x:c>
      <x:c r="P41" s="36"/>
      <x:c r="Q41" s="36"/>
      <x:c r="R41" s="44" t="str">
        <x:v>2026-07-10</x:v>
      </x:c>
      <x:c r="S41" s="36"/>
      <x:c r="T41" s="54"/>
      <x:c r="U41" s="54"/>
      <x:c r="V41" s="53" t="str">
        <x:v>착수 전</x:v>
      </x:c>
    </x:row>
    <x:row r="42" ht="42" customHeight="1">
      <x:c r="A42" s="36" t="str">
        <x:v>TC-NET-021-01</x:v>
      </x:c>
      <x:c r="B42" s="36" t="str">
        <x:v>NET-021</x:v>
      </x:c>
      <x:c r="C42" s="36" t="str">
        <x:v>네트워크 동기화·보안</x:v>
      </x:c>
      <x:c r="D42" s="36" t="str">
        <x:v>정상 시나리오: 재전송·재시도·지수 백오프</x:v>
      </x:c>
      <x:c r="E42" s="36" t="str">
        <x:v>연결, 스냅샷, 중요 API에 상한이 있는 지수 백오프와 지터를 적용해 서비스 장애 중 재시도 폭주를 방지한다.</x:v>
      </x:c>
      <x:c r="F42" s="36" t="str">
        <x:v>대상 기능이 포함된 알파 빌드, 필요한 테스트 계정·룸 설정·로그 접근 권한을 준비한다.</x:v>
      </x:c>
      <x:c r="G42" s="36" t="str">
        <x:v>1. 사전 조건 상태를 구성한다.
2. 표준 설정에서 다음 테스트 대상을 실행한다: 재전송·재시도·지수 백오프.
3. UI, 서버 상태와 로그·텔레메트리를 확인한다.
4. 필요하면 재입장 또는 재실행하여 재현성을 확인한다.</x:v>
      </x:c>
      <x:c r="H42" s="36" t="str">
        <x:v>연결, 스냅샷, 중요 API에 상한이 있는 지수 백오프와 지터를 적용해 서비스 장애 중 재시도 폭주를 방지한다.</x:v>
      </x:c>
      <x:c r="I42" s="36" t="str">
        <x:v>부하</x:v>
      </x:c>
      <x:c r="J42" s="36" t="str">
        <x:v>P1</x:v>
      </x:c>
      <x:c r="K42" s="36" t="str">
        <x:v>전체</x:v>
      </x:c>
      <x:c r="L42" s="36" t="str">
        <x:v>부분</x:v>
      </x:c>
      <x:c r="M42" s="36" t="str">
        <x:v>미실시</x:v>
      </x:c>
      <x:c r="N42" s="36" t="str">
        <x:v>미정</x:v>
      </x:c>
      <x:c r="O42" s="36" t="str">
        <x:v>미정</x:v>
      </x:c>
      <x:c r="P42" s="36"/>
      <x:c r="Q42" s="36"/>
      <x:c r="R42" s="44" t="str">
        <x:v>2026-07-10</x:v>
      </x:c>
      <x:c r="S42" s="36"/>
      <x:c r="T42" s="54"/>
      <x:c r="U42" s="54"/>
      <x:c r="V42" s="53" t="str">
        <x:v>착수 전</x:v>
      </x:c>
    </x:row>
    <x:row r="43" ht="42" customHeight="1">
      <x:c r="A43" s="36" t="str">
        <x:v>TC-NET-022-01</x:v>
      </x:c>
      <x:c r="B43" s="36" t="str">
        <x:v>NET-022</x:v>
      </x:c>
      <x:c r="C43" s="36" t="str">
        <x:v>네트워크 동기화·보안</x:v>
      </x:c>
      <x:c r="D43" s="36" t="str">
        <x:v>정상 시나리오: 관심 영역·대역폭 예산·갱신 주기</x:v>
      </x:c>
      <x:c r="E43" s="36" t="str">
        <x:v>6명, 등 메모 최대 수, 모든 미니게임 동작 시 업로드·다운로드 예산을 정의하고 원거리 문구나 불필요한 이벤트를 전송하지 않는다.</x:v>
      </x:c>
      <x:c r="F43" s="36" t="str">
        <x:v>대상 기능이 포함된 알파 빌드, 필요한 테스트 계정·룸 설정·로그 접근 권한을 준비한다.</x:v>
      </x:c>
      <x:c r="G43" s="36" t="str">
        <x:v>1. 사전 조건 상태를 구성한다.
2. 표준 설정에서 다음 테스트 대상을 실행한다: 관심 영역·대역폭 예산·갱신 주기.
3. UI, 서버 상태와 로그·텔레메트리를 확인한다.
4. 필요하면 재입장 또는 재실행하여 재현성을 확인한다.</x:v>
      </x:c>
      <x:c r="H43" s="36" t="str">
        <x:v>6명, 등 메모 최대 수, 모든 미니게임 동작 시 업로드·다운로드 예산을 정의하고 원거리 문구나 불필요한 이벤트를 전송하지 않는다.</x:v>
      </x:c>
      <x:c r="I43" s="36" t="str">
        <x:v>성능</x:v>
      </x:c>
      <x:c r="J43" s="36" t="str">
        <x:v>P0</x:v>
      </x:c>
      <x:c r="K43" s="36" t="str">
        <x:v>전체</x:v>
      </x:c>
      <x:c r="L43" s="36" t="str">
        <x:v>예</x:v>
      </x:c>
      <x:c r="M43" s="36" t="str">
        <x:v>미실시</x:v>
      </x:c>
      <x:c r="N43" s="36" t="str">
        <x:v>미정</x:v>
      </x:c>
      <x:c r="O43" s="36" t="str">
        <x:v>미정</x:v>
      </x:c>
      <x:c r="P43" s="36"/>
      <x:c r="Q43" s="36"/>
      <x:c r="R43" s="44" t="str">
        <x:v>2026-07-10</x:v>
      </x:c>
      <x:c r="S43" s="36"/>
      <x:c r="T43" s="54"/>
      <x:c r="U43" s="54"/>
      <x:c r="V43" s="53" t="str">
        <x:v>착수 전</x:v>
      </x:c>
    </x:row>
    <x:row r="44" ht="42" customHeight="1">
      <x:c r="A44" s="36" t="str">
        <x:v>TC-NET-022-02</x:v>
      </x:c>
      <x:c r="B44" s="36" t="str">
        <x:v>NET-022</x:v>
      </x:c>
      <x:c r="C44" s="36" t="str">
        <x:v>네트워크 동기화·보안</x:v>
      </x:c>
      <x:c r="D44" s="36" t="str">
        <x:v>예외·경계 시나리오: 관심 영역·대역폭 예산·갱신 주기</x:v>
      </x:c>
      <x:c r="E44" s="36" t="str">
        <x:v>허용되지 않은 상태, 잘못된 값, 중복, 만료, 권한 부족, 연결 끊김 입력으로 데이터 손상·정보 유출·클라이언트 상태 분기가 발생하지 않는지 확인한다.</x:v>
      </x:c>
      <x:c r="F44" s="36" t="str">
        <x:v>대상 기능이 포함된 알파 빌드와 디버그 입력, 네트워크 열화, 비정상 요청 재현 수단을 준비한다.</x:v>
      </x:c>
      <x:c r="G44" s="36" t="str">
        <x:v>1. 허용되지 않은 페이즈 또는 경계값 조건을 구성한다.
2. 관심 영역·대역폭 예산·갱신 주기에 대해 중복·무효·지연·연결 끊김을 포함한 요청을 전송한다.
3. 서버 거부, 롤백, 오류 표시와 감사 로그를 확인한다.
4. 모든 클라이언트의 상태가 일치하는지 확인한다.</x:v>
      </x:c>
      <x:c r="H44" s="36" t="str">
        <x:v>요청은 사양에 따라 거부되거나 안전하게 복구되며, 중복 반영, 데이터 손실, 정보 유출 또는 진행 중단이 발생하지 않는다. 오류와 상관관계 ID가 기록된다.</x:v>
      </x:c>
      <x:c r="I44" s="36" t="str">
        <x:v>성능</x:v>
      </x:c>
      <x:c r="J44" s="36" t="str">
        <x:v>P0</x:v>
      </x:c>
      <x:c r="K44" s="36" t="str">
        <x:v>전체</x:v>
      </x:c>
      <x:c r="L44" s="36" t="str">
        <x:v>예</x:v>
      </x:c>
      <x:c r="M44" s="36" t="str">
        <x:v>미실시</x:v>
      </x:c>
      <x:c r="N44" s="36" t="str">
        <x:v>미정</x:v>
      </x:c>
      <x:c r="O44" s="36" t="str">
        <x:v>미정</x:v>
      </x:c>
      <x:c r="P44" s="36"/>
      <x:c r="Q44" s="36"/>
      <x:c r="R44" s="44" t="str">
        <x:v>2026-07-10</x:v>
      </x:c>
      <x:c r="S44" s="36"/>
      <x:c r="T44" s="54"/>
      <x:c r="U44" s="54"/>
      <x:c r="V44" s="53" t="str">
        <x:v>착수 전</x:v>
      </x:c>
    </x:row>
    <x:row r="45" ht="42" customHeight="1">
      <x:c r="A45" s="36" t="str">
        <x:v>TC-NET-023-01</x:v>
      </x:c>
      <x:c r="B45" s="36" t="str">
        <x:v>NET-023</x:v>
      </x:c>
      <x:c r="C45" s="36" t="str">
        <x:v>네트워크 동기화·보안</x:v>
      </x:c>
      <x:c r="D45" s="36" t="str">
        <x:v>정상 시나리오: 핑·손실·지터·대역폭·재전송 계측</x:v>
      </x:c>
      <x:c r="E45" s="36" t="str">
        <x:v>세션 단위 네트워크 품질 지표를 수집해 지역, 빌드, 플랫폼별로 집계할 수 있으며 개인 정보는 포함하지 않는다.</x:v>
      </x:c>
      <x:c r="F45" s="36" t="str">
        <x:v>대상 기능이 포함된 알파 빌드, 필요한 테스트 계정·룸 설정·로그 접근 권한을 준비한다.</x:v>
      </x:c>
      <x:c r="G45" s="36" t="str">
        <x:v>1. 사전 조건 상태를 구성한다.
2. 표준 설정에서 다음 테스트 대상을 실행한다: 핑·손실·지터·대역폭·재전송 계측.
3. UI, 서버 상태와 로그·텔레메트리를 확인한다.
4. 필요하면 재입장 또는 재실행하여 재현성을 확인한다.</x:v>
      </x:c>
      <x:c r="H45" s="36" t="str">
        <x:v>세션 단위 네트워크 품질 지표를 수집해 지역, 빌드, 플랫폼별로 집계할 수 있으며 개인 정보는 포함하지 않는다.</x:v>
      </x:c>
      <x:c r="I45" s="36" t="str">
        <x:v>운영</x:v>
      </x:c>
      <x:c r="J45" s="36" t="str">
        <x:v>P0</x:v>
      </x:c>
      <x:c r="K45" s="36" t="str">
        <x:v>전체</x:v>
      </x:c>
      <x:c r="L45" s="36" t="str">
        <x:v>예</x:v>
      </x:c>
      <x:c r="M45" s="36" t="str">
        <x:v>미실시</x:v>
      </x:c>
      <x:c r="N45" s="36" t="str">
        <x:v>미정</x:v>
      </x:c>
      <x:c r="O45" s="36" t="str">
        <x:v>미정</x:v>
      </x:c>
      <x:c r="P45" s="36"/>
      <x:c r="Q45" s="36"/>
      <x:c r="R45" s="44" t="str">
        <x:v>2026-07-10</x:v>
      </x:c>
      <x:c r="S45" s="36"/>
      <x:c r="T45" s="54"/>
      <x:c r="U45" s="54"/>
      <x:c r="V45" s="53" t="str">
        <x:v>착수 전</x:v>
      </x:c>
    </x:row>
    <x:row r="46" ht="42" customHeight="1">
      <x:c r="A46" s="36" t="str">
        <x:v>TC-NET-023-02</x:v>
      </x:c>
      <x:c r="B46" s="36" t="str">
        <x:v>NET-023</x:v>
      </x:c>
      <x:c r="C46" s="36" t="str">
        <x:v>네트워크 동기화·보안</x:v>
      </x:c>
      <x:c r="D46" s="36" t="str">
        <x:v>예외·경계 시나리오: 핑·손실·지터·대역폭·재전송 계측</x:v>
      </x:c>
      <x:c r="E46" s="36" t="str">
        <x:v>허용되지 않은 상태, 잘못된 값, 중복, 만료, 권한 부족, 연결 끊김 입력으로 데이터 손상·정보 유출·클라이언트 상태 분기가 발생하지 않는지 확인한다.</x:v>
      </x:c>
      <x:c r="F46" s="36" t="str">
        <x:v>대상 기능이 포함된 알파 빌드와 디버그 입력, 네트워크 열화, 비정상 요청 재현 수단을 준비한다.</x:v>
      </x:c>
      <x:c r="G46" s="36" t="str">
        <x:v>1. 허용되지 않은 페이즈 또는 경계값 조건을 구성한다.
2. 핑·손실·지터·대역폭·재전송 계측에 대해 중복·무효·지연·연결 끊김을 포함한 요청을 전송한다.
3. 서버 거부, 롤백, 오류 표시와 감사 로그를 확인한다.
4. 모든 클라이언트의 상태가 일치하는지 확인한다.</x:v>
      </x:c>
      <x:c r="H46" s="36" t="str">
        <x:v>요청은 사양에 따라 거부되거나 안전하게 복구되며, 중복 반영, 데이터 손실, 정보 유출 또는 진행 중단이 발생하지 않는다. 오류와 상관관계 ID가 기록된다.</x:v>
      </x:c>
      <x:c r="I46" s="36" t="str">
        <x:v>운영</x:v>
      </x:c>
      <x:c r="J46" s="36" t="str">
        <x:v>P0</x:v>
      </x:c>
      <x:c r="K46" s="36" t="str">
        <x:v>전체</x:v>
      </x:c>
      <x:c r="L46" s="36" t="str">
        <x:v>예</x:v>
      </x:c>
      <x:c r="M46" s="36" t="str">
        <x:v>미실시</x:v>
      </x:c>
      <x:c r="N46" s="36" t="str">
        <x:v>미정</x:v>
      </x:c>
      <x:c r="O46" s="36" t="str">
        <x:v>미정</x:v>
      </x:c>
      <x:c r="P46" s="36"/>
      <x:c r="Q46" s="36"/>
      <x:c r="R46" s="44" t="str">
        <x:v>2026-07-10</x:v>
      </x:c>
      <x:c r="S46" s="36"/>
      <x:c r="T46" s="54"/>
      <x:c r="U46" s="54"/>
      <x:c r="V46" s="53" t="str">
        <x:v>착수 전</x:v>
      </x:c>
    </x:row>
    <x:row r="47" ht="42" customHeight="1">
      <x:c r="A47" s="36" t="str">
        <x:v>TC-NET-024-01</x:v>
      </x:c>
      <x:c r="B47" s="36" t="str">
        <x:v>NET-024</x:v>
      </x:c>
      <x:c r="C47" s="36" t="str">
        <x:v>네트워크 동기화·보안</x:v>
      </x:c>
      <x:c r="D47" s="36" t="str">
        <x:v>정상 시나리오: 네트워크 열화 시험 프로파일</x:v>
      </x:c>
      <x:c r="E47" s="36" t="str">
        <x:v>50·100·200·350ms RTT, 0·1·3·5% 손실, 지터, 대역폭 제한, 단시간 단절을 재현하고 CI와 수동 시험에서 선택할 수 있다.</x:v>
      </x:c>
      <x:c r="F47" s="36" t="str">
        <x:v>대상 기능이 포함된 알파 빌드, 필요한 테스트 계정·룸 설정·로그 접근 권한을 준비한다.</x:v>
      </x:c>
      <x:c r="G47" s="36" t="str">
        <x:v>1. 사전 조건 상태를 구성한다.
2. 표준 설정에서 다음 테스트 대상을 실행한다: 네트워크 열화 시험 프로파일.
3. UI, 서버 상태와 로그·텔레메트리를 확인한다.
4. 필요하면 재입장 또는 재실행하여 재현성을 확인한다.</x:v>
      </x:c>
      <x:c r="H47" s="36" t="str">
        <x:v>50·100·200·350ms RTT, 0·1·3·5% 손실, 지터, 대역폭 제한, 단시간 단절을 재현하고 CI와 수동 시험에서 선택할 수 있다.</x:v>
      </x:c>
      <x:c r="I47" s="36" t="str">
        <x:v>네트워크</x:v>
      </x:c>
      <x:c r="J47" s="36" t="str">
        <x:v>P0</x:v>
      </x:c>
      <x:c r="K47" s="36" t="str">
        <x:v>도구</x:v>
      </x:c>
      <x:c r="L47" s="36" t="str">
        <x:v>부분</x:v>
      </x:c>
      <x:c r="M47" s="36" t="str">
        <x:v>미실시</x:v>
      </x:c>
      <x:c r="N47" s="36" t="str">
        <x:v>미정</x:v>
      </x:c>
      <x:c r="O47" s="36" t="str">
        <x:v>미정</x:v>
      </x:c>
      <x:c r="P47" s="36"/>
      <x:c r="Q47" s="36"/>
      <x:c r="R47" s="44" t="str">
        <x:v>2026-07-10</x:v>
      </x:c>
      <x:c r="S47" s="36"/>
      <x:c r="T47" s="54"/>
      <x:c r="U47" s="54"/>
      <x:c r="V47" s="53" t="str">
        <x:v>착수 전</x:v>
      </x:c>
    </x:row>
    <x:row r="48" ht="42" customHeight="1">
      <x:c r="A48" s="36" t="str">
        <x:v>TC-NET-024-02</x:v>
      </x:c>
      <x:c r="B48" s="36" t="str">
        <x:v>NET-024</x:v>
      </x:c>
      <x:c r="C48" s="36" t="str">
        <x:v>네트워크 동기화·보안</x:v>
      </x:c>
      <x:c r="D48" s="36" t="str">
        <x:v>예외·경계 시나리오: 네트워크 열화 시험 프로파일</x:v>
      </x:c>
      <x:c r="E48" s="36" t="str">
        <x:v>허용되지 않은 상태, 잘못된 값, 중복, 만료, 권한 부족, 연결 끊김 입력으로 데이터 손상·정보 유출·클라이언트 상태 분기가 발생하지 않는지 확인한다.</x:v>
      </x:c>
      <x:c r="F48" s="36" t="str">
        <x:v>대상 기능이 포함된 알파 빌드와 디버그 입력, 네트워크 열화, 비정상 요청 재현 수단을 준비한다.</x:v>
      </x:c>
      <x:c r="G48" s="36" t="str">
        <x:v>1. 허용되지 않은 페이즈 또는 경계값 조건을 구성한다.
2. 네트워크 열화 시험 프로파일에 대해 중복·무효·지연·연결 끊김을 포함한 요청을 전송한다.
3. 서버 거부, 롤백, 오류 표시와 감사 로그를 확인한다.
4. 모든 클라이언트의 상태가 일치하는지 확인한다.</x:v>
      </x:c>
      <x:c r="H48" s="36" t="str">
        <x:v>요청은 사양에 따라 거부되거나 안전하게 복구되며, 중복 반영, 데이터 손실, 정보 유출 또는 진행 중단이 발생하지 않는다. 오류와 상관관계 ID가 기록된다.</x:v>
      </x:c>
      <x:c r="I48" s="36" t="str">
        <x:v>네트워크</x:v>
      </x:c>
      <x:c r="J48" s="36" t="str">
        <x:v>P0</x:v>
      </x:c>
      <x:c r="K48" s="36" t="str">
        <x:v>도구</x:v>
      </x:c>
      <x:c r="L48" s="36" t="str">
        <x:v>부분</x:v>
      </x:c>
      <x:c r="M48" s="36" t="str">
        <x:v>미실시</x:v>
      </x:c>
      <x:c r="N48" s="36" t="str">
        <x:v>미정</x:v>
      </x:c>
      <x:c r="O48" s="36" t="str">
        <x:v>미정</x:v>
      </x:c>
      <x:c r="P48" s="36"/>
      <x:c r="Q48" s="36"/>
      <x:c r="R48" s="44" t="str">
        <x:v>2026-07-10</x:v>
      </x:c>
      <x:c r="S48" s="36"/>
      <x:c r="T48" s="54"/>
      <x:c r="U48" s="54"/>
      <x:c r="V48" s="53" t="str">
        <x:v>착수 전</x:v>
      </x:c>
    </x:row>
    <x:row r="49" ht="42" customHeight="1">
      <x:c r="A49" s="36" t="str">
        <x:v>TC-NET-025-01</x:v>
      </x:c>
      <x:c r="B49" s="36" t="str">
        <x:v>NET-025</x:v>
      </x:c>
      <x:c r="C49" s="36" t="str">
        <x:v>네트워크 동기화·보안</x:v>
      </x:c>
      <x:c r="D49" s="36" t="str">
        <x:v>정상 시나리오: 네트워크 오류·연결 종료 사유 정규화</x:v>
      </x:c>
      <x:c r="E49" s="36" t="str">
        <x:v>저수준 SDK 오류를 제품 오류 코드로 변환하고 사용자 표시, 로그, 텔레메트리에서 동일한 상관관계 ID를 사용한다.</x:v>
      </x:c>
      <x:c r="F49" s="36" t="str">
        <x:v>대상 기능이 포함된 알파 빌드, 필요한 테스트 계정·룸 설정·로그 접근 권한을 준비한다.</x:v>
      </x:c>
      <x:c r="G49" s="36" t="str">
        <x:v>1. 사전 조건 상태를 구성한다.
2. 표준 설정에서 다음 테스트 대상을 실행한다: 네트워크 오류·연결 종료 사유 정규화.
3. UI, 서버 상태와 로그·텔레메트리를 확인한다.
4. 필요하면 재입장 또는 재실행하여 재현성을 확인한다.</x:v>
      </x:c>
      <x:c r="H49" s="36" t="str">
        <x:v>저수준 SDK 오류를 제품 오류 코드로 변환하고 사용자 표시, 로그, 텔레메트리에서 동일한 상관관계 ID를 사용한다.</x:v>
      </x:c>
      <x:c r="I49" s="36" t="str">
        <x:v>운영</x:v>
      </x:c>
      <x:c r="J49" s="36" t="str">
        <x:v>P0</x:v>
      </x:c>
      <x:c r="K49" s="36" t="str">
        <x:v>전체</x:v>
      </x:c>
      <x:c r="L49" s="36" t="str">
        <x:v>부분</x:v>
      </x:c>
      <x:c r="M49" s="36" t="str">
        <x:v>미실시</x:v>
      </x:c>
      <x:c r="N49" s="36" t="str">
        <x:v>미정</x:v>
      </x:c>
      <x:c r="O49" s="36" t="str">
        <x:v>미정</x:v>
      </x:c>
      <x:c r="P49" s="36"/>
      <x:c r="Q49" s="36"/>
      <x:c r="R49" s="44" t="str">
        <x:v>2026-07-10</x:v>
      </x:c>
      <x:c r="S49" s="36"/>
      <x:c r="T49" s="54"/>
      <x:c r="U49" s="54"/>
      <x:c r="V49" s="53" t="str">
        <x:v>착수 전</x:v>
      </x:c>
    </x:row>
    <x:row r="50" ht="42" customHeight="1">
      <x:c r="A50" s="36" t="str">
        <x:v>TC-NET-025-02</x:v>
      </x:c>
      <x:c r="B50" s="36" t="str">
        <x:v>NET-025</x:v>
      </x:c>
      <x:c r="C50" s="36" t="str">
        <x:v>네트워크 동기화·보안</x:v>
      </x:c>
      <x:c r="D50" s="36" t="str">
        <x:v>예외·경계 시나리오: 네트워크 오류·연결 종료 사유 정규화</x:v>
      </x:c>
      <x:c r="E50" s="36" t="str">
        <x:v>허용되지 않은 상태, 잘못된 값, 중복, 만료, 권한 부족, 연결 끊김 입력으로 데이터 손상·정보 유출·클라이언트 상태 분기가 발생하지 않는지 확인한다.</x:v>
      </x:c>
      <x:c r="F50" s="36" t="str">
        <x:v>대상 기능이 포함된 알파 빌드와 디버그 입력, 네트워크 열화, 비정상 요청 재현 수단을 준비한다.</x:v>
      </x:c>
      <x:c r="G50" s="36" t="str">
        <x:v>1. 허용되지 않은 페이즈 또는 경계값 조건을 구성한다.
2. 네트워크 오류·연결 종료 사유 정규화에 대해 중복·무효·지연·연결 끊김을 포함한 요청을 전송한다.
3. 서버 거부, 롤백, 오류 표시와 감사 로그를 확인한다.
4. 모든 클라이언트의 상태가 일치하는지 확인한다.</x:v>
      </x:c>
      <x:c r="H50" s="36" t="str">
        <x:v>요청은 사양에 따라 거부되거나 안전하게 복구되며, 중복 반영, 데이터 손실, 정보 유출 또는 진행 중단이 발생하지 않는다. 오류와 상관관계 ID가 기록된다.</x:v>
      </x:c>
      <x:c r="I50" s="36" t="str">
        <x:v>운영</x:v>
      </x:c>
      <x:c r="J50" s="36" t="str">
        <x:v>P0</x:v>
      </x:c>
      <x:c r="K50" s="36" t="str">
        <x:v>전체</x:v>
      </x:c>
      <x:c r="L50" s="36" t="str">
        <x:v>부분</x:v>
      </x:c>
      <x:c r="M50" s="36" t="str">
        <x:v>미실시</x:v>
      </x:c>
      <x:c r="N50" s="36" t="str">
        <x:v>미정</x:v>
      </x:c>
      <x:c r="O50" s="36" t="str">
        <x:v>미정</x:v>
      </x:c>
      <x:c r="P50" s="36"/>
      <x:c r="Q50" s="36"/>
      <x:c r="R50" s="44" t="str">
        <x:v>2026-07-10</x:v>
      </x:c>
      <x:c r="S50" s="36"/>
      <x:c r="T50" s="54"/>
      <x:c r="U50" s="54"/>
      <x:c r="V50" s="53" t="str">
        <x:v>착수 전</x:v>
      </x:c>
    </x:row>
    <x:row r="51" ht="42" customHeight="1">
      <x:c r="A51" s="36" t="str">
        <x:v>TC-NET-026-01</x:v>
      </x:c>
      <x:c r="B51" s="36" t="str">
        <x:v>NET-026</x:v>
      </x:c>
      <x:c r="C51" s="36" t="str">
        <x:v>네트워크 동기화·보안</x:v>
      </x:c>
      <x:c r="D51" s="36" t="str">
        <x:v>정상 시나리오: 비정상 요청·속도·연속 입력 탐지</x:v>
      </x:c>
      <x:c r="E51" s="36" t="str">
        <x:v>거리 밖 부착, 위조 횟수 초과, 보상 연속 요청, 중복 투표, 속도 초과를 탐지하고 단계적으로 거부, 연결 종료, 감사 기록을 수행한다.</x:v>
      </x:c>
      <x:c r="F51" s="36" t="str">
        <x:v>대상 기능이 포함된 알파 빌드, 필요한 테스트 계정·룸 설정·로그 접근 권한을 준비한다.</x:v>
      </x:c>
      <x:c r="G51" s="36" t="str">
        <x:v>1. 사전 조건 상태를 구성한다.
2. 표준 설정에서 다음 테스트 대상을 실행한다: 비정상 요청·속도·연속 입력 탐지.
3. UI, 서버 상태와 로그·텔레메트리를 확인한다.
4. 필요하면 재입장 또는 재실행하여 재현성을 확인한다.</x:v>
      </x:c>
      <x:c r="H51" s="36" t="str">
        <x:v>거리 밖 부착, 위조 횟수 초과, 보상 연속 요청, 중복 투표, 속도 초과를 탐지하고 단계적으로 거부, 연결 종료, 감사 기록을 수행한다.</x:v>
      </x:c>
      <x:c r="I51" s="36" t="str">
        <x:v>보안</x:v>
      </x:c>
      <x:c r="J51" s="36" t="str">
        <x:v>P0</x:v>
      </x:c>
      <x:c r="K51" s="36" t="str">
        <x:v>서버</x:v>
      </x:c>
      <x:c r="L51" s="36" t="str">
        <x:v>예</x:v>
      </x:c>
      <x:c r="M51" s="36" t="str">
        <x:v>미실시</x:v>
      </x:c>
      <x:c r="N51" s="36" t="str">
        <x:v>미정</x:v>
      </x:c>
      <x:c r="O51" s="36" t="str">
        <x:v>미정</x:v>
      </x:c>
      <x:c r="P51" s="36"/>
      <x:c r="Q51" s="36"/>
      <x:c r="R51" s="44" t="str">
        <x:v>2026-07-10</x:v>
      </x:c>
      <x:c r="S51" s="36"/>
      <x:c r="T51" s="54"/>
      <x:c r="U51" s="54"/>
      <x:c r="V51" s="53" t="str">
        <x:v>착수 전</x:v>
      </x:c>
    </x:row>
    <x:row r="52" ht="42" customHeight="1">
      <x:c r="A52" s="36" t="str">
        <x:v>TC-NET-026-02</x:v>
      </x:c>
      <x:c r="B52" s="36" t="str">
        <x:v>NET-026</x:v>
      </x:c>
      <x:c r="C52" s="36" t="str">
        <x:v>네트워크 동기화·보안</x:v>
      </x:c>
      <x:c r="D52" s="36" t="str">
        <x:v>예외·경계 시나리오: 비정상 요청·속도·연속 입력 탐지</x:v>
      </x:c>
      <x:c r="E52" s="36" t="str">
        <x:v>허용되지 않은 상태, 잘못된 값, 중복, 만료, 권한 부족, 연결 끊김 입력으로 데이터 손상·정보 유출·클라이언트 상태 분기가 발생하지 않는지 확인한다.</x:v>
      </x:c>
      <x:c r="F52" s="36" t="str">
        <x:v>대상 기능이 포함된 알파 빌드와 디버그 입력, 네트워크 열화, 비정상 요청 재현 수단을 준비한다.</x:v>
      </x:c>
      <x:c r="G52" s="36" t="str">
        <x:v>1. 허용되지 않은 페이즈 또는 경계값 조건을 구성한다.
2. 비정상 요청·속도·연속 입력 탐지에 대해 중복·무효·지연·연결 끊김을 포함한 요청을 전송한다.
3. 서버 거부, 롤백, 오류 표시와 감사 로그를 확인한다.
4. 모든 클라이언트의 상태가 일치하는지 확인한다.</x:v>
      </x:c>
      <x:c r="H52" s="36" t="str">
        <x:v>요청은 사양에 따라 거부되거나 안전하게 복구되며, 중복 반영, 데이터 손실, 정보 유출 또는 진행 중단이 발생하지 않는다. 오류와 상관관계 ID가 기록된다.</x:v>
      </x:c>
      <x:c r="I52" s="36" t="str">
        <x:v>보안</x:v>
      </x:c>
      <x:c r="J52" s="36" t="str">
        <x:v>P0</x:v>
      </x:c>
      <x:c r="K52" s="36" t="str">
        <x:v>서버</x:v>
      </x:c>
      <x:c r="L52" s="36" t="str">
        <x:v>예</x:v>
      </x:c>
      <x:c r="M52" s="36" t="str">
        <x:v>미실시</x:v>
      </x:c>
      <x:c r="N52" s="36" t="str">
        <x:v>미정</x:v>
      </x:c>
      <x:c r="O52" s="36" t="str">
        <x:v>미정</x:v>
      </x:c>
      <x:c r="P52" s="36"/>
      <x:c r="Q52" s="36"/>
      <x:c r="R52" s="44" t="str">
        <x:v>2026-07-10</x:v>
      </x:c>
      <x:c r="S52" s="36"/>
      <x:c r="T52" s="54"/>
      <x:c r="U52" s="54"/>
      <x:c r="V52" s="53" t="str">
        <x:v>착수 전</x:v>
      </x:c>
    </x:row>
    <x:row r="53" ht="42" customHeight="1">
      <x:c r="A53" s="36" t="str">
        <x:v>TC-NET-027-01</x:v>
      </x:c>
      <x:c r="B53" s="36" t="str">
        <x:v>NET-027</x:v>
      </x:c>
      <x:c r="C53" s="36" t="str">
        <x:v>네트워크 동기화·보안</x:v>
      </x:c>
      <x:c r="D53" s="36" t="str">
        <x:v>정상 시나리오: 통신 암호화·토큰 재사용 방지</x:v>
      </x:c>
      <x:c r="E53" s="36" t="str">
        <x:v>통신 경로를 암호화하고 짧은 수명의 토큰, Nonce, 세션 바인딩으로 재생 공격을 방지한다. 인증서와 키 교체 절차를 정의한다.</x:v>
      </x:c>
      <x:c r="F53" s="36" t="str">
        <x:v>대상 기능이 포함된 출시 빌드, 필요한 테스트 계정·룸 설정·로그 접근 권한을 준비한다.</x:v>
      </x:c>
      <x:c r="G53" s="36" t="str">
        <x:v>1. 사전 조건 상태를 구성한다.
2. 표준 설정에서 다음 테스트 대상을 실행한다: 통신 암호화·토큰 재사용 방지.
3. UI, 서버 상태와 로그·텔레메트리를 확인한다.
4. 필요하면 재입장 또는 재실행하여 재현성을 확인한다.</x:v>
      </x:c>
      <x:c r="H53" s="36" t="str">
        <x:v>통신 경로를 암호화하고 짧은 수명의 토큰, Nonce, 세션 바인딩으로 재생 공격을 방지한다. 인증서와 키 교체 절차를 정의한다.</x:v>
      </x:c>
      <x:c r="I53" s="36" t="str">
        <x:v>보안</x:v>
      </x:c>
      <x:c r="J53" s="36" t="str">
        <x:v>P0</x:v>
      </x:c>
      <x:c r="K53" s="36" t="str">
        <x:v>전체</x:v>
      </x:c>
      <x:c r="L53" s="36" t="str">
        <x:v>예</x:v>
      </x:c>
      <x:c r="M53" s="36" t="str">
        <x:v>미실시</x:v>
      </x:c>
      <x:c r="N53" s="36" t="str">
        <x:v>미정</x:v>
      </x:c>
      <x:c r="O53" s="36" t="str">
        <x:v>미정</x:v>
      </x:c>
      <x:c r="P53" s="36"/>
      <x:c r="Q53" s="36"/>
      <x:c r="R53" s="44" t="str">
        <x:v>2026-07-10</x:v>
      </x:c>
      <x:c r="S53" s="36"/>
      <x:c r="T53" s="54"/>
      <x:c r="U53" s="54"/>
      <x:c r="V53" s="53" t="str">
        <x:v>착수 전</x:v>
      </x:c>
    </x:row>
    <x:row r="54" ht="42" customHeight="1">
      <x:c r="A54" s="36" t="str">
        <x:v>TC-NET-027-02</x:v>
      </x:c>
      <x:c r="B54" s="36" t="str">
        <x:v>NET-027</x:v>
      </x:c>
      <x:c r="C54" s="36" t="str">
        <x:v>네트워크 동기화·보안</x:v>
      </x:c>
      <x:c r="D54" s="36" t="str">
        <x:v>예외·경계 시나리오: 통신 암호화·토큰 재사용 방지</x:v>
      </x:c>
      <x:c r="E54" s="36" t="str">
        <x:v>허용되지 않은 상태, 잘못된 값, 중복, 만료, 권한 부족, 연결 끊김 입력으로 데이터 손상·정보 유출·클라이언트 상태 분기가 발생하지 않는지 확인한다.</x:v>
      </x:c>
      <x:c r="F54" s="36" t="str">
        <x:v>대상 기능이 포함된 출시 빌드와 디버그 입력, 네트워크 열화, 비정상 요청 재현 수단을 준비한다.</x:v>
      </x:c>
      <x:c r="G54" s="36" t="str">
        <x:v>1. 허용되지 않은 페이즈 또는 경계값 조건을 구성한다.
2. 통신 암호화·토큰 재사용 방지에 대해 중복·무효·지연·연결 끊김을 포함한 요청을 전송한다.
3. 서버 거부, 롤백, 오류 표시와 감사 로그를 확인한다.
4. 모든 클라이언트의 상태가 일치하는지 확인한다.</x:v>
      </x:c>
      <x:c r="H54" s="36" t="str">
        <x:v>요청은 사양에 따라 거부되거나 안전하게 복구되며, 중복 반영, 데이터 손실, 정보 유출 또는 진행 중단이 발생하지 않는다. 오류와 상관관계 ID가 기록된다.</x:v>
      </x:c>
      <x:c r="I54" s="36" t="str">
        <x:v>보안</x:v>
      </x:c>
      <x:c r="J54" s="36" t="str">
        <x:v>P0</x:v>
      </x:c>
      <x:c r="K54" s="36" t="str">
        <x:v>전체</x:v>
      </x:c>
      <x:c r="L54" s="36" t="str">
        <x:v>예</x:v>
      </x:c>
      <x:c r="M54" s="36" t="str">
        <x:v>미실시</x:v>
      </x:c>
      <x:c r="N54" s="36" t="str">
        <x:v>미정</x:v>
      </x:c>
      <x:c r="O54" s="36" t="str">
        <x:v>미정</x:v>
      </x:c>
      <x:c r="P54" s="36"/>
      <x:c r="Q54" s="36"/>
      <x:c r="R54" s="44" t="str">
        <x:v>2026-07-10</x:v>
      </x:c>
      <x:c r="S54" s="36"/>
      <x:c r="T54" s="54"/>
      <x:c r="U54" s="54"/>
      <x:c r="V54" s="53" t="str">
        <x:v>착수 전</x:v>
      </x:c>
    </x:row>
    <x:row r="55" ht="42" customHeight="1">
      <x:c r="A55" s="36" t="str">
        <x:v>TC-NET-028-01</x:v>
      </x:c>
      <x:c r="B55" s="36" t="str">
        <x:v>NET-028</x:v>
      </x:c>
      <x:c r="C55" s="36" t="str">
        <x:v>네트워크 동기화·보안</x:v>
      </x:c>
      <x:c r="D55" s="36" t="str">
        <x:v>정상 시나리오: 개발용 패킷 가시화·비공개 정보 마스킹</x:v>
      </x:c>
      <x:c r="E55" s="36" t="str">
        <x:v>메시지 유형, 크기, 빈도, 순번을 확인할 수 있지만 역할, 실제 작성자, 음성, 개인 정보는 권한과 빌드 유형에 따라 마스킹한다.</x:v>
      </x:c>
      <x:c r="F55" s="36" t="str">
        <x:v>대상 기능이 포함된 알파 빌드, 필요한 테스트 계정·룸 설정·로그 접근 권한을 준비한다.</x:v>
      </x:c>
      <x:c r="G55" s="36" t="str">
        <x:v>1. 사전 조건 상태를 구성한다.
2. 표준 설정에서 다음 테스트 대상을 실행한다: 개발용 패킷 가시화·비공개 정보 마스킹.
3. UI, 서버 상태와 로그·텔레메트리를 확인한다.
4. 필요하면 재입장 또는 재실행하여 재현성을 확인한다.</x:v>
      </x:c>
      <x:c r="H55" s="36" t="str">
        <x:v>메시지 유형, 크기, 빈도, 순번을 확인할 수 있지만 역할, 실제 작성자, 음성, 개인 정보는 권한과 빌드 유형에 따라 마스킹한다.</x:v>
      </x:c>
      <x:c r="I55" s="36" t="str">
        <x:v>보안</x:v>
      </x:c>
      <x:c r="J55" s="36" t="str">
        <x:v>P1</x:v>
      </x:c>
      <x:c r="K55" s="36" t="str">
        <x:v>도구</x:v>
      </x:c>
      <x:c r="L55" s="36" t="str">
        <x:v>부분</x:v>
      </x:c>
      <x:c r="M55" s="36" t="str">
        <x:v>미실시</x:v>
      </x:c>
      <x:c r="N55" s="36" t="str">
        <x:v>미정</x:v>
      </x:c>
      <x:c r="O55" s="36" t="str">
        <x:v>미정</x:v>
      </x:c>
      <x:c r="P55" s="36"/>
      <x:c r="Q55" s="36"/>
      <x:c r="R55" s="44" t="str">
        <x:v>2026-07-10</x:v>
      </x:c>
      <x:c r="S55" s="36"/>
      <x:c r="T55" s="54"/>
      <x:c r="U55" s="54"/>
      <x:c r="V55" s="53" t="str">
        <x:v>착수 전</x:v>
      </x:c>
    </x:row>
    <x:row r="56" ht="42" customHeight="1">
      <x:c r="A56" s="36" t="str">
        <x:v>TC-NET-029-01</x:v>
      </x:c>
      <x:c r="B56" s="36" t="str">
        <x:v>NET-029</x:v>
      </x:c>
      <x:c r="C56" s="36" t="str">
        <x:v>네트워크 동기화·보안</x:v>
      </x:c>
      <x:c r="D56" s="36" t="str">
        <x:v>정상 시나리오: 다중 세션 부하·장시간 안정성 시험</x:v>
      </x:c>
      <x:c r="E56" s="36" t="str">
        <x:v>목표 동시 접속 수와 24시간 상당 연속 시험에서 메모리 증가, 틱 지연, 연결 종료율, 상태 불일치가 기준 안에 들어온다.</x:v>
      </x:c>
      <x:c r="F56" s="36" t="str">
        <x:v>대상 기능이 포함된 릴리스 후보 빌드, 필요한 테스트 계정·룸 설정·로그 접근 권한을 준비한다.</x:v>
      </x:c>
      <x:c r="G56" s="36" t="str">
        <x:v>1. 사전 조건 상태를 구성한다.
2. 표준 설정에서 다음 테스트 대상을 실행한다: 다중 세션 부하·장시간 안정성 시험.
3. UI, 서버 상태와 로그·텔레메트리를 확인한다.
4. 필요하면 재입장 또는 재실행하여 재현성을 확인한다.</x:v>
      </x:c>
      <x:c r="H56" s="36" t="str">
        <x:v>목표 동시 접속 수와 24시간 상당 연속 시험에서 메모리 증가, 틱 지연, 연결 종료율, 상태 불일치가 기준 안에 들어온다.</x:v>
      </x:c>
      <x:c r="I56" s="36" t="str">
        <x:v>성능</x:v>
      </x:c>
      <x:c r="J56" s="36" t="str">
        <x:v>P0</x:v>
      </x:c>
      <x:c r="K56" s="36" t="str">
        <x:v>서버</x:v>
      </x:c>
      <x:c r="L56" s="36" t="str">
        <x:v>부분</x:v>
      </x:c>
      <x:c r="M56" s="36" t="str">
        <x:v>미실시</x:v>
      </x:c>
      <x:c r="N56" s="36" t="str">
        <x:v>미정</x:v>
      </x:c>
      <x:c r="O56" s="36" t="str">
        <x:v>미정</x:v>
      </x:c>
      <x:c r="P56" s="36"/>
      <x:c r="Q56" s="36"/>
      <x:c r="R56" s="44" t="str">
        <x:v>2026-07-10</x:v>
      </x:c>
      <x:c r="S56" s="36"/>
      <x:c r="T56" s="54"/>
      <x:c r="U56" s="54"/>
      <x:c r="V56" s="53" t="str">
        <x:v>착수 전</x:v>
      </x:c>
    </x:row>
    <x:row r="57" ht="42" customHeight="1">
      <x:c r="A57" s="36" t="str">
        <x:v>TC-NET-029-02</x:v>
      </x:c>
      <x:c r="B57" s="36" t="str">
        <x:v>NET-029</x:v>
      </x:c>
      <x:c r="C57" s="36" t="str">
        <x:v>네트워크 동기화·보안</x:v>
      </x:c>
      <x:c r="D57" s="36" t="str">
        <x:v>예외·경계 시나리오: 다중 세션 부하·장시간 안정성 시험</x:v>
      </x:c>
      <x:c r="E57" s="36" t="str">
        <x:v>허용되지 않은 상태, 잘못된 값, 중복, 만료, 권한 부족, 연결 끊김 입력으로 데이터 손상·정보 유출·클라이언트 상태 분기가 발생하지 않는지 확인한다.</x:v>
      </x:c>
      <x:c r="F57" s="36" t="str">
        <x:v>대상 기능이 포함된 릴리스 후보 빌드와 디버그 입력, 네트워크 열화, 비정상 요청 재현 수단을 준비한다.</x:v>
      </x:c>
      <x:c r="G57" s="36" t="str">
        <x:v>1. 허용되지 않은 페이즈 또는 경계값 조건을 구성한다.
2. 다중 세션 부하·장시간 안정성 시험에 대해 중복·무효·지연·연결 끊김을 포함한 요청을 전송한다.
3. 서버 거부, 롤백, 오류 표시와 감사 로그를 확인한다.
4. 모든 클라이언트의 상태가 일치하는지 확인한다.</x:v>
      </x:c>
      <x:c r="H57" s="36" t="str">
        <x:v>요청은 사양에 따라 거부되거나 안전하게 복구되며, 중복 반영, 데이터 손실, 정보 유출 또는 진행 중단이 발생하지 않는다. 오류와 상관관계 ID가 기록된다.</x:v>
      </x:c>
      <x:c r="I57" s="36" t="str">
        <x:v>성능</x:v>
      </x:c>
      <x:c r="J57" s="36" t="str">
        <x:v>P0</x:v>
      </x:c>
      <x:c r="K57" s="36" t="str">
        <x:v>서버</x:v>
      </x:c>
      <x:c r="L57" s="36" t="str">
        <x:v>부분</x:v>
      </x:c>
      <x:c r="M57" s="36" t="str">
        <x:v>미실시</x:v>
      </x:c>
      <x:c r="N57" s="36" t="str">
        <x:v>미정</x:v>
      </x:c>
      <x:c r="O57" s="36" t="str">
        <x:v>미정</x:v>
      </x:c>
      <x:c r="P57" s="36"/>
      <x:c r="Q57" s="36"/>
      <x:c r="R57" s="44" t="str">
        <x:v>2026-07-10</x:v>
      </x:c>
      <x:c r="S57" s="36"/>
      <x:c r="T57" s="54"/>
      <x:c r="U57" s="54"/>
      <x:c r="V57" s="53" t="str">
        <x:v>착수 전</x:v>
      </x:c>
    </x:row>
    <x:row r="58" ht="42" customHeight="1">
      <x:c r="A58" s="36" t="str">
        <x:v>TC-NET-030-01</x:v>
      </x:c>
      <x:c r="B58" s="36" t="str">
        <x:v>NET-030</x:v>
      </x:c>
      <x:c r="C58" s="36" t="str">
        <x:v>네트워크 동기화·보안</x:v>
      </x:c>
      <x:c r="D58" s="36" t="str">
        <x:v>정상 시나리오: 크로스플랫폼 직렬화·엔디언 검증</x:v>
      </x:c>
      <x:c r="E58" s="36" t="str">
        <x:v>지원 플랫폼 간 숫자, 열거형, 문자열, 시각, 선택 필드가 동일하게 해석되고 알 수 없는 필드 추가에도 전방 호환성을 유지한다.</x:v>
      </x:c>
      <x:c r="F58" s="36" t="str">
        <x:v>대상 기능이 포함된 베타 빌드, 필요한 테스트 계정·룸 설정·로그 접근 권한을 준비한다.</x:v>
      </x:c>
      <x:c r="G58" s="36" t="str">
        <x:v>1. 사전 조건 상태를 구성한다.
2. 표준 설정에서 다음 테스트 대상을 실행한다: 크로스플랫폼 직렬화·엔디언 검증.
3. UI, 서버 상태와 로그·텔레메트리를 확인한다.
4. 필요하면 재입장 또는 재실행하여 재현성을 확인한다.</x:v>
      </x:c>
      <x:c r="H58" s="36" t="str">
        <x:v>지원 플랫폼 간 숫자, 열거형, 문자열, 시각, 선택 필드가 동일하게 해석되고 알 수 없는 필드 추가에도 전방 호환성을 유지한다.</x:v>
      </x:c>
      <x:c r="I58" s="36" t="str">
        <x:v>호환성</x:v>
      </x:c>
      <x:c r="J58" s="36" t="str">
        <x:v>P0</x:v>
      </x:c>
      <x:c r="K58" s="36" t="str">
        <x:v>전체</x:v>
      </x:c>
      <x:c r="L58" s="36" t="str">
        <x:v>부분</x:v>
      </x:c>
      <x:c r="M58" s="36" t="str">
        <x:v>미실시</x:v>
      </x:c>
      <x:c r="N58" s="36" t="str">
        <x:v>미정</x:v>
      </x:c>
      <x:c r="O58" s="36" t="str">
        <x:v>미정</x:v>
      </x:c>
      <x:c r="P58" s="36"/>
      <x:c r="Q58" s="36"/>
      <x:c r="R58" s="44" t="str">
        <x:v>2026-07-10</x:v>
      </x:c>
      <x:c r="S58" s="36"/>
      <x:c r="T58" s="54"/>
      <x:c r="U58" s="54"/>
      <x:c r="V58" s="53" t="str">
        <x:v>착수 전</x:v>
      </x:c>
    </x:row>
    <x:row r="59" ht="42" customHeight="1">
      <x:c r="A59" s="36" t="str">
        <x:v>TC-NET-030-02</x:v>
      </x:c>
      <x:c r="B59" s="36" t="str">
        <x:v>NET-030</x:v>
      </x:c>
      <x:c r="C59" s="36" t="str">
        <x:v>네트워크 동기화·보안</x:v>
      </x:c>
      <x:c r="D59" s="36" t="str">
        <x:v>예외·경계 시나리오: 크로스플랫폼 직렬화·엔디언 검증</x:v>
      </x:c>
      <x:c r="E59" s="36" t="str">
        <x:v>허용되지 않은 상태, 잘못된 값, 중복, 만료, 권한 부족, 연결 끊김 입력으로 데이터 손상·정보 유출·클라이언트 상태 분기가 발생하지 않는지 확인한다.</x:v>
      </x:c>
      <x:c r="F59" s="36" t="str">
        <x:v>대상 기능이 포함된 베타 빌드와 디버그 입력, 네트워크 열화, 비정상 요청 재현 수단을 준비한다.</x:v>
      </x:c>
      <x:c r="G59" s="36" t="str">
        <x:v>1. 허용되지 않은 페이즈 또는 경계값 조건을 구성한다.
2. 크로스플랫폼 직렬화·엔디언 검증에 대해 중복·무효·지연·연결 끊김을 포함한 요청을 전송한다.
3. 서버 거부, 롤백, 오류 표시와 감사 로그를 확인한다.
4. 모든 클라이언트의 상태가 일치하는지 확인한다.</x:v>
      </x:c>
      <x:c r="H59" s="36" t="str">
        <x:v>요청은 사양에 따라 거부되거나 안전하게 복구되며, 중복 반영, 데이터 손실, 정보 유출 또는 진행 중단이 발생하지 않는다. 오류와 상관관계 ID가 기록된다.</x:v>
      </x:c>
      <x:c r="I59" s="36" t="str">
        <x:v>호환성</x:v>
      </x:c>
      <x:c r="J59" s="36" t="str">
        <x:v>P0</x:v>
      </x:c>
      <x:c r="K59" s="36" t="str">
        <x:v>전체</x:v>
      </x:c>
      <x:c r="L59" s="36" t="str">
        <x:v>부분</x:v>
      </x:c>
      <x:c r="M59" s="36" t="str">
        <x:v>미실시</x:v>
      </x:c>
      <x:c r="N59" s="36" t="str">
        <x:v>미정</x:v>
      </x:c>
      <x:c r="O59" s="36" t="str">
        <x:v>미정</x:v>
      </x:c>
      <x:c r="P59" s="36"/>
      <x:c r="Q59" s="36"/>
      <x:c r="R59" s="44" t="str">
        <x:v>2026-07-10</x:v>
      </x:c>
      <x:c r="S59" s="36"/>
      <x:c r="T59" s="54"/>
      <x:c r="U59" s="54"/>
      <x:c r="V59" s="53" t="str">
        <x:v>착수 전</x:v>
      </x:c>
    </x:row>
  </x:sheetData>
  <x:conditionalFormatting sqref="M2:M59">
    <x:cfRule type="expression" dxfId="10" priority="1">
      <x:formula>M2="완료"</x:formula>
    </x:cfRule>
    <x:cfRule type="expression" dxfId="11" priority="2">
      <x:formula>M2="통과"</x:formula>
    </x:cfRule>
    <x:cfRule type="expression" dxfId="12" priority="3">
      <x:formula>M2="차단"</x:formula>
    </x:cfRule>
    <x:cfRule type="expression" dxfId="13" priority="4">
      <x:formula>M2="실패"</x:formula>
    </x:cfRule>
    <x:cfRule type="expression" dxfId="14" priority="5">
      <x:formula>M2="구현 중"</x:formula>
    </x:cfRule>
    <x:cfRule type="expression" dxfId="15" priority="6">
      <x:formula>M2="QA 진행 중"</x:formula>
    </x:cfRule>
  </x:conditionalFormatting>
  <x:conditionalFormatting sqref="J2:J59">
    <x:cfRule type="expression" dxfId="16" priority="7">
      <x:formula>J2="P0"</x:formula>
    </x:cfRule>
    <x:cfRule type="expression" dxfId="17" priority="8">
      <x:formula>J2="P1"</x:formula>
    </x:cfRule>
  </x:conditionalFormatting>
  <x:conditionalFormatting sqref="V2:V59">
    <x:cfRule type="expression" dxfId="33" priority="9">
      <x:formula>V2="착수 전"</x:formula>
    </x:cfRule>
    <x:cfRule type="expression" dxfId="34" priority="10">
      <x:formula>V2="작업 중"</x:formula>
    </x:cfRule>
    <x:cfRule type="expression" dxfId="35" priority="11">
      <x:formula>V2="완료"</x:formula>
    </x:cfRule>
  </x:conditionalFormatting>
  <x:dataValidations count="6">
    <x:dataValidation type="list" sqref="I2:I59">
      <x:formula1>"기능,통합,경계값,네트워크,보안,성능,호환성,사용성,접근성,현지화,밸런스,운영,안전,부하"</x:formula1>
    </x:dataValidation>
    <x:dataValidation type="list" sqref="J2:J59">
      <x:formula1>"P0,P1,P2,P3"</x:formula1>
    </x:dataValidation>
    <x:dataValidation type="list" sqref="L2:L59">
      <x:formula1>"예,아니요,부분"</x:formula1>
    </x:dataValidation>
    <x:dataValidation type="list" sqref="M2:M59">
      <x:formula1>"미실시,진행 중,통과,실패,차단,대상 제외"</x:formula1>
    </x:dataValidation>
    <x:dataValidation type="list" sqref="K2:K59">
      <x:formula1>"전체,PC,콘솔,모바일,서버,백엔드,도구,웹·관리자"</x:formula1>
    </x:dataValidation>
    <x:dataValidation type="list" sqref="V2:V59">
      <x:formula1>"착수 전,작업 중,완료"</x:formula1>
    </x:dataValidation>
  </x:dataValidations>
  <x:pageMargins left="0.7" right="0.7" top="0.75" bottom="0.75" header="0.3" footer="0.3"/>
  <x:tableParts count="1">
    <x:tablePart xmlns:r="http://schemas.openxmlformats.org/officeDocument/2006/relationships" r:id="R9e325a6e0cef4b80"/>
  </x:tableParts>
</x:worksheet>
</file>

<file path=xl/worksheets/sheet7.xml><?xml version="1.0" encoding="utf-8"?>
<x:worksheet xmlns:x="http://schemas.openxmlformats.org/spreadsheetml/2006/main">
  <x:sheetFormatPr defaultRowHeight="15"/>
  <x:cols>
    <x:col min="1" max="1" width="13" hidden="0" customWidth="1"/>
    <x:col min="2" max="2" width="24" hidden="0" customWidth="1"/>
    <x:col min="3" max="3" width="18" hidden="0" customWidth="1"/>
    <x:col min="4" max="4" width="48" hidden="0" customWidth="1"/>
    <x:col min="5" max="5" width="36" hidden="0" customWidth="1"/>
    <x:col min="6" max="6" width="36" hidden="0" customWidth="1"/>
    <x:col min="7" max="7" width="12" hidden="0" customWidth="1"/>
    <x:col min="8" max="8" width="12" hidden="0" customWidth="1"/>
    <x:col min="9" max="9" width="10" hidden="0" customWidth="1"/>
    <x:col min="10" max="10" width="20" hidden="0" customWidth="1"/>
    <x:col min="11" max="11" width="48" hidden="0" customWidth="1"/>
    <x:col min="12" max="12" width="48" hidden="0" customWidth="1"/>
    <x:col min="13" max="13" width="14" hidden="0" customWidth="1"/>
    <x:col min="14" max="14" width="24" hidden="0" customWidth="1"/>
    <x:col min="15" max="15" width="13" hidden="0" customWidth="1"/>
    <x:col min="16" max="16" width="28" hidden="0" customWidth="1"/>
  </x:cols>
  <x:sheetData>
    <x:row r="1" ht="30" customHeight="1">
      <x:c r="A1" s="40" t="str">
        <x:v>위험 ID</x:v>
      </x:c>
      <x:c r="B1" s="40" t="str">
        <x:v>부문</x:v>
      </x:c>
      <x:c r="C1" s="40" t="str">
        <x:v>분류</x:v>
      </x:c>
      <x:c r="D1" s="40" t="str">
        <x:v>위험 내용</x:v>
      </x:c>
      <x:c r="E1" s="40" t="str">
        <x:v>발생 조건</x:v>
      </x:c>
      <x:c r="F1" s="40" t="str">
        <x:v>영향</x:v>
      </x:c>
      <x:c r="G1" s="40" t="str">
        <x:v>발생 확률</x:v>
      </x:c>
      <x:c r="H1" s="40" t="str">
        <x:v>영향도</x:v>
      </x:c>
      <x:c r="I1" s="40" t="str">
        <x:v>점수</x:v>
      </x:c>
      <x:c r="J1" s="40" t="str">
        <x:v>담당자</x:v>
      </x:c>
      <x:c r="K1" s="40" t="str">
        <x:v>예방 조치</x:v>
      </x:c>
      <x:c r="L1" s="40" t="str">
        <x:v>비상 대책</x:v>
      </x:c>
      <x:c r="M1" s="40" t="str">
        <x:v>상태</x:v>
      </x:c>
      <x:c r="N1" s="40" t="str">
        <x:v>관련 ID</x:v>
      </x:c>
      <x:c r="O1" s="40" t="str">
        <x:v>검토일</x:v>
      </x:c>
      <x:c r="P1" s="40" t="str">
        <x:v>비고</x:v>
      </x:c>
    </x:row>
    <x:row r="2" ht="42" customHeight="1">
      <x:c r="A2" s="36" t="str">
        <x:v>R-NET-01</x:v>
      </x:c>
      <x:c r="B2" s="36" t="str">
        <x:v>네트워크 동기화·보안</x:v>
      </x:c>
      <x:c r="C2" s="36" t="str">
        <x:v>정보 비공개</x:v>
      </x:c>
      <x:c r="D2" s="36" t="str">
        <x:v>공통 복제 데이터로 비공개 정보가 유출될 수 있다.</x:v>
      </x:c>
      <x:c r="E2" s="36" t="str">
        <x:v>공개 모델과 내부 모델 미분리</x:v>
      </x:c>
      <x:c r="F2" s="36" t="str">
        <x:v>치트·제품 가치 훼손</x:v>
      </x:c>
      <x:c r="G2" s="36" t="str">
        <x:v>중간</x:v>
      </x:c>
      <x:c r="H2" s="36" t="str">
        <x:v>높음</x:v>
      </x:c>
      <x:c r="I2" s="36" t="n">
        <x:f>IF(G2="높음",3,IF(G2="중간",2,1))*IF(H2="높음",3,IF(H2="중간",2,1))</x:f>
        <x:v>6</x:v>
      </x:c>
      <x:c r="J2" s="36" t="str">
        <x:v>네트워크 리드</x:v>
      </x:c>
      <x:c r="K2" s="36" t="str">
        <x:v>수신자별 필터와 패킷 검사를 적용한다.</x:v>
      </x:c>
      <x:c r="L2" s="36" t="str">
        <x:v>문제 프로토콜을 중지하고 긴급 갱신한다.</x:v>
      </x:c>
      <x:c r="M2" s="36" t="str">
        <x:v>미대응</x:v>
      </x:c>
      <x:c r="N2" s="36" t="str">
        <x:v>NET-017,NET-018</x:v>
      </x:c>
      <x:c r="O2" s="44" t="str">
        <x:v>미정</x:v>
      </x:c>
      <x:c r="P2" s="36"/>
    </x:row>
    <x:row r="3" ht="42" customHeight="1">
      <x:c r="A3" s="36" t="str">
        <x:v>R-NET-02</x:v>
      </x:c>
      <x:c r="B3" s="36" t="str">
        <x:v>네트워크 동기화·보안</x:v>
      </x:c>
      <x:c r="C3" s="36" t="str">
        <x:v>동기화</x:v>
      </x:c>
      <x:c r="D3" s="36" t="str">
        <x:v>페이즈 또는 시각 차이로 마감 이후 조작이 승인될 수 있다.</x:v>
      </x:c>
      <x:c r="E3" s="36" t="str">
        <x:v>시각 동기화와 서버 마감 검증 미비</x:v>
      </x:c>
      <x:c r="F3" s="36" t="str">
        <x:v>부정 투표·부정 메모 부착</x:v>
      </x:c>
      <x:c r="G3" s="36" t="str">
        <x:v>중간</x:v>
      </x:c>
      <x:c r="H3" s="36" t="str">
        <x:v>높음</x:v>
      </x:c>
      <x:c r="I3" s="36" t="n">
        <x:f>IF(G3="높음",3,IF(G3="중간",2,1))*IF(H3="높음",3,IF(H3="중간",2,1))</x:f>
        <x:v>6</x:v>
      </x:c>
      <x:c r="J3" s="36" t="str">
        <x:v>네트워크 리드</x:v>
      </x:c>
      <x:c r="K3" s="36" t="str">
        <x:v>절대 시각과 서버 권한 검증을 적용한다.</x:v>
      </x:c>
      <x:c r="L3" s="36" t="str">
        <x:v>요청을 무효화하고 상태를 재동기화한다.</x:v>
      </x:c>
      <x:c r="M3" s="36" t="str">
        <x:v>미대응</x:v>
      </x:c>
      <x:c r="N3" s="36" t="str">
        <x:v>NET-008,NET-010</x:v>
      </x:c>
      <x:c r="O3" s="44" t="str">
        <x:v>미정</x:v>
      </x:c>
      <x:c r="P3" s="36"/>
    </x:row>
    <x:row r="4" ht="42" customHeight="1">
      <x:c r="A4" s="36" t="str">
        <x:v>R-NET-03</x:v>
      </x:c>
      <x:c r="B4" s="36" t="str">
        <x:v>네트워크 동기화·보안</x:v>
      </x:c>
      <x:c r="C4" s="36" t="str">
        <x:v>성능</x:v>
      </x:c>
      <x:c r="D4" s="36" t="str">
        <x:v>메모, 음성, 이동 데이터가 대역폭 예산을 초과할 수 있다.</x:v>
      </x:c>
      <x:c r="E4" s="36" t="str">
        <x:v>공개 데이터와 갱신 빈도 과다</x:v>
      </x:c>
      <x:c r="F4" s="36" t="str">
        <x:v>지연·연결 종료 증가</x:v>
      </x:c>
      <x:c r="G4" s="36" t="str">
        <x:v>중간</x:v>
      </x:c>
      <x:c r="H4" s="36" t="str">
        <x:v>높음</x:v>
      </x:c>
      <x:c r="I4" s="36" t="n">
        <x:f>IF(G4="높음",3,IF(G4="중간",2,1))*IF(H4="높음",3,IF(H4="중간",2,1))</x:f>
        <x:v>6</x:v>
      </x:c>
      <x:c r="J4" s="36" t="str">
        <x:v>네트워크 리드</x:v>
      </x:c>
      <x:c r="K4" s="36" t="str">
        <x:v>대역폭 계측, 관심 영역, LOD를 적용한다.</x:v>
      </x:c>
      <x:c r="L4" s="36" t="str">
        <x:v>갱신 빈도와 문구 전송 범위를 축소한다.</x:v>
      </x:c>
      <x:c r="M4" s="36" t="str">
        <x:v>미대응</x:v>
      </x:c>
      <x:c r="N4" s="36" t="str">
        <x:v>NET-022,AUD-013</x:v>
      </x:c>
      <x:c r="O4" s="44" t="str">
        <x:v>미정</x:v>
      </x:c>
      <x:c r="P4" s="36"/>
    </x:row>
    <x:row r="5" ht="42" customHeight="1">
      <x:c r="A5" s="36" t="str">
        <x:v>R-NET-04</x:v>
      </x:c>
      <x:c r="B5" s="36" t="str">
        <x:v>네트워크 동기화·보안</x:v>
      </x:c>
      <x:c r="C5" s="36" t="str">
        <x:v>보안</x:v>
      </x:c>
      <x:c r="D5" s="36" t="str">
        <x:v>RPC 연속 전송과 재전송으로 작업이 중복 반영될 수 있다.</x:v>
      </x:c>
      <x:c r="E5" s="36" t="str">
        <x:v>멱등성과 요청 제한 부족</x:v>
      </x:c>
      <x:c r="F5" s="36" t="str">
        <x:v>보상·투표·메모 조작</x:v>
      </x:c>
      <x:c r="G5" s="36" t="str">
        <x:v>중간</x:v>
      </x:c>
      <x:c r="H5" s="36" t="str">
        <x:v>높음</x:v>
      </x:c>
      <x:c r="I5" s="36" t="n">
        <x:f>IF(G5="높음",3,IF(G5="중간",2,1))*IF(H5="높음",3,IF(H5="중간",2,1))</x:f>
        <x:v>6</x:v>
      </x:c>
      <x:c r="J5" s="36" t="str">
        <x:v>보안 리드</x:v>
      </x:c>
      <x:c r="K5" s="36" t="str">
        <x:v>Nonce, 작업 ID, 요청 제한을 적용한다.</x:v>
      </x:c>
      <x:c r="L5" s="36" t="str">
        <x:v>대상 계정을 격리하고 감사 조사한다.</x:v>
      </x:c>
      <x:c r="M5" s="36" t="str">
        <x:v>미대응</x:v>
      </x:c>
      <x:c r="N5" s="36" t="str">
        <x:v>NET-012,NET-014,NET-015,NET-016</x:v>
      </x:c>
      <x:c r="O5" s="44" t="str">
        <x:v>미정</x:v>
      </x:c>
      <x:c r="P5" s="36"/>
    </x:row>
  </x:sheetData>
  <x:conditionalFormatting sqref="M2:M5">
    <x:cfRule type="expression" dxfId="18" priority="1">
      <x:formula>M2="완료"</x:formula>
    </x:cfRule>
    <x:cfRule type="expression" dxfId="19" priority="2">
      <x:formula>M2="통과"</x:formula>
    </x:cfRule>
    <x:cfRule type="expression" dxfId="20" priority="3">
      <x:formula>M2="차단"</x:formula>
    </x:cfRule>
    <x:cfRule type="expression" dxfId="21" priority="4">
      <x:formula>M2="실패"</x:formula>
    </x:cfRule>
    <x:cfRule type="expression" dxfId="22" priority="5">
      <x:formula>M2="구현 중"</x:formula>
    </x:cfRule>
    <x:cfRule type="expression" dxfId="23" priority="6">
      <x:formula>M2="QA 진행 중"</x:formula>
    </x:cfRule>
  </x:conditionalFormatting>
  <x:conditionalFormatting sqref="I2:I5">
    <x:cfRule type="colorScale" priority="7">
      <x:colorScale>
        <x:cfvo type="min"/>
        <x:cfvo type="percentile" val="50"/>
        <x:cfvo type="max"/>
        <x:color rgb="FFE2F0D9"/>
        <x:color rgb="FFFFF2CC"/>
        <x:color rgb="FFF4CCCC"/>
      </x:colorScale>
    </x:cfRule>
  </x:conditionalFormatting>
  <x:dataValidations count="3">
    <x:dataValidation type="list" sqref="G2:G5">
      <x:formula1>"높음,중간,낮음"</x:formula1>
    </x:dataValidation>
    <x:dataValidation type="list" sqref="H2:H5">
      <x:formula1>"높음,중간,낮음"</x:formula1>
    </x:dataValidation>
    <x:dataValidation type="list" sqref="M2:M5">
      <x:formula1>"미대응,대응 중,모니터링 중,수용,해결,종료"</x:formula1>
    </x:dataValidation>
  </x:dataValidations>
  <x:pageMargins left="0.7" right="0.7" top="0.75" bottom="0.75" header="0.3" footer="0.3"/>
  <x:tableParts count="1">
    <x:tablePart xmlns:r="http://schemas.openxmlformats.org/officeDocument/2006/relationships" r:id="R784f267e30c4481c"/>
  </x:tableParts>
</x:worksheet>
</file>

<file path=xl/worksheets/sheet8.xml><?xml version="1.0" encoding="utf-8"?>
<x:worksheet xmlns:x="http://schemas.openxmlformats.org/spreadsheetml/2006/main">
  <x:sheetFormatPr defaultRowHeight="15"/>
  <x:cols>
    <x:col min="1" max="1" width="15" hidden="0" customWidth="1"/>
    <x:col min="2" max="2" width="24" hidden="0" customWidth="1"/>
    <x:col min="3" max="3" width="24" hidden="0" customWidth="1"/>
    <x:col min="4" max="4" width="48" hidden="0" customWidth="1"/>
    <x:col min="5" max="5" width="54" hidden="0" customWidth="1"/>
    <x:col min="6" max="6" width="42" hidden="0" customWidth="1"/>
    <x:col min="7" max="7" width="42" hidden="0" customWidth="1"/>
    <x:col min="8" max="8" width="14" hidden="0" customWidth="1"/>
    <x:col min="9" max="9" width="20" hidden="0" customWidth="1"/>
    <x:col min="10" max="10" width="13" hidden="0" customWidth="1"/>
    <x:col min="11" max="11" width="24" hidden="0" customWidth="1"/>
    <x:col min="12" max="12" width="48" hidden="0" customWidth="1"/>
    <x:col min="13" max="13" width="13" hidden="0" customWidth="1"/>
  </x:cols>
  <x:sheetData>
    <x:row r="1" ht="30" customHeight="1">
      <x:c r="A1" s="40" t="str">
        <x:v>의사결정 ID</x:v>
      </x:c>
      <x:c r="B1" s="40" t="str">
        <x:v>부문</x:v>
      </x:c>
      <x:c r="C1" s="40" t="str">
        <x:v>논점</x:v>
      </x:c>
      <x:c r="D1" s="40" t="str">
        <x:v>결정 질문</x:v>
      </x:c>
      <x:c r="E1" s="40" t="str">
        <x:v>선택지</x:v>
      </x:c>
      <x:c r="F1" s="40" t="str">
        <x:v>권고안</x:v>
      </x:c>
      <x:c r="G1" s="40" t="str">
        <x:v>최종 결정</x:v>
      </x:c>
      <x:c r="H1" s="40" t="str">
        <x:v>상태</x:v>
      </x:c>
      <x:c r="I1" s="40" t="str">
        <x:v>결정권자</x:v>
      </x:c>
      <x:c r="J1" s="40" t="str">
        <x:v>기한</x:v>
      </x:c>
      <x:c r="K1" s="40" t="str">
        <x:v>관련 ID</x:v>
      </x:c>
      <x:c r="L1" s="40" t="str">
        <x:v>판단 근거·증빙</x:v>
      </x:c>
      <x:c r="M1" s="40" t="str">
        <x:v>최종 갱신일</x:v>
      </x:c>
    </x:row>
    <x:row r="2" ht="42" customHeight="1">
      <x:c r="A2" s="36" t="str">
        <x:v>D-NET-01</x:v>
      </x:c>
      <x:c r="B2" s="36" t="str">
        <x:v>네트워크 동기화·보안</x:v>
      </x:c>
      <x:c r="C2" s="36" t="str">
        <x:v>서버 틱·이동 갱신 빈도</x:v>
      </x:c>
      <x:c r="D2" s="36" t="str">
        <x:v>서버 틱과 이동 갱신 빈도를 얼마로 설정할 것인가?</x:v>
      </x:c>
      <x:c r="E2" s="36" t="str">
        <x:v>A: 20Hz / B: 30Hz / C: 60Hz</x:v>
      </x:c>
      <x:c r="F2" s="36" t="str">
        <x:v>20Hz와 30Hz 비교 프로파일을 계측한 뒤 결정한다.</x:v>
      </x:c>
      <x:c r="G2" s="36" t="str">
        <x:v>미정</x:v>
      </x:c>
      <x:c r="H2" s="36" t="str">
        <x:v>미정</x:v>
      </x:c>
      <x:c r="I2" s="36" t="str">
        <x:v>네트워크 리드</x:v>
      </x:c>
      <x:c r="J2" s="44" t="str">
        <x:v>2026-07-31</x:v>
      </x:c>
      <x:c r="K2" s="36" t="str">
        <x:v>NET-003,NET-009,NET-022</x:v>
      </x:c>
      <x:c r="L2" s="36" t="str">
        <x:v>6인 규모라도 음성 및 메모 대역폭을 포함한 실측이 필요하다.</x:v>
      </x:c>
      <x:c r="M2" s="44" t="str">
        <x:v>2026-07-10</x:v>
      </x:c>
    </x:row>
    <x:row r="3" ht="42" customHeight="1">
      <x:c r="A3" s="36" t="str">
        <x:v>D-NET-02</x:v>
      </x:c>
      <x:c r="B3" s="36" t="str">
        <x:v>네트워크 동기화·보안</x:v>
      </x:c>
      <x:c r="C3" s="36" t="str">
        <x:v>클라이언트 데이터 모델</x:v>
      </x:c>
      <x:c r="D3" s="36" t="str">
        <x:v>내부 데이터 모델 일부를 클라이언트에 배포할 것인가?</x:v>
      </x:c>
      <x:c r="E3" s="36" t="str">
        <x:v>A: 공통 모델 / B: 공개 DTO만</x:v>
      </x:c>
      <x:c r="F3" s="36" t="str">
        <x:v>수신자별 공개 DTO만 배포한다.</x:v>
      </x:c>
      <x:c r="G3" s="36" t="str">
        <x:v>미정</x:v>
      </x:c>
      <x:c r="H3" s="36" t="str">
        <x:v>미정</x:v>
      </x:c>
      <x:c r="I3" s="36" t="str">
        <x:v>보안 리드</x:v>
      </x:c>
      <x:c r="J3" s="44" t="str">
        <x:v>2026-07-17</x:v>
      </x:c>
      <x:c r="K3" s="36" t="str">
        <x:v>NET-018</x:v>
      </x:c>
      <x:c r="L3" s="36" t="str">
        <x:v>메모리 분석 치트 저항성을 우선한다.</x:v>
      </x:c>
      <x:c r="M3" s="44" t="str">
        <x:v>2026-07-10</x:v>
      </x:c>
    </x:row>
  </x:sheetData>
  <x:conditionalFormatting sqref="H2:H3">
    <x:cfRule type="expression" dxfId="24" priority="1">
      <x:formula>H2="완료"</x:formula>
    </x:cfRule>
    <x:cfRule type="expression" dxfId="25" priority="2">
      <x:formula>H2="통과"</x:formula>
    </x:cfRule>
    <x:cfRule type="expression" dxfId="26" priority="3">
      <x:formula>H2="차단"</x:formula>
    </x:cfRule>
    <x:cfRule type="expression" dxfId="27" priority="4">
      <x:formula>H2="실패"</x:formula>
    </x:cfRule>
    <x:cfRule type="expression" dxfId="28" priority="5">
      <x:formula>H2="구현 중"</x:formula>
    </x:cfRule>
    <x:cfRule type="expression" dxfId="29" priority="6">
      <x:formula>H2="QA 진행 중"</x:formula>
    </x:cfRule>
  </x:conditionalFormatting>
  <x:dataValidations count="1">
    <x:dataValidation type="list" sqref="H2:H3">
      <x:formula1>"미정,검토 중,승인,기각,보류"</x:formula1>
    </x:dataValidation>
  </x:dataValidations>
  <x:pageMargins left="0.7" right="0.7" top="0.75" bottom="0.75" header="0.3" footer="0.3"/>
  <x:tableParts count="1">
    <x:tablePart xmlns:r="http://schemas.openxmlformats.org/officeDocument/2006/relationships" r:id="R3ffcc99e72cd42b3"/>
  </x:tableParts>
</x:worksheet>
</file>

<file path=xl/worksheets/sheet9.xml><?xml version="1.0" encoding="utf-8"?>
<x:worksheet xmlns:x="http://schemas.openxmlformats.org/spreadsheetml/2006/main">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s>
  <x:sheetData>
    <x:row r="1">
      <x:c r="A1" s="33" t="str">
        <x:v>상태</x:v>
      </x:c>
      <x:c r="B1" s="33" t="str">
        <x:v>우선순위</x:v>
      </x:c>
      <x:c r="C1" s="33" t="str">
        <x:v>범위</x:v>
      </x:c>
      <x:c r="D1" s="33" t="str">
        <x:v>게이트</x:v>
      </x:c>
      <x:c r="E1" s="33" t="str">
        <x:v>위험도</x:v>
      </x:c>
      <x:c r="F1" s="33" t="str">
        <x:v>예상 규모</x:v>
      </x:c>
      <x:c r="G1" s="33" t="str">
        <x:v>QA 유형</x:v>
      </x:c>
      <x:c r="H1" s="33" t="str">
        <x:v>플랫폼</x:v>
      </x:c>
      <x:c r="I1" s="33" t="str">
        <x:v>권한 주체</x:v>
      </x:c>
      <x:c r="J1" s="33" t="str">
        <x:v>저장 범위</x:v>
      </x:c>
      <x:c r="K1" s="33" t="str">
        <x:v>QA 상태</x:v>
      </x:c>
      <x:c r="L1" s="33" t="str">
        <x:v>의사결정 상태</x:v>
      </x:c>
      <x:c r="M1" s="33" t="str">
        <x:v>위험 상태</x:v>
      </x:c>
    </x:row>
    <x:row r="2">
      <x:c r="A2" t="str">
        <x:v>미착수</x:v>
      </x:c>
      <x:c r="B2" t="str">
        <x:v>P0</x:v>
      </x:c>
      <x:c r="C2" t="str">
        <x:v>MVP</x:v>
      </x:c>
      <x:c r="D2" t="str">
        <x:v>필수</x:v>
      </x:c>
      <x:c r="E2" t="str">
        <x:v>높음</x:v>
      </x:c>
      <x:c r="F2" t="str">
        <x:v>XS</x:v>
      </x:c>
      <x:c r="G2" t="str">
        <x:v>기능</x:v>
      </x:c>
      <x:c r="H2" t="str">
        <x:v>전체</x:v>
      </x:c>
      <x:c r="I2" t="str">
        <x:v>서버 권한</x:v>
      </x:c>
      <x:c r="J2" t="str">
        <x:v>없음</x:v>
      </x:c>
      <x:c r="K2" t="str">
        <x:v>미실시</x:v>
      </x:c>
      <x:c r="L2" t="str">
        <x:v>미정</x:v>
      </x:c>
      <x:c r="M2" t="str">
        <x:v>미대응</x:v>
      </x:c>
    </x:row>
    <x:row r="3">
      <x:c r="A3" t="str">
        <x:v>사양 확인 중</x:v>
      </x:c>
      <x:c r="B3" t="str">
        <x:v>P1</x:v>
      </x:c>
      <x:c r="C3" t="str">
        <x:v>알파</x:v>
      </x:c>
      <x:c r="D3" t="str">
        <x:v>조건부</x:v>
      </x:c>
      <x:c r="E3" t="str">
        <x:v>중간</x:v>
      </x:c>
      <x:c r="F3" t="str">
        <x:v>S</x:v>
      </x:c>
      <x:c r="G3" t="str">
        <x:v>통합</x:v>
      </x:c>
      <x:c r="H3" t="str">
        <x:v>PC</x:v>
      </x:c>
      <x:c r="I3" t="str">
        <x:v>클라이언트 예측·서버 검증</x:v>
      </x:c>
      <x:c r="J3" t="str">
        <x:v>세션</x:v>
      </x:c>
      <x:c r="K3" t="str">
        <x:v>진행 중</x:v>
      </x:c>
      <x:c r="L3" t="str">
        <x:v>검토 중</x:v>
      </x:c>
      <x:c r="M3" t="str">
        <x:v>대응 중</x:v>
      </x:c>
    </x:row>
    <x:row r="4">
      <x:c r="A4" t="str">
        <x:v>구현 중</x:v>
      </x:c>
      <x:c r="B4" t="str">
        <x:v>P2</x:v>
      </x:c>
      <x:c r="C4" t="str">
        <x:v>베타</x:v>
      </x:c>
      <x:c r="D4" t="str">
        <x:v>권장</x:v>
      </x:c>
      <x:c r="E4" t="str">
        <x:v>낮음</x:v>
      </x:c>
      <x:c r="F4" t="str">
        <x:v>M</x:v>
      </x:c>
      <x:c r="G4" t="str">
        <x:v>경계값</x:v>
      </x:c>
      <x:c r="H4" t="str">
        <x:v>콘솔</x:v>
      </x:c>
      <x:c r="I4" t="str">
        <x:v>클라이언트 로컬</x:v>
      </x:c>
      <x:c r="J4" t="str">
        <x:v>매치</x:v>
      </x:c>
      <x:c r="K4" t="str">
        <x:v>통과</x:v>
      </x:c>
      <x:c r="L4" t="str">
        <x:v>승인됨</x:v>
      </x:c>
      <x:c r="M4" t="str">
        <x:v>모니터링</x:v>
      </x:c>
    </x:row>
    <x:row r="5">
      <x:c r="A5" t="str">
        <x:v>코드 리뷰</x:v>
      </x:c>
      <x:c r="B5" t="str">
        <x:v>P3</x:v>
      </x:c>
      <x:c r="C5" t="str">
        <x:v>릴리스 후보</x:v>
      </x:c>
      <x:c r="D5" t="str">
        <x:v>대상 제외</x:v>
      </x:c>
      <x:c r="E5"/>
      <x:c r="F5" t="str">
        <x:v>L</x:v>
      </x:c>
      <x:c r="G5" t="str">
        <x:v>네트워크</x:v>
      </x:c>
      <x:c r="H5" t="str">
        <x:v>모바일</x:v>
      </x:c>
      <x:c r="I5" t="str">
        <x:v>백엔드 권한</x:v>
      </x:c>
      <x:c r="J5" t="str">
        <x:v>계정</x:v>
      </x:c>
      <x:c r="K5" t="str">
        <x:v>실패</x:v>
      </x:c>
      <x:c r="L5" t="str">
        <x:v>반려</x:v>
      </x:c>
      <x:c r="M5" t="str">
        <x:v>수용</x:v>
      </x:c>
    </x:row>
    <x:row r="6">
      <x:c r="A6" t="str">
        <x:v>QA 진행 중</x:v>
      </x:c>
      <x:c r="B6"/>
      <x:c r="C6" t="str">
        <x:v>출시</x:v>
      </x:c>
      <x:c r="D6"/>
      <x:c r="E6"/>
      <x:c r="F6" t="str">
        <x:v>XL</x:v>
      </x:c>
      <x:c r="G6" t="str">
        <x:v>보안</x:v>
      </x:c>
      <x:c r="H6" t="str">
        <x:v>서버</x:v>
      </x:c>
      <x:c r="I6" t="str">
        <x:v>호스트 권한</x:v>
      </x:c>
      <x:c r="J6" t="str">
        <x:v>단말 로컬</x:v>
      </x:c>
      <x:c r="K6" t="str">
        <x:v>차단</x:v>
      </x:c>
      <x:c r="L6" t="str">
        <x:v>보류</x:v>
      </x:c>
      <x:c r="M6" t="str">
        <x:v>해소</x:v>
      </x:c>
    </x:row>
    <x:row r="7">
      <x:c r="A7" t="str">
        <x:v>차단</x:v>
      </x:c>
      <x:c r="B7"/>
      <x:c r="C7" t="str">
        <x:v>출시 후</x:v>
      </x:c>
      <x:c r="D7"/>
      <x:c r="E7"/>
      <x:c r="F7" t="str">
        <x:v>분할 필요</x:v>
      </x:c>
      <x:c r="G7" t="str">
        <x:v>성능</x:v>
      </x:c>
      <x:c r="H7" t="str">
        <x:v>백엔드</x:v>
      </x:c>
      <x:c r="I7" t="str">
        <x:v>콘텐츠 데이터</x:v>
      </x:c>
      <x:c r="J7" t="str">
        <x:v>백엔드</x:v>
      </x:c>
      <x:c r="K7" t="str">
        <x:v>대상 제외</x:v>
      </x:c>
      <x:c r="L7"/>
      <x:c r="M7" t="str">
        <x:v>종료</x:v>
      </x:c>
    </x:row>
    <x:row r="8">
      <x:c r="A8" t="str">
        <x:v>완료</x:v>
      </x:c>
      <x:c r="B8"/>
      <x:c r="C8" t="str">
        <x:v>대상 제외</x:v>
      </x:c>
      <x:c r="D8"/>
      <x:c r="E8"/>
      <x:c r="F8"/>
      <x:c r="G8" t="str">
        <x:v>호환성</x:v>
      </x:c>
      <x:c r="H8" t="str">
        <x:v>도구</x:v>
      </x:c>
      <x:c r="I8" t="str">
        <x:v>해당 없음</x:v>
      </x:c>
      <x:c r="J8" t="str">
        <x:v>감사 로그</x:v>
      </x:c>
      <x:c r="K8"/>
      <x:c r="L8"/>
      <x:c r="M8"/>
    </x:row>
    <x:row r="9">
      <x:c r="A9" t="str">
        <x:v>보류</x:v>
      </x:c>
      <x:c r="B9"/>
      <x:c r="C9"/>
      <x:c r="D9"/>
      <x:c r="E9"/>
      <x:c r="F9"/>
      <x:c r="G9" t="str">
        <x:v>사용성</x:v>
      </x:c>
      <x:c r="H9" t="str">
        <x:v>웹·관리자</x:v>
      </x:c>
      <x:c r="I9"/>
      <x:c r="J9"/>
      <x:c r="K9"/>
      <x:c r="L9"/>
      <x:c r="M9"/>
    </x:row>
    <x:row r="10">
      <x:c r="A10"/>
      <x:c r="B10"/>
      <x:c r="C10"/>
      <x:c r="D10"/>
      <x:c r="E10"/>
      <x:c r="F10"/>
      <x:c r="G10" t="str">
        <x:v>접근성</x:v>
      </x:c>
      <x:c r="H10"/>
      <x:c r="I10"/>
      <x:c r="J10"/>
      <x:c r="K10"/>
      <x:c r="L10"/>
      <x:c r="M10"/>
    </x:row>
    <x:row r="11">
      <x:c r="A11"/>
      <x:c r="B11"/>
      <x:c r="C11"/>
      <x:c r="D11"/>
      <x:c r="E11"/>
      <x:c r="F11"/>
      <x:c r="G11" t="str">
        <x:v>현지화</x:v>
      </x:c>
      <x:c r="H11"/>
      <x:c r="I11"/>
      <x:c r="J11"/>
      <x:c r="K11"/>
      <x:c r="L11"/>
      <x:c r="M11"/>
    </x:row>
    <x:row r="12">
      <x:c r="A12"/>
      <x:c r="B12"/>
      <x:c r="C12"/>
      <x:c r="D12"/>
      <x:c r="E12"/>
      <x:c r="F12"/>
      <x:c r="G12" t="str">
        <x:v>밸런스</x:v>
      </x:c>
      <x:c r="H12"/>
      <x:c r="I12"/>
      <x:c r="J12"/>
      <x:c r="K12"/>
      <x:c r="L12"/>
      <x:c r="M12"/>
    </x:row>
    <x:row r="13">
      <x:c r="A13"/>
      <x:c r="B13"/>
      <x:c r="C13"/>
      <x:c r="D13"/>
      <x:c r="E13"/>
      <x:c r="F13"/>
      <x:c r="G13" t="str">
        <x:v>운영</x:v>
      </x:c>
      <x:c r="H13"/>
      <x:c r="I13"/>
      <x:c r="J13"/>
      <x:c r="K13"/>
      <x:c r="L13"/>
      <x:c r="M13"/>
    </x:row>
  </x:sheetData>
  <x:pageMargins left="0.7" right="0.7" top="0.75" bottom="0.75" header="0.3" footer="0.3"/>
</x:worksheet>
</file>