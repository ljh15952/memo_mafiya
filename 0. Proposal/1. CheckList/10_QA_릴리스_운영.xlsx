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18c32e7a468440b" /></Relationships>
</file>

<file path=xl/workbook.xml><?xml version="1.0" encoding="utf-8"?>
<x:workbook xmlns:x="http://schemas.openxmlformats.org/spreadsheetml/2006/main">
  <x:sheets>
    <x:sheet xmlns:r="http://schemas.openxmlformats.org/officeDocument/2006/relationships" name="00_개요" sheetId="1" r:id="R52ab77a1fca94f28"/>
    <x:sheet xmlns:r="http://schemas.openxmlformats.org/officeDocument/2006/relationships" name="01_백로그" sheetId="2" r:id="Ra90e2fdc392c4175"/>
    <x:sheet xmlns:r="http://schemas.openxmlformats.org/officeDocument/2006/relationships" name="02_테스트_계획" sheetId="3" r:id="R77ed5f88576b4bc0"/>
    <x:sheet xmlns:r="http://schemas.openxmlformats.org/officeDocument/2006/relationships" name="03_품질_목표" sheetId="4" r:id="Rfc2bc516784044b4"/>
    <x:sheet xmlns:r="http://schemas.openxmlformats.org/officeDocument/2006/relationships" name="04_릴리스_게이트" sheetId="5" r:id="R5147a863c9fa44bb"/>
    <x:sheet xmlns:r="http://schemas.openxmlformats.org/officeDocument/2006/relationships" name="05_결함_SLA" sheetId="6" r:id="R87e248d2d05a4f4d"/>
    <x:sheet xmlns:r="http://schemas.openxmlformats.org/officeDocument/2006/relationships" name="80_QA_케이스" sheetId="7" r:id="R2614ce1d08bb4c64"/>
    <x:sheet xmlns:r="http://schemas.openxmlformats.org/officeDocument/2006/relationships" name="90_리스크" sheetId="8" r:id="R8ff9aa2460a14530"/>
    <x:sheet xmlns:r="http://schemas.openxmlformats.org/officeDocument/2006/relationships" name="91_의사결정" sheetId="9" r:id="R0ddcf2f8566247a2"/>
    <x:sheet xmlns:r="http://schemas.openxmlformats.org/officeDocument/2006/relationships" name="99_목록" sheetId="10" r:id="R523f41d57c464a06"/>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yyyy-mm-dd"/>
  </x:numFmts>
  <x:fonts count="4">
    <x:font>
      <x:sz val="11"/>
      <x:name val="Carlito"/>
    </x:font>
    <x:font>
      <x:b/>
      <x:sz val="16"/>
      <x:color rgb="FFFFFFFF"/>
      <x:name val="Carlito"/>
    </x:font>
    <x:font>
      <x:i/>
      <x:sz val="11"/>
      <x:color rgb="FF1F1F1F"/>
      <x:name val="Carlito"/>
    </x:font>
    <x:font>
      <x:b/>
      <x:sz val="11"/>
      <x:color rgb="FFFFFFFF"/>
      <x:name val="Carlito"/>
    </x:font>
  </x:fonts>
  <x:fills count="5">
    <x:fill>
      <x:patternFill patternType="none"/>
    </x:fill>
    <x:fill>
      <x:patternFill patternType="gray125"/>
    </x:fill>
    <x:fill>
      <x:patternFill patternType="solid">
        <x:fgColor rgb="FFC00000"/>
      </x:patternFill>
    </x:fill>
    <x:fill>
      <x:patternFill patternType="solid">
        <x:fgColor rgb="FFD9EAF7"/>
      </x:patternFill>
    </x:fill>
    <x:fill>
      <x:patternFill patternType="solid">
        <x:fgColor rgb="FF17365D"/>
      </x:patternFill>
    </x:fill>
  </x:fills>
  <x:borders count="2">
    <x:border/>
    <x:border/>
  </x:borders>
  <x:cellStyleXfs count="1">
    <x:xf numFmtId="0" fontId="0" fillId="0" borderId="0"/>
  </x:cellStyleXfs>
  <x:cellXfs count="5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200" fontId="0" fillId="0" borderId="0" xfId="0" applyNumberFormat="1" applyFont="1" applyFill="1" applyBorder="1"/>
    <x:xf numFmtId="200" fontId="0" fillId="0" borderId="1" xfId="0" applyNumberFormat="1" applyFont="1" applyFill="1" applyBorder="1"/>
    <x:xf numFmtId="0" fontId="3" fillId="4" borderId="0" xfId="0" applyNumberFormat="1" applyFont="1" applyFill="1" applyBorder="1" applyAlignment="1">
      <x:alignment horizontal="center" wrapText="1"/>
    </x:xf>
    <x:xf numFmtId="0"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0" fillId="0" borderId="1" xfId="0" applyNumberFormat="1" applyFont="1" applyFill="1" applyBorder="1" applyAlignment="1">
      <x:alignment wrapText="1"/>
    </x:xf>
    <x:xf numFmtId="200" fontId="0" fillId="0" borderId="1"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1" xfId="0" applyNumberFormat="1" applyFont="1" applyFill="1" applyBorder="1"/>
    <x:xf numFmtId="0" fontId="3" fillId="2" borderId="1" xfId="0" applyNumberFormat="1" applyFont="1" applyFill="1" applyBorder="1" applyAlignment="1">
      <x:alignment horizontal="center"/>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201" fontId="0" fillId="0" borderId="0"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0" fillId="0" borderId="0" xfId="0" applyNumberFormat="1" applyFont="1" applyFill="1" applyBorder="1"/>
    <x:xf numFmtId="0" fontId="3" fillId="2" borderId="0" xfId="0" applyNumberFormat="1" applyFont="1" applyFill="1" applyBorder="1" applyAlignment="1">
      <x:alignment horizontal="center" vertical="top" wrapText="1"/>
    </x:xf>
    <x:xf numFmtId="201" fontId="0" fillId="0" borderId="0" xfId="0" applyNumberFormat="1" applyFont="1" applyFill="1" applyBorder="1"/>
    <x:xf numFmtId="0" fontId="0" fillId="0" borderId="0" xfId="0" applyNumberFormat="1" applyFont="1" applyFill="1" applyBorder="1" applyAlignment="1">
      <x:alignment horizontal="center"/>
    </x:xf>
    <x:xf numFmtId="201" fontId="0" fillId="0" borderId="0" xfId="0" applyNumberFormat="1" applyFont="1" applyFill="1" applyBorder="1" applyAlignment="1">
      <x:alignment horizontal="center"/>
    </x:xf>
    <x:xf numFmtId="0" fontId="0" fillId="0" borderId="0" xfId="0" applyNumberFormat="1" applyFont="1" applyFill="1" applyBorder="1" applyAlignment="1">
      <x:alignment horizontal="center" vertical="center"/>
    </x:xf>
    <x:xf numFmtId="201" fontId="0" fillId="0" borderId="0" xfId="0" applyNumberFormat="1" applyFont="1" applyFill="1" applyBorder="1" applyAlignment="1">
      <x:alignment horizontal="center" vertical="center"/>
    </x:xf>
  </x:cellXfs>
  <x:cellStyles count="1">
    <x:cellStyle name="Normal" xfId="0"/>
  </x:cellStyles>
  <x:dxfs count="36">
    <x:dxf>
      <x:font>
        <x:b/>
        <x:color rgb="FF375623"/>
      </x:font>
      <x:fill>
        <x:patternFill>
          <x:bgColor rgb="FFE2F0D9"/>
        </x:patternFill>
      </x:fill>
    </x:dxf>
    <x:dxf>
      <x:font>
        <x:b/>
        <x:color rgb="FF375623"/>
      </x:font>
      <x:fill>
        <x:patternFill>
          <x:bgColor rgb="FFE2F0D9"/>
        </x:patternFill>
      </x:fill>
    </x:dxf>
    <x:dxf>
      <x:font>
        <x:b/>
        <x:color rgb="FF990000"/>
      </x:font>
      <x:fill>
        <x:patternFill>
          <x:bgColor rgb="FFF4CCCC"/>
        </x:patternFill>
      </x:fill>
    </x:dxf>
    <x:dxf>
      <x:font>
        <x:b/>
        <x:color rgb="FF990000"/>
      </x:font>
      <x:fill>
        <x:patternFill>
          <x:bgColor rgb="FFF4CCCC"/>
        </x:patternFill>
      </x:fill>
    </x:dxf>
    <x:dxf>
      <x:fill>
        <x:patternFill>
          <x:bgColor rgb="FFFFF2CC"/>
        </x:patternFill>
      </x:fill>
    </x:dxf>
    <x:dxf>
      <x:fill>
        <x:patternFill>
          <x:bgColor rgb="FFD9EAF7"/>
        </x:patternFill>
      </x:fill>
    </x:dxf>
    <x:dxf>
      <x:font>
        <x:b/>
        <x:color rgb="FF9C0006"/>
      </x:font>
      <x:fill>
        <x:patternFill>
          <x:bgColor rgb="FFFCE4D6"/>
        </x:patternFill>
      </x:fill>
    </x:dxf>
    <x:dxf>
      <x:fill>
        <x:patternFill>
          <x:bgColor rgb="FFFFF2CC"/>
        </x:patternFill>
      </x:fill>
    </x:dxf>
    <x:dxf>
      <x:font>
        <x:b/>
        <x:color rgb="FF990000"/>
      </x:font>
      <x:fill>
        <x:patternFill>
          <x:bgColor rgb="FFF4CCCC"/>
        </x:patternFill>
      </x:fill>
    </x:dxf>
    <x:dxf>
      <x:fill>
        <x:patternFill>
          <x:bgColor rgb="FFFFF2CC"/>
        </x:patternFill>
      </x:fill>
    </x:dxf>
    <x:dxf>
      <x:font>
        <x:b/>
        <x:color rgb="FF375623"/>
      </x:font>
      <x:fill>
        <x:patternFill>
          <x:bgColor rgb="FFE2F0D9"/>
        </x:patternFill>
      </x:fill>
    </x:dxf>
    <x:dxf>
      <x:font>
        <x:b/>
        <x:color rgb="FF375623"/>
      </x:font>
      <x:fill>
        <x:patternFill>
          <x:bgColor rgb="FFE2F0D9"/>
        </x:patternFill>
      </x:fill>
    </x:dxf>
    <x:dxf>
      <x:font>
        <x:b/>
        <x:color rgb="FF990000"/>
      </x:font>
      <x:fill>
        <x:patternFill>
          <x:bgColor rgb="FFF4CCCC"/>
        </x:patternFill>
      </x:fill>
    </x:dxf>
    <x:dxf>
      <x:font>
        <x:b/>
        <x:color rgb="FF990000"/>
      </x:font>
      <x:fill>
        <x:patternFill>
          <x:bgColor rgb="FFF4CCCC"/>
        </x:patternFill>
      </x:fill>
    </x:dxf>
    <x:dxf>
      <x:fill>
        <x:patternFill>
          <x:bgColor rgb="FFFFF2CC"/>
        </x:patternFill>
      </x:fill>
    </x:dxf>
    <x:dxf>
      <x:fill>
        <x:patternFill>
          <x:bgColor rgb="FFD9EAF7"/>
        </x:patternFill>
      </x:fill>
    </x:dxf>
    <x:dxf>
      <x:font>
        <x:b/>
        <x:color rgb="FF9C0006"/>
      </x:font>
      <x:fill>
        <x:patternFill>
          <x:bgColor rgb="FFFCE4D6"/>
        </x:patternFill>
      </x:fill>
    </x:dxf>
    <x:dxf>
      <x:fill>
        <x:patternFill>
          <x:bgColor rgb="FFFFF2CC"/>
        </x:patternFill>
      </x:fill>
    </x:dxf>
    <x:dxf>
      <x:font>
        <x:b/>
        <x:color rgb="FF375623"/>
      </x:font>
      <x:fill>
        <x:patternFill>
          <x:bgColor rgb="FFE2F0D9"/>
        </x:patternFill>
      </x:fill>
    </x:dxf>
    <x:dxf>
      <x:font>
        <x:b/>
        <x:color rgb="FF375623"/>
      </x:font>
      <x:fill>
        <x:patternFill>
          <x:bgColor rgb="FFE2F0D9"/>
        </x:patternFill>
      </x:fill>
    </x:dxf>
    <x:dxf>
      <x:font>
        <x:b/>
        <x:color rgb="FF990000"/>
      </x:font>
      <x:fill>
        <x:patternFill>
          <x:bgColor rgb="FFF4CCCC"/>
        </x:patternFill>
      </x:fill>
    </x:dxf>
    <x:dxf>
      <x:font>
        <x:b/>
        <x:color rgb="FF990000"/>
      </x:font>
      <x:fill>
        <x:patternFill>
          <x:bgColor rgb="FFF4CCCC"/>
        </x:patternFill>
      </x:fill>
    </x:dxf>
    <x:dxf>
      <x:fill>
        <x:patternFill>
          <x:bgColor rgb="FFFFF2CC"/>
        </x:patternFill>
      </x:fill>
    </x:dxf>
    <x:dxf>
      <x:fill>
        <x:patternFill>
          <x:bgColor rgb="FFD9EAF7"/>
        </x:patternFill>
      </x:fill>
    </x:dxf>
    <x:dxf>
      <x:font>
        <x:b/>
        <x:color rgb="FF375623"/>
      </x:font>
      <x:fill>
        <x:patternFill>
          <x:bgColor rgb="FFE2F0D9"/>
        </x:patternFill>
      </x:fill>
    </x:dxf>
    <x:dxf>
      <x:font>
        <x:b/>
        <x:color rgb="FF375623"/>
      </x:font>
      <x:fill>
        <x:patternFill>
          <x:bgColor rgb="FFE2F0D9"/>
        </x:patternFill>
      </x:fill>
    </x:dxf>
    <x:dxf>
      <x:font>
        <x:b/>
        <x:color rgb="FF990000"/>
      </x:font>
      <x:fill>
        <x:patternFill>
          <x:bgColor rgb="FFF4CCCC"/>
        </x:patternFill>
      </x:fill>
    </x:dxf>
    <x:dxf>
      <x:font>
        <x:b/>
        <x:color rgb="FF990000"/>
      </x:font>
      <x:fill>
        <x:patternFill>
          <x:bgColor rgb="FFF4CCCC"/>
        </x:patternFill>
      </x:fill>
    </x:dxf>
    <x:dxf>
      <x:fill>
        <x:patternFill>
          <x:bgColor rgb="FFFFF2CC"/>
        </x:patternFill>
      </x:fill>
    </x:dxf>
    <x:dxf>
      <x:fill>
        <x:patternFill>
          <x:bgColor rgb="FFD9EAF7"/>
        </x:patternFill>
      </x:fill>
    </x:dxf>
    <x:dxf>
      <x:font>
        <x:color rgb="FF374151"/>
      </x:font>
      <x:fill>
        <x:patternFill patternType="solid">
          <x:bgColor rgb="FFE5E7EB"/>
        </x:patternFill>
      </x:fill>
    </x:dxf>
    <x:dxf>
      <x:font>
        <x:color rgb="FF92400E"/>
      </x:font>
      <x:fill>
        <x:patternFill patternType="solid">
          <x:bgColor rgb="FFFEF3C7"/>
        </x:patternFill>
      </x:fill>
    </x:dxf>
    <x:dxf>
      <x:font>
        <x:color rgb="FF166534"/>
      </x:font>
      <x:fill>
        <x:patternFill patternType="solid">
          <x:bgColor rgb="FFDCFCE7"/>
        </x:patternFill>
      </x:fill>
    </x:dxf>
    <x:dxf>
      <x:font>
        <x:color rgb="FF374151"/>
      </x:font>
      <x:fill>
        <x:patternFill patternType="solid">
          <x:bgColor rgb="FFE5E7EB"/>
        </x:patternFill>
      </x:fill>
    </x:dxf>
    <x:dxf>
      <x:font>
        <x:color rgb="FF92400E"/>
      </x:font>
      <x:fill>
        <x:patternFill patternType="solid">
          <x:bgColor rgb="FFFEF3C7"/>
        </x:patternFill>
      </x:fill>
    </x:dxf>
    <x:dxf>
      <x:font>
        <x:color rgb="FF166534"/>
      </x:font>
      <x:fill>
        <x:patternFill patternType="solid">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e52f5f8e5de4838" /><Relationship Type="http://schemas.openxmlformats.org/officeDocument/2006/relationships/theme" Target="/xl/theme/theme1.xml" Id="R490f860138154307" /><Relationship Type="http://schemas.openxmlformats.org/officeDocument/2006/relationships/sharedStrings" Target="/xl/sharedStrings.xml" Id="R55370dc6e6344d98" /><Relationship Type="http://schemas.openxmlformats.org/officeDocument/2006/relationships/worksheet" Target="/xl/worksheets/sheet1.xml" Id="R52ab77a1fca94f28" /><Relationship Type="http://schemas.openxmlformats.org/officeDocument/2006/relationships/worksheet" Target="/xl/worksheets/sheet2.xml" Id="Ra90e2fdc392c4175" /><Relationship Type="http://schemas.openxmlformats.org/officeDocument/2006/relationships/worksheet" Target="/xl/worksheets/sheet3.xml" Id="R77ed5f88576b4bc0" /><Relationship Type="http://schemas.openxmlformats.org/officeDocument/2006/relationships/worksheet" Target="/xl/worksheets/sheet4.xml" Id="Rfc2bc516784044b4" /><Relationship Type="http://schemas.openxmlformats.org/officeDocument/2006/relationships/worksheet" Target="/xl/worksheets/sheet5.xml" Id="R5147a863c9fa44bb" /><Relationship Type="http://schemas.openxmlformats.org/officeDocument/2006/relationships/worksheet" Target="/xl/worksheets/sheet6.xml" Id="R87e248d2d05a4f4d" /><Relationship Type="http://schemas.openxmlformats.org/officeDocument/2006/relationships/worksheet" Target="/xl/worksheets/sheet7.xml" Id="R2614ce1d08bb4c64" /><Relationship Type="http://schemas.openxmlformats.org/officeDocument/2006/relationships/worksheet" Target="/xl/worksheets/sheet8.xml" Id="R8ff9aa2460a14530" /><Relationship Type="http://schemas.openxmlformats.org/officeDocument/2006/relationships/worksheet" Target="/xl/worksheets/sheet9.xml" Id="R0ddcf2f8566247a2" /><Relationship Type="http://schemas.openxmlformats.org/officeDocument/2006/relationships/worksheet" Target="/xl/worksheets/sheet10.xml" Id="R523f41d57c464a06" /></Relationships>
</file>

<file path=xl/drawings/_rels/drawing1.xml.rels>&#65279;<?xml version="1.0" encoding="utf-8"?><Relationships xmlns="http://schemas.openxmlformats.org/package/2006/relationships"><Relationship Type="http://schemas.openxmlformats.org/officeDocument/2006/relationships/chart" Target="/xl/drawings/charts/chart1.xml" Id="R8c439b0e10db4f70"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작업 상태 분포</a:t>
            </a:r>
          </a:p>
        </c:rich>
      </c:tx>
      <c:overlay val="0"/>
    </c:title>
    <c:autoTitleDeleted val="0"/>
    <c:plotArea>
      <c:layout/>
      <c:barChart>
        <c:barDir val="col"/>
        <c:varyColors val="0"/>
        <c:ser>
          <c:idx val="0"/>
          <c:order val="0"/>
          <c:tx>
            <c:v>건수</c:v>
          </c:tx>
          <c:cat>
            <c:strRef>
              <c:f>'00_개요'!$E$5:$E$12</c:f>
              <c:strCache>
                <c:ptCount val="0"/>
              </c:strCache>
            </c:strRef>
          </c:cat>
          <c:val>
            <c:numRef>
              <c:f>'00_개요'!$F$5:$F$12</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3</xdr:row>
      <xdr:rowOff>0</xdr:rowOff>
    </xdr:from>
    <xdr:to>
      <xdr:col>16</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c439b0e10db4f70"/>
        </a:graphicData>
      </a:graphic>
    </xdr:graphicFrame>
    <xdr:clientData/>
  </xdr:twoCellAnchor>
</xdr:wsDr>
</file>

<file path=xl/tables/table1.xml><?xml version="1.0" encoding="utf-8"?>
<x:table xmlns:x="http://schemas.openxmlformats.org/spreadsheetml/2006/main" id="9" name="BacklogTable" displayName="BacklogTable" ref="A1:AJ39" headerRowCount="1">
  <x:tableColumns count="36">
    <x:tableColumn id="1" name="ID"/>
    <x:tableColumn id="2" name="부문"/>
    <x:tableColumn id="3" name="에픽"/>
    <x:tableColumn id="4" name="기능 그룹"/>
    <x:tableColumn id="5" name="구현 항목"/>
    <x:tableColumn id="6" name="목적·설명"/>
    <x:tableColumn id="7" name="수용 기준"/>
    <x:tableColumn id="8" name="완료 정의"/>
    <x:tableColumn id="9" name="범위"/>
    <x:tableColumn id="10" name="우선순위"/>
    <x:tableColumn id="11" name="릴리스 게이트"/>
    <x:tableColumn id="12" name="게이트 분류"/>
    <x:tableColumn id="13" name="마일스톤"/>
    <x:tableColumn id="14" name="담당 부문"/>
    <x:tableColumn id="15" name="담당자명"/>
    <x:tableColumn id="16" name="검토자"/>
    <x:tableColumn id="17" name="대상 플랫폼"/>
    <x:tableColumn id="18" name="권한·실행 주체"/>
    <x:tableColumn id="19" name="영속화"/>
    <x:tableColumn id="20" name="예상 규모"/>
    <x:tableColumn id="21" name="상태"/>
    <x:tableColumn id="22" name="진행률"/>
    <x:tableColumn id="23" name="스프린트"/>
    <x:tableColumn id="24" name="기한"/>
    <x:tableColumn id="25" name="의존 ID"/>
    <x:tableColumn id="26" name="위험도"/>
    <x:tableColumn id="27" name="QA 유형"/>
    <x:tableColumn id="28" name="테스트 케이스 ID"/>
    <x:tableColumn id="29" name="외부 추적 도구 키"/>
    <x:tableColumn id="30" name="근거"/>
    <x:tableColumn id="31" name="증빙 링크"/>
    <x:tableColumn id="32" name="최종 갱신일"/>
    <x:tableColumn id="33" name="비고"/>
    <x:tableColumn id="34" name="시작일"/>
    <x:tableColumn id="35" name="종료일"/>
    <x:tableColumn id="36" name="진행상황"/>
  </x:tableColumns>
  <x:tableStyleInfo name="TableStyleMedium2" showRowStripes="1"/>
</x:table>
</file>

<file path=xl/tables/table2.xml><?xml version="1.0" encoding="utf-8"?>
<x:table xmlns:x="http://schemas.openxmlformats.org/spreadsheetml/2006/main" id="2" name="QARSpec1" displayName="QARSpec1" ref="A1:H7" headerRowCount="1">
  <x:tableColumns count="8">
    <x:tableColumn id="1" name="시험 영역"/>
    <x:tableColumn id="2" name="범위"/>
    <x:tableColumn id="3" name="진입 조건"/>
    <x:tableColumn id="4" name="종료 조건"/>
    <x:tableColumn id="5" name="환경"/>
    <x:tableColumn id="6" name="담당"/>
    <x:tableColumn id="7" name="증빙"/>
    <x:tableColumn id="8" name="관련 ID"/>
  </x:tableColumns>
  <x:tableStyleInfo name="TableStyleMedium2" showRowStripes="1"/>
</x:table>
</file>

<file path=xl/tables/table3.xml><?xml version="1.0" encoding="utf-8"?>
<x:table xmlns:x="http://schemas.openxmlformats.org/spreadsheetml/2006/main" id="3" name="QARSpec2" displayName="QARSpec2" ref="A1:H7" headerRowCount="1">
  <x:tableColumns count="8">
    <x:tableColumn id="1" name="지표"/>
    <x:tableColumn id="2" name="정의"/>
    <x:tableColumn id="3" name="목표"/>
    <x:tableColumn id="4" name="출시 중단 기준"/>
    <x:tableColumn id="5" name="측정 수단"/>
    <x:tableColumn id="6" name="담당"/>
    <x:tableColumn id="7" name="상태"/>
    <x:tableColumn id="8" name="관련 ID"/>
  </x:tableColumns>
  <x:tableStyleInfo name="TableStyleMedium2" showRowStripes="1"/>
</x:table>
</file>

<file path=xl/tables/table4.xml><?xml version="1.0" encoding="utf-8"?>
<x:table xmlns:x="http://schemas.openxmlformats.org/spreadsheetml/2006/main" id="4" name="QARSpec3" displayName="QARSpec3" ref="A1:I8" headerRowCount="1">
  <x:tableColumns count="9">
    <x:tableColumn id="1" name="게이트 ID"/>
    <x:tableColumn id="2" name="마일스톤"/>
    <x:tableColumn id="3" name="게이트"/>
    <x:tableColumn id="4" name="통과 기준"/>
    <x:tableColumn id="5" name="담당"/>
    <x:tableColumn id="6" name="승인자"/>
    <x:tableColumn id="7" name="상태"/>
    <x:tableColumn id="8" name="증빙"/>
    <x:tableColumn id="9" name="관련 ID"/>
  </x:tableColumns>
  <x:tableStyleInfo name="TableStyleMedium2" showRowStripes="1"/>
</x:table>
</file>

<file path=xl/tables/table5.xml><?xml version="1.0" encoding="utf-8"?>
<x:table xmlns:x="http://schemas.openxmlformats.org/spreadsheetml/2006/main" id="5" name="QARSpec4" displayName="QARSpec4" ref="A1:G5" headerRowCount="1">
  <x:tableColumns count="7">
    <x:tableColumn id="1" name="심각도"/>
    <x:tableColumn id="2" name="정의"/>
    <x:tableColumn id="3" name="예시"/>
    <x:tableColumn id="4" name="트리아지"/>
    <x:tableColumn id="5" name="수정 목표"/>
    <x:tableColumn id="6" name="출시 정책"/>
    <x:tableColumn id="7" name="승인자"/>
  </x:tableColumns>
  <x:tableStyleInfo name="TableStyleMedium2" showRowStripes="1"/>
</x:table>
</file>

<file path=xl/tables/table6.xml><?xml version="1.0" encoding="utf-8"?>
<x:table xmlns:x="http://schemas.openxmlformats.org/spreadsheetml/2006/main" id="10" name="QACasesTable" displayName="QACasesTable" ref="A1:V73" headerRowCount="1">
  <x:tableColumns count="22">
    <x:tableColumn id="1" name="테스트 ID"/>
    <x:tableColumn id="2" name="관련 ID"/>
    <x:tableColumn id="3" name="부문"/>
    <x:tableColumn id="4" name="제목"/>
    <x:tableColumn id="5" name="목적"/>
    <x:tableColumn id="6" name="사전 조건"/>
    <x:tableColumn id="7" name="절차"/>
    <x:tableColumn id="8" name="예상 결과"/>
    <x:tableColumn id="9" name="QA 유형"/>
    <x:tableColumn id="10" name="우선순위"/>
    <x:tableColumn id="11" name="대상 플랫폼"/>
    <x:tableColumn id="12" name="자동화 후보"/>
    <x:tableColumn id="13" name="상태"/>
    <x:tableColumn id="14" name="담당자명"/>
    <x:tableColumn id="15" name="대상 빌드"/>
    <x:tableColumn id="16" name="증빙 링크"/>
    <x:tableColumn id="17" name="결함 키"/>
    <x:tableColumn id="18" name="최종 갱신일"/>
    <x:tableColumn id="19" name="비고"/>
    <x:tableColumn id="20" name="시작일"/>
    <x:tableColumn id="21" name="종료일"/>
    <x:tableColumn id="22" name="진행상황"/>
  </x:tableColumns>
  <x:tableStyleInfo name="TableStyleMedium2" showRowStripes="1"/>
</x:table>
</file>

<file path=xl/tables/table7.xml><?xml version="1.0" encoding="utf-8"?>
<x:table xmlns:x="http://schemas.openxmlformats.org/spreadsheetml/2006/main" id="7" name="RiskTable" displayName="RiskTable" ref="A1:P5" headerRowCount="1">
  <x:tableColumns count="16">
    <x:tableColumn id="1" name="위험 ID"/>
    <x:tableColumn id="2" name="부문"/>
    <x:tableColumn id="3" name="분류"/>
    <x:tableColumn id="4" name="위험 내용"/>
    <x:tableColumn id="5" name="발생 조건"/>
    <x:tableColumn id="6" name="영향"/>
    <x:tableColumn id="7" name="발생 확률"/>
    <x:tableColumn id="8" name="영향도"/>
    <x:tableColumn id="9" name="점수"/>
    <x:tableColumn id="10" name="담당자"/>
    <x:tableColumn id="11" name="예방 조치"/>
    <x:tableColumn id="12" name="비상 대책"/>
    <x:tableColumn id="13" name="상태"/>
    <x:tableColumn id="14" name="관련 ID"/>
    <x:tableColumn id="15" name="검토일"/>
    <x:tableColumn id="16" name="비고"/>
  </x:tableColumns>
  <x:tableStyleInfo name="TableStyleMedium2" showRowStripes="1"/>
</x:table>
</file>

<file path=xl/tables/table8.xml><?xml version="1.0" encoding="utf-8"?>
<x:table xmlns:x="http://schemas.openxmlformats.org/spreadsheetml/2006/main" id="8" name="DecisionTable" displayName="DecisionTable" ref="A1:M3" headerRowCount="1">
  <x:tableColumns count="13">
    <x:tableColumn id="1" name="의사결정 ID"/>
    <x:tableColumn id="2" name="부문"/>
    <x:tableColumn id="3" name="논점"/>
    <x:tableColumn id="4" name="결정 질문"/>
    <x:tableColumn id="5" name="선택지"/>
    <x:tableColumn id="6" name="권고안"/>
    <x:tableColumn id="7" name="최종 결정"/>
    <x:tableColumn id="8" name="상태"/>
    <x:tableColumn id="9" name="결정권자"/>
    <x:tableColumn id="10" name="기한"/>
    <x:tableColumn id="11" name="관련 ID"/>
    <x:tableColumn id="12" name="판단 근거·증빙"/>
    <x:tableColumn id="13" name="최종 갱신일"/>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120cc666a8494001" /></Relationships>
</file>

<file path=xl/worksheets/_rels/sheet2.xml.rels>&#65279;<?xml version="1.0" encoding="utf-8"?><Relationships xmlns="http://schemas.openxmlformats.org/package/2006/relationships"><Relationship Type="http://schemas.openxmlformats.org/officeDocument/2006/relationships/table" Target="/xl/tables/table1.xml" Id="Rf20f67d4257e4f49" /></Relationships>
</file>

<file path=xl/worksheets/_rels/sheet3.xml.rels>&#65279;<?xml version="1.0" encoding="utf-8"?><Relationships xmlns="http://schemas.openxmlformats.org/package/2006/relationships"><Relationship Type="http://schemas.openxmlformats.org/officeDocument/2006/relationships/table" Target="/xl/tables/table2.xml" Id="R43e33ff903b9402b" /></Relationships>
</file>

<file path=xl/worksheets/_rels/sheet4.xml.rels>&#65279;<?xml version="1.0" encoding="utf-8"?><Relationships xmlns="http://schemas.openxmlformats.org/package/2006/relationships"><Relationship Type="http://schemas.openxmlformats.org/officeDocument/2006/relationships/table" Target="/xl/tables/table3.xml" Id="R5f00964955464e2a" /></Relationships>
</file>

<file path=xl/worksheets/_rels/sheet5.xml.rels>&#65279;<?xml version="1.0" encoding="utf-8"?><Relationships xmlns="http://schemas.openxmlformats.org/package/2006/relationships"><Relationship Type="http://schemas.openxmlformats.org/officeDocument/2006/relationships/table" Target="/xl/tables/table4.xml" Id="R2725b8201ffd4908" /></Relationships>
</file>

<file path=xl/worksheets/_rels/sheet6.xml.rels>&#65279;<?xml version="1.0" encoding="utf-8"?><Relationships xmlns="http://schemas.openxmlformats.org/package/2006/relationships"><Relationship Type="http://schemas.openxmlformats.org/officeDocument/2006/relationships/table" Target="/xl/tables/table5.xml" Id="R9fd3253e009e45da" /></Relationships>
</file>

<file path=xl/worksheets/_rels/sheet7.xml.rels>&#65279;<?xml version="1.0" encoding="utf-8"?><Relationships xmlns="http://schemas.openxmlformats.org/package/2006/relationships"><Relationship Type="http://schemas.openxmlformats.org/officeDocument/2006/relationships/table" Target="/xl/tables/table6.xml" Id="R326d9c99162e486c" /></Relationships>
</file>

<file path=xl/worksheets/_rels/sheet8.xml.rels>&#65279;<?xml version="1.0" encoding="utf-8"?><Relationships xmlns="http://schemas.openxmlformats.org/package/2006/relationships"><Relationship Type="http://schemas.openxmlformats.org/officeDocument/2006/relationships/table" Target="/xl/tables/table7.xml" Id="Rca6ccd5db4014db4" /></Relationships>
</file>

<file path=xl/worksheets/_rels/sheet9.xml.rels>&#65279;<?xml version="1.0" encoding="utf-8"?><Relationships xmlns="http://schemas.openxmlformats.org/package/2006/relationships"><Relationship Type="http://schemas.openxmlformats.org/officeDocument/2006/relationships/table" Target="/xl/tables/table8.xml" Id="R2e80cc74ec834ac9" /></Relationships>
</file>

<file path=xl/worksheets/sheet1.xml><?xml version="1.0" encoding="utf-8"?>
<x:worksheet xmlns:x="http://schemas.openxmlformats.org/spreadsheetml/2006/main">
  <x:sheetFormatPr defaultRowHeight="15"/>
  <x:cols>
    <x:col min="1" max="1" width="29" hidden="0" customWidth="1"/>
    <x:col min="2" max="2" width="23" hidden="0" customWidth="1"/>
    <x:col min="3" max="3" width="34" hidden="0" customWidth="1"/>
    <x:col min="4" max="4" width="23" hidden="0" customWidth="1"/>
    <x:col min="5" max="5" width="25" hidden="0" customWidth="1"/>
    <x:col min="6" max="6" width="25" hidden="0" customWidth="1"/>
    <x:col min="7" max="7" width="25" hidden="0" customWidth="1"/>
    <x:col min="8" max="8" width="31" hidden="0" customWidth="1"/>
  </x:cols>
  <x:sheetData>
    <x:row r="1" ht="34" customHeight="1">
      <x:c r="A1" s="5" t="str">
        <x:v>QA·릴리스·운영 관리대장</x:v>
      </x:c>
      <x:c r="B1" s="5"/>
      <x:c r="C1" s="5"/>
      <x:c r="D1" s="5"/>
      <x:c r="E1" s="5"/>
      <x:c r="F1" s="5"/>
      <x:c r="G1" s="5"/>
      <x:c r="H1" s="5"/>
    </x:row>
    <x:row r="2" ht="28" customHeight="1">
      <x:c r="A2" s="13" t="str">
        <x:v>버전 2.0-ko / 갱신일 2026-07-10 / 담당 부문: QA·릴리스 관리</x:v>
      </x:c>
      <x:c r="B2" s="13"/>
      <x:c r="C2" s="13"/>
      <x:c r="D2" s="13"/>
      <x:c r="E2" s="13"/>
      <x:c r="F2" s="13"/>
      <x:c r="G2" s="13"/>
      <x:c r="H2" s="13"/>
    </x:row>
    <x:row r="3">
      <x:c r="A3"/>
      <x:c r="B3"/>
      <x:c r="C3"/>
      <x:c r="D3"/>
      <x:c r="E3"/>
      <x:c r="F3"/>
      <x:c r="G3"/>
      <x:c r="H3"/>
    </x:row>
    <x:row r="4">
      <x:c r="A4" s="26" t="str">
        <x:v>핵심 지표</x:v>
      </x:c>
      <x:c r="B4" s="26" t="str">
        <x:v>값</x:v>
      </x:c>
      <x:c r="C4" s="26" t="str">
        <x:v>판정·설명</x:v>
      </x:c>
      <x:c r="D4" s="26"/>
      <x:c r="E4" s="26" t="str">
        <x:v>상태</x:v>
      </x:c>
      <x:c r="F4" s="26" t="str">
        <x:v>건수</x:v>
      </x:c>
      <x:c r="G4" s="26" t="str">
        <x:v>비율</x:v>
      </x:c>
      <x:c r="H4" s="26"/>
    </x:row>
    <x:row r="5">
      <x:c r="A5" s="27" t="str">
        <x:v>전체 작업</x:v>
      </x:c>
      <x:c r="B5" s="27" t="n">
        <x:f>COUNTA('01_백로그'!A2:A39)</x:f>
        <x:v>38</x:v>
      </x:c>
      <x:c r="C5" s="27" t="str">
        <x:v>백로그 전체 수</x:v>
      </x:c>
      <x:c r="D5" s="27"/>
      <x:c r="E5" s="27" t="str">
        <x:v>미착수</x:v>
      </x:c>
      <x:c r="F5" s="27" t="n">
        <x:f>COUNTIF('01_백로그'!U2:U39,E5)</x:f>
        <x:v>38</x:v>
      </x:c>
      <x:c r="G5" s="28" t="n">
        <x:f>IFERROR(F5/$B$5,0)</x:f>
        <x:v>1</x:v>
      </x:c>
      <x:c r="H5" s="27"/>
    </x:row>
    <x:row r="6">
      <x:c r="A6" s="27" t="str">
        <x:v>MVP 작업</x:v>
      </x:c>
      <x:c r="B6" s="27" t="n">
        <x:f>COUNTIF('01_백로그'!I2:I39,"MVP")</x:f>
        <x:v>6</x:v>
      </x:c>
      <x:c r="C6" s="27" t="str">
        <x:v>MVP 범위</x:v>
      </x:c>
      <x:c r="D6" s="27"/>
      <x:c r="E6" s="27" t="str">
        <x:v>사양 확인 중</x:v>
      </x:c>
      <x:c r="F6" s="27" t="n">
        <x:f>COUNTIF('01_백로그'!U2:U39,E6)</x:f>
        <x:v>0</x:v>
      </x:c>
      <x:c r="G6" s="28" t="n">
        <x:f>IFERROR(F6/$B$5,0)</x:f>
        <x:v>0</x:v>
      </x:c>
      <x:c r="H6" s="27"/>
    </x:row>
    <x:row r="7">
      <x:c r="A7" s="27" t="str">
        <x:v>P0 미완료</x:v>
      </x:c>
      <x:c r="B7" s="27" t="n">
        <x:f>COUNTIFS('01_백로그'!J2:J39,"P0",'01_백로그'!U2:U39,"&lt;&gt;완료")</x:f>
        <x:v>34</x:v>
      </x:c>
      <x:c r="C7" s="27" t="str">
        <x:v>P0이며 완료되지 않은 항목</x:v>
      </x:c>
      <x:c r="D7" s="27"/>
      <x:c r="E7" s="27" t="str">
        <x:v>구현 중</x:v>
      </x:c>
      <x:c r="F7" s="27" t="n">
        <x:f>COUNTIF('01_백로그'!U2:U39,E7)</x:f>
        <x:v>0</x:v>
      </x:c>
      <x:c r="G7" s="28" t="n">
        <x:f>IFERROR(F7/$B$5,0)</x:f>
        <x:v>0</x:v>
      </x:c>
      <x:c r="H7" s="27"/>
    </x:row>
    <x:row r="8">
      <x:c r="A8" s="27" t="str">
        <x:v>차단</x:v>
      </x:c>
      <x:c r="B8" s="27" t="n">
        <x:f>COUNTIF('01_백로그'!U2:U39,"차단")</x:f>
        <x:v>0</x:v>
      </x:c>
      <x:c r="C8" s="27" t="str">
        <x:v>현재 진행을 막는 항목</x:v>
      </x:c>
      <x:c r="D8" s="27"/>
      <x:c r="E8" s="27" t="str">
        <x:v>코드 리뷰</x:v>
      </x:c>
      <x:c r="F8" s="27" t="n">
        <x:f>COUNTIF('01_백로그'!U2:U39,E8)</x:f>
        <x:v>0</x:v>
      </x:c>
      <x:c r="G8" s="28" t="n">
        <x:f>IFERROR(F8/$B$5,0)</x:f>
        <x:v>0</x:v>
      </x:c>
      <x:c r="H8" s="27"/>
    </x:row>
    <x:row r="9">
      <x:c r="A9" s="27" t="str">
        <x:v>완료</x:v>
      </x:c>
      <x:c r="B9" s="27" t="n">
        <x:f>COUNTIF('01_백로그'!U2:U39,"완료")</x:f>
        <x:v>0</x:v>
      </x:c>
      <x:c r="C9" s="27" t="str">
        <x:v>완료 정의·QA·증빙 충족</x:v>
      </x:c>
      <x:c r="D9" s="27"/>
      <x:c r="E9" s="27" t="str">
        <x:v>QA 진행 중</x:v>
      </x:c>
      <x:c r="F9" s="27" t="n">
        <x:f>COUNTIF('01_백로그'!U2:U39,E9)</x:f>
        <x:v>0</x:v>
      </x:c>
      <x:c r="G9" s="28" t="n">
        <x:f>IFERROR(F9/$B$5,0)</x:f>
        <x:v>0</x:v>
      </x:c>
      <x:c r="H9" s="27"/>
    </x:row>
    <x:row r="10">
      <x:c r="A10" s="27" t="str">
        <x:v>평균 진행률</x:v>
      </x:c>
      <x:c r="B10" s="28" t="n">
        <x:f>IFERROR(AVERAGE('01_백로그'!V2:V39),0)</x:f>
        <x:v>0</x:v>
      </x:c>
      <x:c r="C10" s="27" t="str">
        <x:v>상태별 진행률 환산 평균</x:v>
      </x:c>
      <x:c r="D10" s="27"/>
      <x:c r="E10" s="27" t="str">
        <x:v>차단</x:v>
      </x:c>
      <x:c r="F10" s="27" t="n">
        <x:f>COUNTIF('01_백로그'!U2:U39,E10)</x:f>
        <x:v>0</x:v>
      </x:c>
      <x:c r="G10" s="28" t="n">
        <x:f>IFERROR(F10/$B$5,0)</x:f>
        <x:v>0</x:v>
      </x:c>
      <x:c r="H10" s="27"/>
    </x:row>
    <x:row r="11">
      <x:c r="A11" s="27" t="str">
        <x:v>QA 합격률</x:v>
      </x:c>
      <x:c r="B11" s="28" t="n">
        <x:f>IFERROR(COUNTIF('80_QA_케이스'!M2:M73,"합격")/COUNTIF('80_QA_케이스'!M2:M73,"&lt;&gt;대상 제외"),0)</x:f>
        <x:v>0</x:v>
      </x:c>
      <x:c r="C11" s="27" t="str">
        <x:v>대상 QA 중 통과 비율</x:v>
      </x:c>
      <x:c r="D11" s="27"/>
      <x:c r="E11" s="27" t="str">
        <x:v>완료</x:v>
      </x:c>
      <x:c r="F11" s="27" t="n">
        <x:f>COUNTIF('01_백로그'!U2:U39,E11)</x:f>
        <x:v>0</x:v>
      </x:c>
      <x:c r="G11" s="28" t="n">
        <x:f>IFERROR(F11/$B$5,0)</x:f>
        <x:v>0</x:v>
      </x:c>
      <x:c r="H11" s="27"/>
    </x:row>
    <x:row r="12">
      <x:c r="A12" s="27" t="str">
        <x:v>릴리스 판정</x:v>
      </x:c>
      <x:c r="B12" s="27" t="str">
        <x:f>IF(AND(B7=0,B8=0),"준비 완료","준비 안 됨")</x:f>
        <x:v>준비 안 됨</x:v>
      </x:c>
      <x:c r="C12" s="27" t="str">
        <x:v>P0·차단·게이트 종합 판단</x:v>
      </x:c>
      <x:c r="D12" s="27"/>
      <x:c r="E12" s="27" t="str">
        <x:v>보류</x:v>
      </x:c>
      <x:c r="F12" s="27" t="n">
        <x:f>COUNTIF('01_백로그'!U2:U39,E12)</x:f>
        <x:v>0</x:v>
      </x:c>
      <x:c r="G12" s="28" t="n">
        <x:f>IFERROR(F12/$B$5,0)</x:f>
        <x:v>0</x:v>
      </x:c>
      <x:c r="H12" s="27"/>
    </x:row>
    <x:row r="13">
      <x:c r="A13"/>
      <x:c r="B13"/>
      <x:c r="C13"/>
      <x:c r="D13"/>
      <x:c r="E13"/>
      <x:c r="F13"/>
      <x:c r="G13"/>
      <x:c r="H13"/>
    </x:row>
    <x:row r="14">
      <x:c r="A14" s="49" t="str">
        <x:v>운영 규칙</x:v>
      </x:c>
      <x:c r="B14" s="49" t="str">
        <x:v>갱신 주기</x:v>
      </x:c>
      <x:c r="C14" s="49" t="str">
        <x:v>기준 원본</x:v>
      </x:c>
      <x:c r="D14" s="49" t="str">
        <x:v>완료 판정</x:v>
      </x:c>
      <x:c r="E14" s="49" t="str">
        <x:v>의존관계</x:v>
      </x:c>
      <x:c r="F14" s="49" t="str">
        <x:v>변경관리</x:v>
      </x:c>
      <x:c r="G14" s="49" t="str">
        <x:v>증빙</x:v>
      </x:c>
      <x:c r="H14" s="49" t="str">
        <x:v>보안</x:v>
      </x:c>
    </x:row>
    <x:row r="15" ht="72" customHeight="1">
      <x:c r="A15" s="36" t="str">
        <x:v>ID는 변경하지 않음</x:v>
      </x:c>
      <x:c r="B15" s="36" t="str">
        <x:v>최소 주 2회</x:v>
      </x:c>
      <x:c r="C15" s="36" t="str">
        <x:v>외부 이슈 추적 도구 이전 후 해당 도구</x:v>
      </x:c>
      <x:c r="D15" s="36" t="str">
        <x:v>완료 정의 + QA + 증빙</x:v>
      </x:c>
      <x:c r="E15" s="36" t="str">
        <x:v>관련 ID 기재</x:v>
      </x:c>
      <x:c r="F15" s="36" t="str">
        <x:v>변경 요청·의사결정 경유</x:v>
      </x:c>
      <x:c r="G15" s="36" t="str">
        <x:v>URL·빌드·실행 기록</x:v>
      </x:c>
      <x:c r="H15" s="36" t="str">
        <x:v>비공개 정보 첨부 금지</x:v>
      </x:c>
    </x:row>
    <x:row r="16" ht="72" customHeight="1">
      <x:c r="A16" s="36" t="str">
        <x:v>담당자·기한은 스프린트 계획에서 확정</x:v>
      </x:c>
      <x:c r="B16" s="36" t="str">
        <x:v>게이트 전에는 매일</x:v>
      </x:c>
      <x:c r="C16" s="36" t="str">
        <x:v>Excel은 검토용 스냅샷</x:v>
      </x:c>
      <x:c r="D16" s="36" t="str">
        <x:v>미해결 P0·P1 없음</x:v>
      </x:c>
      <x:c r="E16" s="36" t="str">
        <x:v>부문 간 의존은 통합 파일에서 관리</x:v>
      </x:c>
      <x:c r="F16" s="36" t="str">
        <x:v>예외는 담당자·기한 필수</x:v>
      </x:c>
      <x:c r="G16" s="36" t="str">
        <x:v>로그는 상관관계 ID 포함</x:v>
      </x:c>
      <x:c r="H16" s="36" t="str">
        <x:v>역할·음성·개인정보 마스킹</x:v>
      </x:c>
    </x:row>
  </x:sheetData>
  <x:mergeCells>
    <x:mergeCell ref="A1:H1"/>
    <x:mergeCell ref="A2:H2"/>
  </x:mergeCells>
  <x:pageMargins left="0.7" right="0.7" top="0.75" bottom="0.75" header="0.3" footer="0.3"/>
  <x:drawing xmlns:r="http://schemas.openxmlformats.org/officeDocument/2006/relationships" r:id="R120cc666a8494001"/>
</x:worksheet>
</file>

<file path=xl/worksheets/sheet2.xml><?xml version="1.0" encoding="utf-8"?>
<x:worksheet xmlns:x="http://schemas.openxmlformats.org/spreadsheetml/2006/main">
  <x:sheetFormatPr defaultRowHeight="15"/>
  <x:cols>
    <x:col min="1" max="1" width="12" hidden="0" customWidth="1"/>
    <x:col min="2" max="2" width="24" hidden="0" customWidth="1"/>
    <x:col min="3" max="3" width="22" hidden="0" customWidth="1"/>
    <x:col min="4" max="4" width="22" hidden="0" customWidth="1"/>
    <x:col min="5" max="5" width="34" hidden="0" customWidth="1"/>
    <x:col min="6" max="6" width="44" hidden="0" customWidth="1"/>
    <x:col min="7" max="7" width="54" hidden="0" customWidth="1"/>
    <x:col min="8" max="8" width="48" hidden="0" customWidth="1"/>
    <x:col min="9" max="9" width="13" hidden="0" customWidth="1"/>
    <x:col min="10" max="10" width="10" hidden="0" customWidth="1"/>
    <x:col min="11" max="11" width="13" hidden="0" customWidth="1"/>
    <x:col min="12" max="12" width="18" hidden="0" customWidth="1"/>
    <x:col min="13" max="13" width="16" hidden="0" customWidth="1"/>
    <x:col min="14" max="14" width="22" hidden="0" customWidth="1"/>
    <x:col min="15" max="15" width="16" hidden="0" customWidth="1"/>
    <x:col min="16" max="16" width="16" hidden="0" customWidth="1"/>
    <x:col min="17" max="17" width="20" hidden="0" customWidth="1"/>
    <x:col min="18" max="18" width="20" hidden="0" customWidth="1"/>
    <x:col min="19" max="19" width="14" hidden="0" customWidth="1"/>
    <x:col min="20" max="20" width="10" hidden="0" customWidth="1"/>
    <x:col min="21" max="21" width="14" hidden="0" customWidth="1"/>
    <x:col min="22" max="22" width="10" hidden="0" customWidth="1"/>
    <x:col min="23" max="23" width="12" hidden="0" customWidth="1"/>
    <x:col min="24" max="24" width="13" hidden="0" customWidth="1"/>
    <x:col min="25" max="25" width="24" hidden="0" customWidth="1"/>
    <x:col min="26" max="26" width="12" hidden="0" customWidth="1"/>
    <x:col min="27" max="27" width="15" hidden="0" customWidth="1"/>
    <x:col min="28" max="28" width="24" hidden="0" customWidth="1"/>
    <x:col min="29" max="29" width="18" hidden="0" customWidth="1"/>
    <x:col min="30" max="30" width="30" hidden="0" customWidth="1"/>
    <x:col min="31" max="31" width="28" hidden="0" customWidth="1"/>
    <x:col min="32" max="32" width="13" hidden="0" customWidth="1"/>
    <x:col min="33" max="33" width="28" hidden="0" customWidth="1"/>
    <x:col min="34" max="34" width="12" hidden="0" customWidth="1"/>
    <x:col min="35" max="35" width="12" hidden="0" customWidth="1"/>
    <x:col min="36" max="36" width="12" hidden="0" customWidth="1"/>
  </x:cols>
  <x:sheetData>
    <x:row r="1" ht="30" customHeight="1">
      <x:c r="A1" s="40" t="str">
        <x:v>ID</x:v>
      </x:c>
      <x:c r="B1" s="40" t="str">
        <x:v>부문</x:v>
      </x:c>
      <x:c r="C1" s="40" t="str">
        <x:v>에픽</x:v>
      </x:c>
      <x:c r="D1" s="40" t="str">
        <x:v>기능 그룹</x:v>
      </x:c>
      <x:c r="E1" s="40" t="str">
        <x:v>구현 항목</x:v>
      </x:c>
      <x:c r="F1" s="40" t="str">
        <x:v>목적·설명</x:v>
      </x:c>
      <x:c r="G1" s="40" t="str">
        <x:v>수용 기준</x:v>
      </x:c>
      <x:c r="H1" s="40" t="str">
        <x:v>완료 정의</x:v>
      </x:c>
      <x:c r="I1" s="40" t="str">
        <x:v>범위</x:v>
      </x:c>
      <x:c r="J1" s="40" t="str">
        <x:v>우선순위</x:v>
      </x:c>
      <x:c r="K1" s="40" t="str">
        <x:v>릴리스 게이트</x:v>
      </x:c>
      <x:c r="L1" s="40" t="str">
        <x:v>게이트 분류</x:v>
      </x:c>
      <x:c r="M1" s="40" t="str">
        <x:v>마일스톤</x:v>
      </x:c>
      <x:c r="N1" s="40" t="str">
        <x:v>담당 부문</x:v>
      </x:c>
      <x:c r="O1" s="40" t="str">
        <x:v>담당자명</x:v>
      </x:c>
      <x:c r="P1" s="40" t="str">
        <x:v>검토자</x:v>
      </x:c>
      <x:c r="Q1" s="40" t="str">
        <x:v>대상 플랫폼</x:v>
      </x:c>
      <x:c r="R1" s="40" t="str">
        <x:v>권한·실행 주체</x:v>
      </x:c>
      <x:c r="S1" s="40" t="str">
        <x:v>영속화</x:v>
      </x:c>
      <x:c r="T1" s="40" t="str">
        <x:v>예상 규모</x:v>
      </x:c>
      <x:c r="U1" s="40" t="str">
        <x:v>상태</x:v>
      </x:c>
      <x:c r="V1" s="40" t="str">
        <x:v>진행률</x:v>
      </x:c>
      <x:c r="W1" s="40" t="str">
        <x:v>스프린트</x:v>
      </x:c>
      <x:c r="X1" s="40" t="str">
        <x:v>기한</x:v>
      </x:c>
      <x:c r="Y1" s="40" t="str">
        <x:v>의존 ID</x:v>
      </x:c>
      <x:c r="Z1" s="40" t="str">
        <x:v>위험도</x:v>
      </x:c>
      <x:c r="AA1" s="40" t="str">
        <x:v>QA 유형</x:v>
      </x:c>
      <x:c r="AB1" s="40" t="str">
        <x:v>테스트 케이스 ID</x:v>
      </x:c>
      <x:c r="AC1" s="40" t="str">
        <x:v>외부 추적 도구 키</x:v>
      </x:c>
      <x:c r="AD1" s="40" t="str">
        <x:v>근거</x:v>
      </x:c>
      <x:c r="AE1" s="40" t="str">
        <x:v>증빙 링크</x:v>
      </x:c>
      <x:c r="AF1" s="40" t="str">
        <x:v>최종 갱신일</x:v>
      </x:c>
      <x:c r="AG1" s="40" t="str">
        <x:v>비고</x:v>
      </x:c>
      <x:c r="AH1" s="53" t="str">
        <x:v>시작일</x:v>
      </x:c>
      <x:c r="AI1" s="53" t="str">
        <x:v>종료일</x:v>
      </x:c>
      <x:c r="AJ1" s="53" t="str">
        <x:v>진행상황</x:v>
      </x:c>
    </x:row>
    <x:row r="2" ht="42" customHeight="1">
      <x:c r="A2" s="36" t="str">
        <x:v>QAR-001</x:v>
      </x:c>
      <x:c r="B2" s="36" t="str">
        <x:v>QA·릴리스·운영</x:v>
      </x:c>
      <x:c r="C2" s="36" t="str">
        <x:v>QA 관리</x:v>
      </x:c>
      <x:c r="D2" s="36" t="str">
        <x:v>전략</x:v>
      </x:c>
      <x:c r="E2" s="36" t="str">
        <x:v>제품 테스트 전략·책임 분담</x:v>
      </x:c>
      <x:c r="F2" s="36" t="str">
        <x:v>게임 규칙, 운영 요구사항과 대상 플랫폼 제약을 충족하도록 제품 테스트 전략·책임 분담 기능을 구현하고 검증한다.</x:v>
      </x:c>
      <x:c r="G2" s="36" t="str">
        <x:v>기능, 통합, 네트워크, 보안, 성능, 호환성, 접근성, 밸런스, 운영 시험의 범위, 담당, 시작 조건, 종료 조건을 정의한다.</x:v>
      </x:c>
      <x:c r="H2" s="36" t="str">
        <x:v>구현, 코드 리뷰, 사양 갱신, 대상 QA 케이스 실행, 로그·텔레메트리 확인과 관련 플랫폼 검증을 완료하고 미해결 P0·P1 결함이 없다.</x:v>
      </x:c>
      <x:c r="I2" s="36" t="str">
        <x:v>MVP</x:v>
      </x:c>
      <x:c r="J2" s="36" t="str">
        <x:v>P0</x:v>
      </x:c>
      <x:c r="K2" s="36" t="str">
        <x:v>필수</x:v>
      </x:c>
      <x:c r="L2" s="36" t="str">
        <x:v>QA 기반</x:v>
      </x:c>
      <x:c r="M2" s="36" t="str">
        <x:v>MVP</x:v>
      </x:c>
      <x:c r="N2" s="36" t="str">
        <x:v>QA·릴리스 관리</x:v>
      </x:c>
      <x:c r="O2" s="36" t="str">
        <x:v>미정</x:v>
      </x:c>
      <x:c r="P2" s="36" t="str">
        <x:v>미정</x:v>
      </x:c>
      <x:c r="Q2" s="36" t="str">
        <x:v>전체</x:v>
      </x:c>
      <x:c r="R2" s="36" t="str">
        <x:v>해당 없음</x:v>
      </x:c>
      <x:c r="S2" s="36" t="str">
        <x:v>감사 로그</x:v>
      </x:c>
      <x:c r="T2" s="36" t="str">
        <x:v>L</x:v>
      </x:c>
      <x:c r="U2" s="36" t="str">
        <x:v>미착수</x:v>
      </x:c>
      <x:c r="V2" s="46" t="n">
        <x:f>IF(U2="완료",1,IF(U2="QA 진행 중",0.8,IF(U2="코드 리뷰",0.65,IF(U2="구현 중",0.4,IF(U2="사양 확인 중",0.1,IF(U2="차단",0.4,0))))))</x:f>
        <x:v>0</x:v>
      </x:c>
      <x:c r="W2" s="36" t="str">
        <x:v>미정</x:v>
      </x:c>
      <x:c r="X2" s="44"/>
      <x:c r="Y2" s="36"/>
      <x:c r="Z2" s="36" t="str">
        <x:v>중간</x:v>
      </x:c>
      <x:c r="AA2" s="36" t="str">
        <x:v>운영</x:v>
      </x:c>
      <x:c r="AB2" s="36" t="str">
        <x:v>TC-QAR-001-01, TC-QAR-001-02</x:v>
      </x:c>
      <x:c r="AC2" s="36"/>
      <x:c r="AD2" s="36" t="str">
        <x:v>게임 기획서</x:v>
      </x:c>
      <x:c r="AE2" s="36"/>
      <x:c r="AF2" s="44" t="str">
        <x:v>2026-07-10</x:v>
      </x:c>
      <x:c r="AG2" s="36"/>
      <x:c r="AH2" s="54"/>
      <x:c r="AI2" s="54"/>
      <x:c r="AJ2" s="53" t="str">
        <x:v>착수 전</x:v>
      </x:c>
    </x:row>
    <x:row r="3" ht="42" customHeight="1">
      <x:c r="A3" s="36" t="str">
        <x:v>QAR-002</x:v>
      </x:c>
      <x:c r="B3" s="36" t="str">
        <x:v>QA·릴리스·운영</x:v>
      </x:c>
      <x:c r="C3" s="36" t="str">
        <x:v>QA 관리</x:v>
      </x:c>
      <x:c r="D3" s="36" t="str">
        <x:v>환경</x:v>
      </x:c>
      <x:c r="E3" s="36" t="str">
        <x:v>개발·QA·스테이징·운영 환경</x:v>
      </x:c>
      <x:c r="F3" s="36" t="str">
        <x:v>게임 규칙, 운영 요구사항과 대상 플랫폼 제약을 충족하도록 개발·QA·스테이징·운영 환경 기능을 구현하고 검증한다.</x:v>
      </x:c>
      <x:c r="G3" s="36" t="str">
        <x:v>각 환경의 서비스, 설정, 데이터, 접근 권한, 초기화 절차, 버전 대응 관계를 문서화하고 운영 데이터를 QA 환경에 반입하지 않는다.</x:v>
      </x:c>
      <x:c r="H3" s="36" t="str">
        <x:v>구현, 코드 리뷰, 사양 갱신, 대상 QA 케이스 실행, 로그·텔레메트리 확인과 관련 플랫폼 검증을 완료하고 미해결 P0·P1 결함이 없다.</x:v>
      </x:c>
      <x:c r="I3" s="36" t="str">
        <x:v>알파</x:v>
      </x:c>
      <x:c r="J3" s="36" t="str">
        <x:v>P0</x:v>
      </x:c>
      <x:c r="K3" s="36" t="str">
        <x:v>필수</x:v>
      </x:c>
      <x:c r="L3" s="36" t="str">
        <x:v>QA 기반</x:v>
      </x:c>
      <x:c r="M3" s="36" t="str">
        <x:v>알파</x:v>
      </x:c>
      <x:c r="N3" s="36" t="str">
        <x:v>QA·릴리스 관리</x:v>
      </x:c>
      <x:c r="O3" s="36" t="str">
        <x:v>미정</x:v>
      </x:c>
      <x:c r="P3" s="36" t="str">
        <x:v>미정</x:v>
      </x:c>
      <x:c r="Q3" s="36" t="str">
        <x:v>전체</x:v>
      </x:c>
      <x:c r="R3" s="36" t="str">
        <x:v>해당 없음</x:v>
      </x:c>
      <x:c r="S3" s="36" t="str">
        <x:v>감사 로그</x:v>
      </x:c>
      <x:c r="T3" s="36" t="str">
        <x:v>L</x:v>
      </x:c>
      <x:c r="U3" s="36" t="str">
        <x:v>미착수</x:v>
      </x:c>
      <x:c r="V3" s="46" t="n">
        <x:f>IF(U3="완료",1,IF(U3="QA 진행 중",0.8,IF(U3="코드 리뷰",0.65,IF(U3="구현 중",0.4,IF(U3="사양 확인 중",0.1,IF(U3="차단",0.4,0))))))</x:f>
        <x:v>0</x:v>
      </x:c>
      <x:c r="W3" s="36" t="str">
        <x:v>미정</x:v>
      </x:c>
      <x:c r="X3" s="44"/>
      <x:c r="Y3" s="36" t="str">
        <x:v>BED-028</x:v>
      </x:c>
      <x:c r="Z3" s="36" t="str">
        <x:v>중간</x:v>
      </x:c>
      <x:c r="AA3" s="36" t="str">
        <x:v>운영</x:v>
      </x:c>
      <x:c r="AB3" s="36" t="str">
        <x:v>TC-QAR-002-01, TC-QAR-002-02</x:v>
      </x:c>
      <x:c r="AC3" s="36"/>
      <x:c r="AD3" s="36" t="str">
        <x:v>게임 기획서</x:v>
      </x:c>
      <x:c r="AE3" s="36"/>
      <x:c r="AF3" s="44" t="str">
        <x:v>2026-07-10</x:v>
      </x:c>
      <x:c r="AG3" s="36"/>
      <x:c r="AH3" s="54"/>
      <x:c r="AI3" s="54"/>
      <x:c r="AJ3" s="53" t="str">
        <x:v>착수 전</x:v>
      </x:c>
    </x:row>
    <x:row r="4" ht="42" customHeight="1">
      <x:c r="A4" s="36" t="str">
        <x:v>QAR-003</x:v>
      </x:c>
      <x:c r="B4" s="36" t="str">
        <x:v>QA·릴리스·운영</x:v>
      </x:c>
      <x:c r="C4" s="36" t="str">
        <x:v>빌드 검증</x:v>
      </x:c>
      <x:c r="D4" s="36" t="str">
        <x:v>스모크 시험</x:v>
      </x:c>
      <x:c r="E4" s="36" t="str">
        <x:v>빌드 수용 스모크 테스트</x:v>
      </x:c>
      <x:c r="F4" s="36" t="str">
        <x:v>게임 규칙, 운영 요구사항과 대상 플랫폼 제약을 충족하도록 빌드 수용 스모크 테스트 기능을 구현하고 검증한다.</x:v>
      </x:c>
      <x:c r="G4" s="36" t="str">
        <x:v>지원 플랫폼의 매 빌드에서 실행, 인증, 룸 생성·참가, 시작, 낮, 메모, 밤, 투표, 최종 재판, 결과, 종료를 확인한다.</x:v>
      </x:c>
      <x:c r="H4" s="36" t="str">
        <x:v>구현, 코드 리뷰, 사양 갱신, 대상 QA 케이스 실행, 로그·텔레메트리 확인과 관련 플랫폼 검증을 완료하고 미해결 P0·P1 결함이 없다.</x:v>
      </x:c>
      <x:c r="I4" s="36" t="str">
        <x:v>MVP</x:v>
      </x:c>
      <x:c r="J4" s="36" t="str">
        <x:v>P0</x:v>
      </x:c>
      <x:c r="K4" s="36" t="str">
        <x:v>필수</x:v>
      </x:c>
      <x:c r="L4" s="36" t="str">
        <x:v>빌드</x:v>
      </x:c>
      <x:c r="M4" s="36" t="str">
        <x:v>MVP</x:v>
      </x:c>
      <x:c r="N4" s="36" t="str">
        <x:v>QA·릴리스 관리</x:v>
      </x:c>
      <x:c r="O4" s="36" t="str">
        <x:v>미정</x:v>
      </x:c>
      <x:c r="P4" s="36" t="str">
        <x:v>미정</x:v>
      </x:c>
      <x:c r="Q4" s="36" t="str">
        <x:v>전체</x:v>
      </x:c>
      <x:c r="R4" s="36" t="str">
        <x:v>해당 없음</x:v>
      </x:c>
      <x:c r="S4" s="36" t="str">
        <x:v>감사 로그</x:v>
      </x:c>
      <x:c r="T4" s="36" t="str">
        <x:v>M</x:v>
      </x:c>
      <x:c r="U4" s="36" t="str">
        <x:v>미착수</x:v>
      </x:c>
      <x:c r="V4" s="46" t="n">
        <x:f>IF(U4="완료",1,IF(U4="QA 진행 중",0.8,IF(U4="코드 리뷰",0.65,IF(U4="구현 중",0.4,IF(U4="사양 확인 중",0.1,IF(U4="차단",0.4,0))))))</x:f>
        <x:v>0</x:v>
      </x:c>
      <x:c r="W4" s="36" t="str">
        <x:v>미정</x:v>
      </x:c>
      <x:c r="X4" s="44"/>
      <x:c r="Y4" s="36" t="str">
        <x:v>QAR-001</x:v>
      </x:c>
      <x:c r="Z4" s="36" t="str">
        <x:v>중간</x:v>
      </x:c>
      <x:c r="AA4" s="36" t="str">
        <x:v>통합</x:v>
      </x:c>
      <x:c r="AB4" s="36" t="str">
        <x:v>TC-QAR-003-01, TC-QAR-003-02</x:v>
      </x:c>
      <x:c r="AC4" s="36"/>
      <x:c r="AD4" s="36" t="str">
        <x:v>게임 기획서</x:v>
      </x:c>
      <x:c r="AE4" s="36"/>
      <x:c r="AF4" s="44" t="str">
        <x:v>2026-07-10</x:v>
      </x:c>
      <x:c r="AG4" s="36"/>
      <x:c r="AH4" s="54"/>
      <x:c r="AI4" s="54"/>
      <x:c r="AJ4" s="53" t="str">
        <x:v>착수 전</x:v>
      </x:c>
    </x:row>
    <x:row r="5" ht="42" customHeight="1">
      <x:c r="A5" s="36" t="str">
        <x:v>QAR-004</x:v>
      </x:c>
      <x:c r="B5" s="36" t="str">
        <x:v>QA·릴리스·운영</x:v>
      </x:c>
      <x:c r="C5" s="36" t="str">
        <x:v>기능 QA</x:v>
      </x:c>
      <x:c r="D5" s="36" t="str">
        <x:v>핵심 규칙</x:v>
      </x:c>
      <x:c r="E5" s="36" t="str">
        <x:v>핵심 규칙 기능 시험</x:v>
      </x:c>
      <x:c r="F5" s="36" t="str">
        <x:v>게임 규칙, 운영 요구사항과 대상 플랫폼 제약을 충족하도록 핵심 규칙 기능 시험 기능을 구현하고 검증한다.</x:v>
      </x:c>
      <x:c r="G5" s="36" t="str">
        <x:v>자신의 등 메모 비공개, 색상 위조, 밤 대화 금지, 강제 투표, 최종 재판, 승패 조건을 정상, 오류, 경계 조건에서 검증한다.</x:v>
      </x:c>
      <x:c r="H5" s="36" t="str">
        <x:v>구현, 코드 리뷰, 사양 갱신, 대상 QA 케이스 실행, 로그·텔레메트리 확인과 관련 플랫폼 검증을 완료하고 미해결 P0·P1 결함이 없다.</x:v>
      </x:c>
      <x:c r="I5" s="36" t="str">
        <x:v>MVP</x:v>
      </x:c>
      <x:c r="J5" s="36" t="str">
        <x:v>P0</x:v>
      </x:c>
      <x:c r="K5" s="36" t="str">
        <x:v>필수</x:v>
      </x:c>
      <x:c r="L5" s="36" t="str">
        <x:v>핵심 규칙</x:v>
      </x:c>
      <x:c r="M5" s="36" t="str">
        <x:v>MVP</x:v>
      </x:c>
      <x:c r="N5" s="36" t="str">
        <x:v>QA·릴리스 관리</x:v>
      </x:c>
      <x:c r="O5" s="36" t="str">
        <x:v>미정</x:v>
      </x:c>
      <x:c r="P5" s="36" t="str">
        <x:v>미정</x:v>
      </x:c>
      <x:c r="Q5" s="36" t="str">
        <x:v>전체</x:v>
      </x:c>
      <x:c r="R5" s="36" t="str">
        <x:v>해당 없음</x:v>
      </x:c>
      <x:c r="S5" s="36" t="str">
        <x:v>감사 로그</x:v>
      </x:c>
      <x:c r="T5" s="36" t="str">
        <x:v>XL</x:v>
      </x:c>
      <x:c r="U5" s="36" t="str">
        <x:v>미착수</x:v>
      </x:c>
      <x:c r="V5" s="46" t="n">
        <x:f>IF(U5="완료",1,IF(U5="QA 진행 중",0.8,IF(U5="코드 리뷰",0.65,IF(U5="구현 중",0.4,IF(U5="사양 확인 중",0.1,IF(U5="차단",0.4,0))))))</x:f>
        <x:v>0</x:v>
      </x:c>
      <x:c r="W5" s="36" t="str">
        <x:v>미정</x:v>
      </x:c>
      <x:c r="X5" s="44"/>
      <x:c r="Y5" s="36" t="str">
        <x:v>IGM-019,IGM-014,IGM-023,IGM-031</x:v>
      </x:c>
      <x:c r="Z5" s="36" t="str">
        <x:v>중간</x:v>
      </x:c>
      <x:c r="AA5" s="36" t="str">
        <x:v>기능</x:v>
      </x:c>
      <x:c r="AB5" s="36" t="str">
        <x:v>TC-QAR-004-01, TC-QAR-004-02</x:v>
      </x:c>
      <x:c r="AC5" s="36"/>
      <x:c r="AD5" s="36" t="str">
        <x:v>게임 기획서</x:v>
      </x:c>
      <x:c r="AE5" s="36"/>
      <x:c r="AF5" s="44" t="str">
        <x:v>2026-07-10</x:v>
      </x:c>
      <x:c r="AG5" s="36"/>
      <x:c r="AH5" s="54"/>
      <x:c r="AI5" s="54"/>
      <x:c r="AJ5" s="53" t="str">
        <x:v>착수 전</x:v>
      </x:c>
    </x:row>
    <x:row r="6" ht="42" customHeight="1">
      <x:c r="A6" s="36" t="str">
        <x:v>QAR-005</x:v>
      </x:c>
      <x:c r="B6" s="36" t="str">
        <x:v>QA·릴리스·운영</x:v>
      </x:c>
      <x:c r="C6" s="36" t="str">
        <x:v>보안 QA</x:v>
      </x:c>
      <x:c r="D6" s="36" t="str">
        <x:v>서버 권한</x:v>
      </x:c>
      <x:c r="E6" s="36" t="str">
        <x:v>서버 권한·비정상 요청 시험</x:v>
      </x:c>
      <x:c r="F6" s="36" t="str">
        <x:v>게임 규칙, 운영 요구사항과 대상 플랫폼 제약을 충족하도록 서버 권한·비정상 요청 시험 기능을 구현하고 검증한다.</x:v>
      </x:c>
      <x:c r="G6" s="36" t="str">
        <x:v>역할 변조, 거리 밖 부착, 위조 횟수 초과, 보상 중복, 투표 변조, 설정 변경을 시도하고 서버가 거부하며 기록하는지 확인한다.</x:v>
      </x:c>
      <x:c r="H6" s="36" t="str">
        <x:v>구현, 코드 리뷰, 사양 갱신, 대상 QA 케이스 실행, 로그·텔레메트리 확인과 관련 플랫폼 검증을 완료하고 미해결 P0·P1 결함이 없다.</x:v>
      </x:c>
      <x:c r="I6" s="36" t="str">
        <x:v>알파</x:v>
      </x:c>
      <x:c r="J6" s="36" t="str">
        <x:v>P0</x:v>
      </x:c>
      <x:c r="K6" s="36" t="str">
        <x:v>필수</x:v>
      </x:c>
      <x:c r="L6" s="36" t="str">
        <x:v>보안</x:v>
      </x:c>
      <x:c r="M6" s="36" t="str">
        <x:v>알파</x:v>
      </x:c>
      <x:c r="N6" s="36" t="str">
        <x:v>QA·릴리스 관리</x:v>
      </x:c>
      <x:c r="O6" s="36" t="str">
        <x:v>미정</x:v>
      </x:c>
      <x:c r="P6" s="36" t="str">
        <x:v>미정</x:v>
      </x:c>
      <x:c r="Q6" s="36" t="str">
        <x:v>서버</x:v>
      </x:c>
      <x:c r="R6" s="36" t="str">
        <x:v>해당 없음</x:v>
      </x:c>
      <x:c r="S6" s="36" t="str">
        <x:v>감사 로그</x:v>
      </x:c>
      <x:c r="T6" s="36" t="str">
        <x:v>XL</x:v>
      </x:c>
      <x:c r="U6" s="36" t="str">
        <x:v>미착수</x:v>
      </x:c>
      <x:c r="V6" s="46" t="n">
        <x:f>IF(U6="완료",1,IF(U6="QA 진행 중",0.8,IF(U6="코드 리뷰",0.65,IF(U6="구현 중",0.4,IF(U6="사양 확인 중",0.1,IF(U6="차단",0.4,0))))))</x:f>
        <x:v>0</x:v>
      </x:c>
      <x:c r="W6" s="36" t="str">
        <x:v>미정</x:v>
      </x:c>
      <x:c r="X6" s="44"/>
      <x:c r="Y6" s="36" t="str">
        <x:v>NET-012,NET-026</x:v>
      </x:c>
      <x:c r="Z6" s="36" t="str">
        <x:v>중간</x:v>
      </x:c>
      <x:c r="AA6" s="36" t="str">
        <x:v>보안</x:v>
      </x:c>
      <x:c r="AB6" s="36" t="str">
        <x:v>TC-QAR-005-01, TC-QAR-005-02</x:v>
      </x:c>
      <x:c r="AC6" s="36"/>
      <x:c r="AD6" s="36" t="str">
        <x:v>게임 기획서</x:v>
      </x:c>
      <x:c r="AE6" s="36"/>
      <x:c r="AF6" s="44" t="str">
        <x:v>2026-07-10</x:v>
      </x:c>
      <x:c r="AG6" s="36"/>
      <x:c r="AH6" s="54"/>
      <x:c r="AI6" s="54"/>
      <x:c r="AJ6" s="53" t="str">
        <x:v>착수 전</x:v>
      </x:c>
    </x:row>
    <x:row r="7" ht="42" customHeight="1">
      <x:c r="A7" s="36" t="str">
        <x:v>QAR-006</x:v>
      </x:c>
      <x:c r="B7" s="36" t="str">
        <x:v>QA·릴리스·운영</x:v>
      </x:c>
      <x:c r="C7" s="36" t="str">
        <x:v>보안 QA</x:v>
      </x:c>
      <x:c r="D7" s="36" t="str">
        <x:v>정보 유출</x:v>
      </x:c>
      <x:c r="E7" s="36" t="str">
        <x:v>비공개 정보 유출 시험</x:v>
      </x:c>
      <x:c r="F7" s="36" t="str">
        <x:v>게임 규칙, 운영 요구사항과 대상 플랫폼 제약을 충족하도록 비공개 정보 유출 시험 기능을 구현하고 검증한다.</x:v>
      </x:c>
      <x:c r="G7" s="36" t="str">
        <x:v>본인 등 메모, 실제 작성자, 위조 여부, 다른 플레이어 역할, 중간 투표 결과, 비밀 음성이 네트워크, 로그, UI, 재접속, 크래시 덤프에서 노출되지 않는다.</x:v>
      </x:c>
      <x:c r="H7" s="36" t="str">
        <x:v>구현, 코드 리뷰, 사양 갱신, 대상 QA 케이스 실행, 로그·텔레메트리 확인과 관련 플랫폼 검증을 완료하고 미해결 P0·P1 결함이 없다.</x:v>
      </x:c>
      <x:c r="I7" s="36" t="str">
        <x:v>알파</x:v>
      </x:c>
      <x:c r="J7" s="36" t="str">
        <x:v>P0</x:v>
      </x:c>
      <x:c r="K7" s="36" t="str">
        <x:v>필수</x:v>
      </x:c>
      <x:c r="L7" s="36" t="str">
        <x:v>정보 비공개</x:v>
      </x:c>
      <x:c r="M7" s="36" t="str">
        <x:v>알파</x:v>
      </x:c>
      <x:c r="N7" s="36" t="str">
        <x:v>QA·릴리스 관리</x:v>
      </x:c>
      <x:c r="O7" s="36" t="str">
        <x:v>미정</x:v>
      </x:c>
      <x:c r="P7" s="36" t="str">
        <x:v>미정</x:v>
      </x:c>
      <x:c r="Q7" s="36" t="str">
        <x:v>전체</x:v>
      </x:c>
      <x:c r="R7" s="36" t="str">
        <x:v>해당 없음</x:v>
      </x:c>
      <x:c r="S7" s="36" t="str">
        <x:v>감사 로그</x:v>
      </x:c>
      <x:c r="T7" s="36" t="str">
        <x:v>XL</x:v>
      </x:c>
      <x:c r="U7" s="36" t="str">
        <x:v>미착수</x:v>
      </x:c>
      <x:c r="V7" s="46" t="n">
        <x:f>IF(U7="완료",1,IF(U7="QA 진행 중",0.8,IF(U7="코드 리뷰",0.65,IF(U7="구현 중",0.4,IF(U7="사양 확인 중",0.1,IF(U7="차단",0.4,0))))))</x:f>
        <x:v>0</x:v>
      </x:c>
      <x:c r="W7" s="36" t="str">
        <x:v>미정</x:v>
      </x:c>
      <x:c r="X7" s="44"/>
      <x:c r="Y7" s="36" t="str">
        <x:v>NET-017,NET-018,BED-023,AUD-020</x:v>
      </x:c>
      <x:c r="Z7" s="36" t="str">
        <x:v>중간</x:v>
      </x:c>
      <x:c r="AA7" s="36" t="str">
        <x:v>보안</x:v>
      </x:c>
      <x:c r="AB7" s="36" t="str">
        <x:v>TC-QAR-006-01, TC-QAR-006-02</x:v>
      </x:c>
      <x:c r="AC7" s="36"/>
      <x:c r="AD7" s="36" t="str">
        <x:v>게임 기획서</x:v>
      </x:c>
      <x:c r="AE7" s="36"/>
      <x:c r="AF7" s="44" t="str">
        <x:v>2026-07-10</x:v>
      </x:c>
      <x:c r="AG7" s="36"/>
      <x:c r="AH7" s="54"/>
      <x:c r="AI7" s="54"/>
      <x:c r="AJ7" s="53" t="str">
        <x:v>착수 전</x:v>
      </x:c>
    </x:row>
    <x:row r="8" ht="42" customHeight="1">
      <x:c r="A8" s="36" t="str">
        <x:v>QAR-007</x:v>
      </x:c>
      <x:c r="B8" s="36" t="str">
        <x:v>QA·릴리스·운영</x:v>
      </x:c>
      <x:c r="C8" s="36" t="str">
        <x:v>네트워크 QA</x:v>
      </x:c>
      <x:c r="D8" s="36" t="str">
        <x:v>조건 매트릭스</x:v>
      </x:c>
      <x:c r="E8" s="36" t="str">
        <x:v>지연·손실·지터·단시간 단절 시험 매트릭스</x:v>
      </x:c>
      <x:c r="F8" s="36" t="str">
        <x:v>게임 규칙, 운영 요구사항과 대상 플랫폼 제약을 충족하도록 지연·손실·지터·단시간 단절 시험 매트릭스 기능을 구현하고 검증한다.</x:v>
      </x:c>
      <x:c r="G8" s="36" t="str">
        <x:v>정의된 네트워크 프로파일에서 페이즈, 메모, 미니게임, 투표, 음성을 반복하고 중복, 누락, 상태 분기, 조작 불능이 없는지 검증한다.</x:v>
      </x:c>
      <x:c r="H8" s="36" t="str">
        <x:v>구현, 코드 리뷰, 사양 갱신, 대상 QA 케이스 실행, 로그·텔레메트리 확인과 관련 플랫폼 검증을 완료하고 미해결 P0·P1 결함이 없다.</x:v>
      </x:c>
      <x:c r="I8" s="36" t="str">
        <x:v>알파</x:v>
      </x:c>
      <x:c r="J8" s="36" t="str">
        <x:v>P0</x:v>
      </x:c>
      <x:c r="K8" s="36" t="str">
        <x:v>필수</x:v>
      </x:c>
      <x:c r="L8" s="36" t="str">
        <x:v>네트워크</x:v>
      </x:c>
      <x:c r="M8" s="36" t="str">
        <x:v>알파</x:v>
      </x:c>
      <x:c r="N8" s="36" t="str">
        <x:v>QA·릴리스 관리</x:v>
      </x:c>
      <x:c r="O8" s="36" t="str">
        <x:v>미정</x:v>
      </x:c>
      <x:c r="P8" s="36" t="str">
        <x:v>미정</x:v>
      </x:c>
      <x:c r="Q8" s="36" t="str">
        <x:v>전체</x:v>
      </x:c>
      <x:c r="R8" s="36" t="str">
        <x:v>해당 없음</x:v>
      </x:c>
      <x:c r="S8" s="36" t="str">
        <x:v>감사 로그</x:v>
      </x:c>
      <x:c r="T8" s="36" t="str">
        <x:v>XL</x:v>
      </x:c>
      <x:c r="U8" s="36" t="str">
        <x:v>미착수</x:v>
      </x:c>
      <x:c r="V8" s="46" t="n">
        <x:f>IF(U8="완료",1,IF(U8="QA 진행 중",0.8,IF(U8="코드 리뷰",0.65,IF(U8="구현 중",0.4,IF(U8="사양 확인 중",0.1,IF(U8="차단",0.4,0))))))</x:f>
        <x:v>0</x:v>
      </x:c>
      <x:c r="W8" s="36" t="str">
        <x:v>미정</x:v>
      </x:c>
      <x:c r="X8" s="44"/>
      <x:c r="Y8" s="36" t="str">
        <x:v>NET-024</x:v>
      </x:c>
      <x:c r="Z8" s="36" t="str">
        <x:v>중간</x:v>
      </x:c>
      <x:c r="AA8" s="36" t="str">
        <x:v>네트워크</x:v>
      </x:c>
      <x:c r="AB8" s="36" t="str">
        <x:v>TC-QAR-007-01, TC-QAR-007-02</x:v>
      </x:c>
      <x:c r="AC8" s="36"/>
      <x:c r="AD8" s="36" t="str">
        <x:v>게임 기획서</x:v>
      </x:c>
      <x:c r="AE8" s="36"/>
      <x:c r="AF8" s="44" t="str">
        <x:v>2026-07-10</x:v>
      </x:c>
      <x:c r="AG8" s="36"/>
      <x:c r="AH8" s="54"/>
      <x:c r="AI8" s="54"/>
      <x:c r="AJ8" s="53" t="str">
        <x:v>착수 전</x:v>
      </x:c>
    </x:row>
    <x:row r="9" ht="42" customHeight="1">
      <x:c r="A9" s="36" t="str">
        <x:v>QAR-008</x:v>
      </x:c>
      <x:c r="B9" s="36" t="str">
        <x:v>QA·릴리스·운영</x:v>
      </x:c>
      <x:c r="C9" s="36" t="str">
        <x:v>네트워크 QA</x:v>
      </x:c>
      <x:c r="D9" s="36" t="str">
        <x:v>재접속</x:v>
      </x:c>
      <x:c r="E9" s="36" t="str">
        <x:v>모든 페이즈 재접속 시험</x:v>
      </x:c>
      <x:c r="F9" s="36" t="str">
        <x:v>게임 규칙, 운영 요구사항과 대상 플랫폼 제약을 충족하도록 모든 페이즈 재접속 시험 기능을 구현하고 검증한다.</x:v>
      </x:c>
      <x:c r="G9" s="36" t="str">
        <x:v>로비, 역할 공개, 낮 부착 중, 밤 관찰, 투표 완료, 최종 발언, 결과 저장 중에 연결을 끊고 복귀해 상태와 비공개 정보가 정확히 복원되는지 확인한다.</x:v>
      </x:c>
      <x:c r="H9" s="36" t="str">
        <x:v>구현, 코드 리뷰, 사양 갱신, 대상 QA 케이스 실행, 로그·텔레메트리 확인과 관련 플랫폼 검증을 완료하고 미해결 P0·P1 결함이 없다.</x:v>
      </x:c>
      <x:c r="I9" s="36" t="str">
        <x:v>알파</x:v>
      </x:c>
      <x:c r="J9" s="36" t="str">
        <x:v>P0</x:v>
      </x:c>
      <x:c r="K9" s="36" t="str">
        <x:v>필수</x:v>
      </x:c>
      <x:c r="L9" s="36" t="str">
        <x:v>안정성</x:v>
      </x:c>
      <x:c r="M9" s="36" t="str">
        <x:v>알파</x:v>
      </x:c>
      <x:c r="N9" s="36" t="str">
        <x:v>QA·릴리스 관리</x:v>
      </x:c>
      <x:c r="O9" s="36" t="str">
        <x:v>미정</x:v>
      </x:c>
      <x:c r="P9" s="36" t="str">
        <x:v>미정</x:v>
      </x:c>
      <x:c r="Q9" s="36" t="str">
        <x:v>전체</x:v>
      </x:c>
      <x:c r="R9" s="36" t="str">
        <x:v>해당 없음</x:v>
      </x:c>
      <x:c r="S9" s="36" t="str">
        <x:v>감사 로그</x:v>
      </x:c>
      <x:c r="T9" s="36" t="str">
        <x:v>XL</x:v>
      </x:c>
      <x:c r="U9" s="36" t="str">
        <x:v>미착수</x:v>
      </x:c>
      <x:c r="V9" s="46" t="n">
        <x:f>IF(U9="완료",1,IF(U9="QA 진행 중",0.8,IF(U9="코드 리뷰",0.65,IF(U9="구현 중",0.4,IF(U9="사양 확인 중",0.1,IF(U9="차단",0.4,0))))))</x:f>
        <x:v>0</x:v>
      </x:c>
      <x:c r="W9" s="36" t="str">
        <x:v>미정</x:v>
      </x:c>
      <x:c r="X9" s="44"/>
      <x:c r="Y9" s="36" t="str">
        <x:v>IGM-033,ONL-017,NET-019</x:v>
      </x:c>
      <x:c r="Z9" s="36" t="str">
        <x:v>중간</x:v>
      </x:c>
      <x:c r="AA9" s="36" t="str">
        <x:v>네트워크</x:v>
      </x:c>
      <x:c r="AB9" s="36" t="str">
        <x:v>TC-QAR-008-01, TC-QAR-008-02</x:v>
      </x:c>
      <x:c r="AC9" s="36"/>
      <x:c r="AD9" s="36" t="str">
        <x:v>게임 기획서</x:v>
      </x:c>
      <x:c r="AE9" s="36"/>
      <x:c r="AF9" s="44" t="str">
        <x:v>2026-07-10</x:v>
      </x:c>
      <x:c r="AG9" s="36"/>
      <x:c r="AH9" s="54"/>
      <x:c r="AI9" s="54"/>
      <x:c r="AJ9" s="53" t="str">
        <x:v>착수 전</x:v>
      </x:c>
    </x:row>
    <x:row r="10" ht="42" customHeight="1">
      <x:c r="A10" s="36" t="str">
        <x:v>QAR-009</x:v>
      </x:c>
      <x:c r="B10" s="36" t="str">
        <x:v>QA·릴리스·운영</x:v>
      </x:c>
      <x:c r="C10" s="36" t="str">
        <x:v>UX QA</x:v>
      </x:c>
      <x:c r="D10" s="36" t="str">
        <x:v>화면 범위</x:v>
      </x:c>
      <x:c r="E10" s="36" t="str">
        <x:v>전체 화면·입력·해상도 UI 시험</x:v>
      </x:c>
      <x:c r="F10" s="36" t="str">
        <x:v>게임 규칙, 운영 요구사항과 대상 플랫폼 제약을 충족하도록 전체 화면·입력·해상도 UI 시험 기능을 구현하고 검증한다.</x:v>
      </x:c>
      <x:c r="G10" s="36" t="str">
        <x:v>키보드·마우스, 게임패드, 16:9·16:10·21:9, 세이프 영역, 최소·최대 텍스트 배율에서 주요 화면이 잘리지 않고 조작 가능하다.</x:v>
      </x:c>
      <x:c r="H10" s="36" t="str">
        <x:v>구현, 코드 리뷰, 사양 갱신, 대상 QA 케이스 실행, 로그·텔레메트리 확인과 관련 플랫폼 검증을 완료하고 미해결 P0·P1 결함이 없다.</x:v>
      </x:c>
      <x:c r="I10" s="36" t="str">
        <x:v>베타</x:v>
      </x:c>
      <x:c r="J10" s="36" t="str">
        <x:v>P0</x:v>
      </x:c>
      <x:c r="K10" s="36" t="str">
        <x:v>필수</x:v>
      </x:c>
      <x:c r="L10" s="36" t="str">
        <x:v>UX</x:v>
      </x:c>
      <x:c r="M10" s="36" t="str">
        <x:v>베타</x:v>
      </x:c>
      <x:c r="N10" s="36" t="str">
        <x:v>QA·릴리스 관리</x:v>
      </x:c>
      <x:c r="O10" s="36" t="str">
        <x:v>미정</x:v>
      </x:c>
      <x:c r="P10" s="36" t="str">
        <x:v>미정</x:v>
      </x:c>
      <x:c r="Q10" s="36" t="str">
        <x:v>전체</x:v>
      </x:c>
      <x:c r="R10" s="36" t="str">
        <x:v>해당 없음</x:v>
      </x:c>
      <x:c r="S10" s="36" t="str">
        <x:v>감사 로그</x:v>
      </x:c>
      <x:c r="T10" s="36" t="str">
        <x:v>XL</x:v>
      </x:c>
      <x:c r="U10" s="36" t="str">
        <x:v>미착수</x:v>
      </x:c>
      <x:c r="V10" s="46" t="n">
        <x:f>IF(U10="완료",1,IF(U10="QA 진행 중",0.8,IF(U10="코드 리뷰",0.65,IF(U10="구현 중",0.4,IF(U10="사양 확인 중",0.1,IF(U10="차단",0.4,0))))))</x:f>
        <x:v>0</x:v>
      </x:c>
      <x:c r="W10" s="36" t="str">
        <x:v>미정</x:v>
      </x:c>
      <x:c r="X10" s="44"/>
      <x:c r="Y10" s="36" t="str">
        <x:v>UIX-029,SET-006</x:v>
      </x:c>
      <x:c r="Z10" s="36" t="str">
        <x:v>중간</x:v>
      </x:c>
      <x:c r="AA10" s="36" t="str">
        <x:v>호환성</x:v>
      </x:c>
      <x:c r="AB10" s="36" t="str">
        <x:v>TC-QAR-009-01, TC-QAR-009-02</x:v>
      </x:c>
      <x:c r="AC10" s="36"/>
      <x:c r="AD10" s="36" t="str">
        <x:v>게임 기획서</x:v>
      </x:c>
      <x:c r="AE10" s="36"/>
      <x:c r="AF10" s="44" t="str">
        <x:v>2026-07-10</x:v>
      </x:c>
      <x:c r="AG10" s="36"/>
      <x:c r="AH10" s="54"/>
      <x:c r="AI10" s="54"/>
      <x:c r="AJ10" s="53" t="str">
        <x:v>착수 전</x:v>
      </x:c>
    </x:row>
    <x:row r="11" ht="42" customHeight="1">
      <x:c r="A11" s="36" t="str">
        <x:v>QAR-010</x:v>
      </x:c>
      <x:c r="B11" s="36" t="str">
        <x:v>QA·릴리스·운영</x:v>
      </x:c>
      <x:c r="C11" s="36" t="str">
        <x:v>접근성 QA</x:v>
      </x:c>
      <x:c r="D11" s="36" t="str">
        <x:v>접근성</x:v>
      </x:c>
      <x:c r="E11" s="36" t="str">
        <x:v>색각·자막·텍스트·저자극·입력 대체 시험</x:v>
      </x:c>
      <x:c r="F11" s="36" t="str">
        <x:v>게임 규칙, 운영 요구사항과 대상 플랫폼 제약을 충족하도록 색각·자막·텍스트·저자극·입력 대체 시험 기능을 구현하고 검증한다.</x:v>
      </x:c>
      <x:c r="G11" s="36" t="str">
        <x:v>중요 정보가 색상이나 소리에만 의존하지 않고 텍스트 배율, 자막, 패턴, 길게 누르기 대체, 저자극 설정이 주요 흐름에서 작동한다.</x:v>
      </x:c>
      <x:c r="H11" s="36" t="str">
        <x:v>구현, 코드 리뷰, 사양 갱신, 대상 QA 케이스 실행, 로그·텔레메트리 확인과 관련 플랫폼 검증을 완료하고 미해결 P0·P1 결함이 없다.</x:v>
      </x:c>
      <x:c r="I11" s="36" t="str">
        <x:v>베타</x:v>
      </x:c>
      <x:c r="J11" s="36" t="str">
        <x:v>P0</x:v>
      </x:c>
      <x:c r="K11" s="36" t="str">
        <x:v>필수</x:v>
      </x:c>
      <x:c r="L11" s="36" t="str">
        <x:v>접근성</x:v>
      </x:c>
      <x:c r="M11" s="36" t="str">
        <x:v>베타</x:v>
      </x:c>
      <x:c r="N11" s="36" t="str">
        <x:v>QA·릴리스 관리</x:v>
      </x:c>
      <x:c r="O11" s="36" t="str">
        <x:v>미정</x:v>
      </x:c>
      <x:c r="P11" s="36" t="str">
        <x:v>미정</x:v>
      </x:c>
      <x:c r="Q11" s="36" t="str">
        <x:v>전체</x:v>
      </x:c>
      <x:c r="R11" s="36" t="str">
        <x:v>해당 없음</x:v>
      </x:c>
      <x:c r="S11" s="36" t="str">
        <x:v>감사 로그</x:v>
      </x:c>
      <x:c r="T11" s="36" t="str">
        <x:v>XL</x:v>
      </x:c>
      <x:c r="U11" s="36" t="str">
        <x:v>미착수</x:v>
      </x:c>
      <x:c r="V11" s="46" t="n">
        <x:f>IF(U11="완료",1,IF(U11="QA 진행 중",0.8,IF(U11="코드 리뷰",0.65,IF(U11="구현 중",0.4,IF(U11="사양 확인 중",0.1,IF(U11="차단",0.4,0))))))</x:f>
        <x:v>0</x:v>
      </x:c>
      <x:c r="W11" s="36" t="str">
        <x:v>미정</x:v>
      </x:c>
      <x:c r="X11" s="44"/>
      <x:c r="Y11" s="36" t="str">
        <x:v>SET-023,SET-024,SET-025,UIX-028,AUD-015</x:v>
      </x:c>
      <x:c r="Z11" s="36" t="str">
        <x:v>중간</x:v>
      </x:c>
      <x:c r="AA11" s="36" t="str">
        <x:v>접근성</x:v>
      </x:c>
      <x:c r="AB11" s="36" t="str">
        <x:v>TC-QAR-010-01, TC-QAR-010-02</x:v>
      </x:c>
      <x:c r="AC11" s="36"/>
      <x:c r="AD11" s="36" t="str">
        <x:v>게임 기획서</x:v>
      </x:c>
      <x:c r="AE11" s="36"/>
      <x:c r="AF11" s="44" t="str">
        <x:v>2026-07-10</x:v>
      </x:c>
      <x:c r="AG11" s="36"/>
      <x:c r="AH11" s="54"/>
      <x:c r="AI11" s="54"/>
      <x:c r="AJ11" s="53" t="str">
        <x:v>착수 전</x:v>
      </x:c>
    </x:row>
    <x:row r="12" ht="42" customHeight="1">
      <x:c r="A12" s="36" t="str">
        <x:v>QAR-011</x:v>
      </x:c>
      <x:c r="B12" s="36" t="str">
        <x:v>QA·릴리스·운영</x:v>
      </x:c>
      <x:c r="C12" s="36" t="str">
        <x:v>현지화 QA</x:v>
      </x:c>
      <x:c r="D12" s="36" t="str">
        <x:v>현지화</x:v>
      </x:c>
      <x:c r="E12" s="36" t="str">
        <x:v>한국어·영어·의사 현지화 검증</x:v>
      </x:c>
      <x:c r="F12" s="36" t="str">
        <x:v>게임 규칙, 운영 요구사항과 대상 플랫폼 제약을 충족하도록 한국어·영어·의사 현지화 검증 기능을 구현하고 검증한다.</x:v>
      </x:c>
      <x:c r="G12" s="36" t="str">
        <x:v>누락 키, 문자 깨짐, 잘림, 줄바꿈, 문맥, 입력 아이콘, 금지 문자, 가변 길이, 음성·자막 동기화를 검증한다.</x:v>
      </x:c>
      <x:c r="H12" s="36" t="str">
        <x:v>구현, 코드 리뷰, 사양 갱신, 대상 QA 케이스 실행, 로그·텔레메트리 확인과 관련 플랫폼 검증을 완료하고 미해결 P0·P1 결함이 없다.</x:v>
      </x:c>
      <x:c r="I12" s="36" t="str">
        <x:v>베타</x:v>
      </x:c>
      <x:c r="J12" s="36" t="str">
        <x:v>P1</x:v>
      </x:c>
      <x:c r="K12" s="36" t="str">
        <x:v>필수</x:v>
      </x:c>
      <x:c r="L12" s="36" t="str">
        <x:v>현지화</x:v>
      </x:c>
      <x:c r="M12" s="36" t="str">
        <x:v>베타</x:v>
      </x:c>
      <x:c r="N12" s="36" t="str">
        <x:v>QA·릴리스 관리</x:v>
      </x:c>
      <x:c r="O12" s="36" t="str">
        <x:v>미정</x:v>
      </x:c>
      <x:c r="P12" s="36" t="str">
        <x:v>미정</x:v>
      </x:c>
      <x:c r="Q12" s="36" t="str">
        <x:v>전체</x:v>
      </x:c>
      <x:c r="R12" s="36" t="str">
        <x:v>해당 없음</x:v>
      </x:c>
      <x:c r="S12" s="36" t="str">
        <x:v>감사 로그</x:v>
      </x:c>
      <x:c r="T12" s="36" t="str">
        <x:v>L</x:v>
      </x:c>
      <x:c r="U12" s="36" t="str">
        <x:v>미착수</x:v>
      </x:c>
      <x:c r="V12" s="46" t="n">
        <x:f>IF(U12="완료",1,IF(U12="QA 진행 중",0.8,IF(U12="코드 리뷰",0.65,IF(U12="구현 중",0.4,IF(U12="사양 확인 중",0.1,IF(U12="차단",0.4,0))))))</x:f>
        <x:v>0</x:v>
      </x:c>
      <x:c r="W12" s="36" t="str">
        <x:v>미정</x:v>
      </x:c>
      <x:c r="X12" s="44"/>
      <x:c r="Y12" s="36" t="str">
        <x:v>SET-004,UIX-029,CNT-032,AUD-021</x:v>
      </x:c>
      <x:c r="Z12" s="36" t="str">
        <x:v>중간</x:v>
      </x:c>
      <x:c r="AA12" s="36" t="str">
        <x:v>현지화</x:v>
      </x:c>
      <x:c r="AB12" s="36" t="str">
        <x:v>TC-QAR-011-01</x:v>
      </x:c>
      <x:c r="AC12" s="36"/>
      <x:c r="AD12" s="36" t="str">
        <x:v>게임 기획서</x:v>
      </x:c>
      <x:c r="AE12" s="36"/>
      <x:c r="AF12" s="44" t="str">
        <x:v>2026-07-10</x:v>
      </x:c>
      <x:c r="AG12" s="36"/>
      <x:c r="AH12" s="54"/>
      <x:c r="AI12" s="54"/>
      <x:c r="AJ12" s="53" t="str">
        <x:v>착수 전</x:v>
      </x:c>
    </x:row>
    <x:row r="13" ht="42" customHeight="1">
      <x:c r="A13" s="36" t="str">
        <x:v>QAR-012</x:v>
      </x:c>
      <x:c r="B13" s="36" t="str">
        <x:v>QA·릴리스·운영</x:v>
      </x:c>
      <x:c r="C13" s="36" t="str">
        <x:v>음성 QA</x:v>
      </x:c>
      <x:c r="D13" s="36" t="str">
        <x:v>음성 채팅</x:v>
      </x:c>
      <x:c r="E13" s="36" t="str">
        <x:v>근거리·차폐·밤 음소거·최종 발언 음성 시험</x:v>
      </x:c>
      <x:c r="F13" s="36" t="str">
        <x:v>게임 규칙, 운영 요구사항과 대상 플랫폼 제약을 충족하도록 근거리·차폐·밤 음소거·최종 발언 음성 시험 기능을 구현하고 검증한다.</x:v>
      </x:c>
      <x:c r="G13" s="36" t="str">
        <x:v>거리, 벽, 장치 전환, PTT·VAD, 음소거, 차단, 밤, 최종 발언, 재접속, 크로스플레이를 실제 기기에서 검증한다.</x:v>
      </x:c>
      <x:c r="H13" s="36" t="str">
        <x:v>구현, 코드 리뷰, 사양 갱신, 대상 QA 케이스 실행, 로그·텔레메트리 확인과 관련 플랫폼 검증을 완료하고 미해결 P0·P1 결함이 없다.</x:v>
      </x:c>
      <x:c r="I13" s="36" t="str">
        <x:v>베타</x:v>
      </x:c>
      <x:c r="J13" s="36" t="str">
        <x:v>P0</x:v>
      </x:c>
      <x:c r="K13" s="36" t="str">
        <x:v>필수</x:v>
      </x:c>
      <x:c r="L13" s="36" t="str">
        <x:v>음성</x:v>
      </x:c>
      <x:c r="M13" s="36" t="str">
        <x:v>베타</x:v>
      </x:c>
      <x:c r="N13" s="36" t="str">
        <x:v>QA·릴리스 관리</x:v>
      </x:c>
      <x:c r="O13" s="36" t="str">
        <x:v>미정</x:v>
      </x:c>
      <x:c r="P13" s="36" t="str">
        <x:v>미정</x:v>
      </x:c>
      <x:c r="Q13" s="36" t="str">
        <x:v>전체</x:v>
      </x:c>
      <x:c r="R13" s="36" t="str">
        <x:v>해당 없음</x:v>
      </x:c>
      <x:c r="S13" s="36" t="str">
        <x:v>감사 로그</x:v>
      </x:c>
      <x:c r="T13" s="36" t="str">
        <x:v>XL</x:v>
      </x:c>
      <x:c r="U13" s="36" t="str">
        <x:v>미착수</x:v>
      </x:c>
      <x:c r="V13" s="46" t="n">
        <x:f>IF(U13="완료",1,IF(U13="QA 진행 중",0.8,IF(U13="코드 리뷰",0.65,IF(U13="구현 중",0.4,IF(U13="사양 확인 중",0.1,IF(U13="차단",0.4,0))))))</x:f>
        <x:v>0</x:v>
      </x:c>
      <x:c r="W13" s="36" t="str">
        <x:v>미정</x:v>
      </x:c>
      <x:c r="X13" s="44"/>
      <x:c r="Y13" s="36" t="str">
        <x:v>AUD-004,AUD-006,AUD-008,AUD-023</x:v>
      </x:c>
      <x:c r="Z13" s="36" t="str">
        <x:v>중간</x:v>
      </x:c>
      <x:c r="AA13" s="36" t="str">
        <x:v>호환성</x:v>
      </x:c>
      <x:c r="AB13" s="36" t="str">
        <x:v>TC-QAR-012-01, TC-QAR-012-02</x:v>
      </x:c>
      <x:c r="AC13" s="36"/>
      <x:c r="AD13" s="36" t="str">
        <x:v>게임 기획서</x:v>
      </x:c>
      <x:c r="AE13" s="36"/>
      <x:c r="AF13" s="44" t="str">
        <x:v>2026-07-10</x:v>
      </x:c>
      <x:c r="AG13" s="36"/>
      <x:c r="AH13" s="54"/>
      <x:c r="AI13" s="54"/>
      <x:c r="AJ13" s="53" t="str">
        <x:v>착수 전</x:v>
      </x:c>
    </x:row>
    <x:row r="14" ht="42" customHeight="1">
      <x:c r="A14" s="36" t="str">
        <x:v>QAR-013</x:v>
      </x:c>
      <x:c r="B14" s="36" t="str">
        <x:v>QA·릴리스·운영</x:v>
      </x:c>
      <x:c r="C14" s="36" t="str">
        <x:v>성능 QA</x:v>
      </x:c>
      <x:c r="D14" s="36" t="str">
        <x:v>클라이언트</x:v>
      </x:c>
      <x:c r="E14" s="36" t="str">
        <x:v>클라이언트 성능·메모리·발열·로딩 시험</x:v>
      </x:c>
      <x:c r="F14" s="36" t="str">
        <x:v>게임 규칙, 운영 요구사항과 대상 플랫폼 제약을 충족하도록 클라이언트 성능·메모리·발열·로딩 시험 기능을 구현하고 검증한다.</x:v>
      </x:c>
      <x:c r="G14" s="36" t="str">
        <x:v>6명, 최대 메모, 전체 LED·음성·미니게임의 최악 조건에서 목표 FPS, 프레임 시간, 메모리, 로딩, 발열·전력 기준을 충족한다.</x:v>
      </x:c>
      <x:c r="H14" s="36" t="str">
        <x:v>구현, 코드 리뷰, 사양 갱신, 대상 QA 케이스 실행, 로그·텔레메트리 확인과 관련 플랫폼 검증을 완료하고 미해결 P0·P1 결함이 없다.</x:v>
      </x:c>
      <x:c r="I14" s="36" t="str">
        <x:v>릴리스 후보</x:v>
      </x:c>
      <x:c r="J14" s="36" t="str">
        <x:v>P0</x:v>
      </x:c>
      <x:c r="K14" s="36" t="str">
        <x:v>필수</x:v>
      </x:c>
      <x:c r="L14" s="36" t="str">
        <x:v>성능</x:v>
      </x:c>
      <x:c r="M14" s="36" t="str">
        <x:v>릴리스 후보</x:v>
      </x:c>
      <x:c r="N14" s="36" t="str">
        <x:v>QA·릴리스 관리</x:v>
      </x:c>
      <x:c r="O14" s="36" t="str">
        <x:v>미정</x:v>
      </x:c>
      <x:c r="P14" s="36" t="str">
        <x:v>미정</x:v>
      </x:c>
      <x:c r="Q14" s="36" t="str">
        <x:v>전체</x:v>
      </x:c>
      <x:c r="R14" s="36" t="str">
        <x:v>해당 없음</x:v>
      </x:c>
      <x:c r="S14" s="36" t="str">
        <x:v>감사 로그</x:v>
      </x:c>
      <x:c r="T14" s="36" t="str">
        <x:v>XL</x:v>
      </x:c>
      <x:c r="U14" s="36" t="str">
        <x:v>미착수</x:v>
      </x:c>
      <x:c r="V14" s="46" t="n">
        <x:f>IF(U14="완료",1,IF(U14="QA 진행 중",0.8,IF(U14="코드 리뷰",0.65,IF(U14="구현 중",0.4,IF(U14="사양 확인 중",0.1,IF(U14="차단",0.4,0))))))</x:f>
        <x:v>0</x:v>
      </x:c>
      <x:c r="W14" s="36" t="str">
        <x:v>미정</x:v>
      </x:c>
      <x:c r="X14" s="44"/>
      <x:c r="Y14" s="36" t="str">
        <x:v>CHR-027,CNT-014,AUD-022</x:v>
      </x:c>
      <x:c r="Z14" s="36" t="str">
        <x:v>중간</x:v>
      </x:c>
      <x:c r="AA14" s="36" t="str">
        <x:v>성능</x:v>
      </x:c>
      <x:c r="AB14" s="36" t="str">
        <x:v>TC-QAR-013-01, TC-QAR-013-02</x:v>
      </x:c>
      <x:c r="AC14" s="36"/>
      <x:c r="AD14" s="36" t="str">
        <x:v>게임 기획서</x:v>
      </x:c>
      <x:c r="AE14" s="36"/>
      <x:c r="AF14" s="44" t="str">
        <x:v>2026-07-10</x:v>
      </x:c>
      <x:c r="AG14" s="36"/>
      <x:c r="AH14" s="54"/>
      <x:c r="AI14" s="54"/>
      <x:c r="AJ14" s="53" t="str">
        <x:v>착수 전</x:v>
      </x:c>
    </x:row>
    <x:row r="15" ht="42" customHeight="1">
      <x:c r="A15" s="36" t="str">
        <x:v>QAR-014</x:v>
      </x:c>
      <x:c r="B15" s="36" t="str">
        <x:v>QA·릴리스·운영</x:v>
      </x:c>
      <x:c r="C15" s="36" t="str">
        <x:v>성능 QA</x:v>
      </x:c>
      <x:c r="D15" s="36" t="str">
        <x:v>서버</x:v>
      </x:c>
      <x:c r="E15" s="36" t="str">
        <x:v>서버 틱·CPU·메모리·대역폭 시험</x:v>
      </x:c>
      <x:c r="F15" s="36" t="str">
        <x:v>게임 규칙, 운영 요구사항과 대상 플랫폼 제약을 충족하도록 서버 틱·CPU·메모리·대역폭 시험 기능을 구현하고 검증한다.</x:v>
      </x:c>
      <x:c r="G15" s="36" t="str">
        <x:v>목표 동시 세션에서 틱 지연, CPU, 메모리, 대역폭, GC, 오류율이 기준 안에 들어오고 단계별 포화 지점을 기록한다.</x:v>
      </x:c>
      <x:c r="H15" s="36" t="str">
        <x:v>구현, 코드 리뷰, 사양 갱신, 대상 QA 케이스 실행, 로그·텔레메트리 확인과 관련 플랫폼 검증을 완료하고 미해결 P0·P1 결함이 없다.</x:v>
      </x:c>
      <x:c r="I15" s="36" t="str">
        <x:v>릴리스 후보</x:v>
      </x:c>
      <x:c r="J15" s="36" t="str">
        <x:v>P0</x:v>
      </x:c>
      <x:c r="K15" s="36" t="str">
        <x:v>필수</x:v>
      </x:c>
      <x:c r="L15" s="36" t="str">
        <x:v>성능</x:v>
      </x:c>
      <x:c r="M15" s="36" t="str">
        <x:v>릴리스 후보</x:v>
      </x:c>
      <x:c r="N15" s="36" t="str">
        <x:v>QA·릴리스 관리</x:v>
      </x:c>
      <x:c r="O15" s="36" t="str">
        <x:v>미정</x:v>
      </x:c>
      <x:c r="P15" s="36" t="str">
        <x:v>미정</x:v>
      </x:c>
      <x:c r="Q15" s="36" t="str">
        <x:v>서버</x:v>
      </x:c>
      <x:c r="R15" s="36" t="str">
        <x:v>해당 없음</x:v>
      </x:c>
      <x:c r="S15" s="36" t="str">
        <x:v>감사 로그</x:v>
      </x:c>
      <x:c r="T15" s="36" t="str">
        <x:v>XL</x:v>
      </x:c>
      <x:c r="U15" s="36" t="str">
        <x:v>미착수</x:v>
      </x:c>
      <x:c r="V15" s="46" t="n">
        <x:f>IF(U15="완료",1,IF(U15="QA 진행 중",0.8,IF(U15="코드 리뷰",0.65,IF(U15="구현 중",0.4,IF(U15="사양 확인 중",0.1,IF(U15="차단",0.4,0))))))</x:f>
        <x:v>0</x:v>
      </x:c>
      <x:c r="W15" s="36" t="str">
        <x:v>미정</x:v>
      </x:c>
      <x:c r="X15" s="44"/>
      <x:c r="Y15" s="36" t="str">
        <x:v>NET-022,NET-029,BED-019</x:v>
      </x:c>
      <x:c r="Z15" s="36" t="str">
        <x:v>중간</x:v>
      </x:c>
      <x:c r="AA15" s="36" t="str">
        <x:v>성능</x:v>
      </x:c>
      <x:c r="AB15" s="36" t="str">
        <x:v>TC-QAR-014-01, TC-QAR-014-02</x:v>
      </x:c>
      <x:c r="AC15" s="36"/>
      <x:c r="AD15" s="36" t="str">
        <x:v>게임 기획서</x:v>
      </x:c>
      <x:c r="AE15" s="36"/>
      <x:c r="AF15" s="44" t="str">
        <x:v>2026-07-10</x:v>
      </x:c>
      <x:c r="AG15" s="36"/>
      <x:c r="AH15" s="54"/>
      <x:c r="AI15" s="54"/>
      <x:c r="AJ15" s="53" t="str">
        <x:v>착수 전</x:v>
      </x:c>
    </x:row>
    <x:row r="16" ht="42" customHeight="1">
      <x:c r="A16" s="36" t="str">
        <x:v>QAR-015</x:v>
      </x:c>
      <x:c r="B16" s="36" t="str">
        <x:v>QA·릴리스·운영</x:v>
      </x:c>
      <x:c r="C16" s="36" t="str">
        <x:v>호환성 QA</x:v>
      </x:c>
      <x:c r="D16" s="36" t="str">
        <x:v>플랫폼 매트릭스</x:v>
      </x:c>
      <x:c r="E16" s="36" t="str">
        <x:v>OS·GPU·입력·네트워크·플랫폼 호환성</x:v>
      </x:c>
      <x:c r="F16" s="36" t="str">
        <x:v>게임 규칙, 운영 요구사항과 대상 플랫폼 제약을 충족하도록 OS·GPU·입력·네트워크·플랫폼 호환성 기능을 구현하고 검증한다.</x:v>
      </x:c>
      <x:c r="G16" s="36" t="str">
        <x:v>지원 범위의 조합을 위험 기반으로 선정해 실행, 렌더링, 입력, 음성, 온라인, 저장, 초대 기능을 검증한다.</x:v>
      </x:c>
      <x:c r="H16" s="36" t="str">
        <x:v>구현, 코드 리뷰, 사양 갱신, 대상 QA 케이스 실행, 로그·텔레메트리 확인과 관련 플랫폼 검증을 완료하고 미해결 P0·P1 결함이 없다.</x:v>
      </x:c>
      <x:c r="I16" s="36" t="str">
        <x:v>릴리스 후보</x:v>
      </x:c>
      <x:c r="J16" s="36" t="str">
        <x:v>P0</x:v>
      </x:c>
      <x:c r="K16" s="36" t="str">
        <x:v>필수</x:v>
      </x:c>
      <x:c r="L16" s="36" t="str">
        <x:v>호환성</x:v>
      </x:c>
      <x:c r="M16" s="36" t="str">
        <x:v>릴리스 후보</x:v>
      </x:c>
      <x:c r="N16" s="36" t="str">
        <x:v>QA·릴리스 관리</x:v>
      </x:c>
      <x:c r="O16" s="36" t="str">
        <x:v>미정</x:v>
      </x:c>
      <x:c r="P16" s="36" t="str">
        <x:v>미정</x:v>
      </x:c>
      <x:c r="Q16" s="36" t="str">
        <x:v>전체</x:v>
      </x:c>
      <x:c r="R16" s="36" t="str">
        <x:v>해당 없음</x:v>
      </x:c>
      <x:c r="S16" s="36" t="str">
        <x:v>감사 로그</x:v>
      </x:c>
      <x:c r="T16" s="36" t="str">
        <x:v>XL</x:v>
      </x:c>
      <x:c r="U16" s="36" t="str">
        <x:v>미착수</x:v>
      </x:c>
      <x:c r="V16" s="46" t="n">
        <x:f>IF(U16="완료",1,IF(U16="QA 진행 중",0.8,IF(U16="코드 리뷰",0.65,IF(U16="구현 중",0.4,IF(U16="사양 확인 중",0.1,IF(U16="차단",0.4,0))))))</x:f>
        <x:v>0</x:v>
      </x:c>
      <x:c r="W16" s="36" t="str">
        <x:v>미정</x:v>
      </x:c>
      <x:c r="X16" s="44"/>
      <x:c r="Y16" s="36" t="str">
        <x:v>QAR-009,QAR-012,QAR-013</x:v>
      </x:c>
      <x:c r="Z16" s="36" t="str">
        <x:v>중간</x:v>
      </x:c>
      <x:c r="AA16" s="36" t="str">
        <x:v>호환성</x:v>
      </x:c>
      <x:c r="AB16" s="36" t="str">
        <x:v>TC-QAR-015-01, TC-QAR-015-02</x:v>
      </x:c>
      <x:c r="AC16" s="36"/>
      <x:c r="AD16" s="36" t="str">
        <x:v>게임 기획서</x:v>
      </x:c>
      <x:c r="AE16" s="36"/>
      <x:c r="AF16" s="44" t="str">
        <x:v>2026-07-10</x:v>
      </x:c>
      <x:c r="AG16" s="36"/>
      <x:c r="AH16" s="54"/>
      <x:c r="AI16" s="54"/>
      <x:c r="AJ16" s="53" t="str">
        <x:v>착수 전</x:v>
      </x:c>
    </x:row>
    <x:row r="17" ht="42" customHeight="1">
      <x:c r="A17" s="36" t="str">
        <x:v>QAR-016</x:v>
      </x:c>
      <x:c r="B17" s="36" t="str">
        <x:v>QA·릴리스·운영</x:v>
      </x:c>
      <x:c r="C17" s="36" t="str">
        <x:v>신뢰성 QA</x:v>
      </x:c>
      <x:c r="D17" s="36" t="str">
        <x:v>장시간 시험</x:v>
      </x:c>
      <x:c r="E17" s="36" t="str">
        <x:v>장시간 연속 플레이·반복 세션 시험</x:v>
      </x:c>
      <x:c r="F17" s="36" t="str">
        <x:v>게임 규칙, 운영 요구사항과 대상 플랫폼 제약을 충족하도록 장시간 연속 플레이·반복 세션 시험 기능을 구현하고 검증한다.</x:v>
      </x:c>
      <x:c r="G17" s="36" t="str">
        <x:v>연속 100매치 상당 또는 24시간 동안 메모리 증가, 상태 교차, 보상 중복, 세션 잔류, 크래시가 허용 기준 안에 들어온다.</x:v>
      </x:c>
      <x:c r="H17" s="36" t="str">
        <x:v>구현, 코드 리뷰, 사양 갱신, 대상 QA 케이스 실행, 로그·텔레메트리 확인과 관련 플랫폼 검증을 완료하고 미해결 P0·P1 결함이 없다.</x:v>
      </x:c>
      <x:c r="I17" s="36" t="str">
        <x:v>릴리스 후보</x:v>
      </x:c>
      <x:c r="J17" s="36" t="str">
        <x:v>P0</x:v>
      </x:c>
      <x:c r="K17" s="36" t="str">
        <x:v>필수</x:v>
      </x:c>
      <x:c r="L17" s="36" t="str">
        <x:v>안정성</x:v>
      </x:c>
      <x:c r="M17" s="36" t="str">
        <x:v>릴리스 후보</x:v>
      </x:c>
      <x:c r="N17" s="36" t="str">
        <x:v>QA·릴리스 관리</x:v>
      </x:c>
      <x:c r="O17" s="36" t="str">
        <x:v>미정</x:v>
      </x:c>
      <x:c r="P17" s="36" t="str">
        <x:v>미정</x:v>
      </x:c>
      <x:c r="Q17" s="36" t="str">
        <x:v>전체</x:v>
      </x:c>
      <x:c r="R17" s="36" t="str">
        <x:v>해당 없음</x:v>
      </x:c>
      <x:c r="S17" s="36" t="str">
        <x:v>감사 로그</x:v>
      </x:c>
      <x:c r="T17" s="36" t="str">
        <x:v>XL</x:v>
      </x:c>
      <x:c r="U17" s="36" t="str">
        <x:v>미착수</x:v>
      </x:c>
      <x:c r="V17" s="46" t="n">
        <x:f>IF(U17="완료",1,IF(U17="QA 진행 중",0.8,IF(U17="코드 리뷰",0.65,IF(U17="구현 중",0.4,IF(U17="사양 확인 중",0.1,IF(U17="차단",0.4,0))))))</x:f>
        <x:v>0</x:v>
      </x:c>
      <x:c r="W17" s="36" t="str">
        <x:v>미정</x:v>
      </x:c>
      <x:c r="X17" s="44"/>
      <x:c r="Y17" s="36" t="str">
        <x:v>QAR-003,NET-029,BED-026</x:v>
      </x:c>
      <x:c r="Z17" s="36" t="str">
        <x:v>중간</x:v>
      </x:c>
      <x:c r="AA17" s="36" t="str">
        <x:v>성능</x:v>
      </x:c>
      <x:c r="AB17" s="36" t="str">
        <x:v>TC-QAR-016-01, TC-QAR-016-02</x:v>
      </x:c>
      <x:c r="AC17" s="36"/>
      <x:c r="AD17" s="36" t="str">
        <x:v>게임 기획서</x:v>
      </x:c>
      <x:c r="AE17" s="36"/>
      <x:c r="AF17" s="44" t="str">
        <x:v>2026-07-10</x:v>
      </x:c>
      <x:c r="AG17" s="36"/>
      <x:c r="AH17" s="54"/>
      <x:c r="AI17" s="54"/>
      <x:c r="AJ17" s="53" t="str">
        <x:v>착수 전</x:v>
      </x:c>
    </x:row>
    <x:row r="18" ht="42" customHeight="1">
      <x:c r="A18" s="36" t="str">
        <x:v>QAR-017</x:v>
      </x:c>
      <x:c r="B18" s="36" t="str">
        <x:v>QA·릴리스·운영</x:v>
      </x:c>
      <x:c r="C18" s="36" t="str">
        <x:v>게임 디자인 QA</x:v>
      </x:c>
      <x:c r="D18" s="36" t="str">
        <x:v>밸런스 계획</x:v>
      </x:c>
      <x:c r="E18" s="36" t="str">
        <x:v>승률·시간·투표·메모 행동 플레이테스트 계획</x:v>
      </x:c>
      <x:c r="F18" s="36" t="str">
        <x:v>게임 규칙, 운영 요구사항과 대상 플랫폼 제약을 충족하도록 승률·시간·투표·메모 행동 플레이테스트 계획 기능을 구현하고 검증한다.</x:v>
      </x:c>
      <x:c r="G18" s="36" t="str">
        <x:v>인원, 숙련도, 설정별 표본 수, 가설, 수집 지표, 관찰 항목, 변경 판단 기준을 정의한다.</x:v>
      </x:c>
      <x:c r="H18" s="36" t="str">
        <x:v>구현, 코드 리뷰, 사양 갱신, 대상 QA 케이스 실행, 로그·텔레메트리 확인과 관련 플랫폼 검증을 완료하고 미해결 P0·P1 결함이 없다.</x:v>
      </x:c>
      <x:c r="I18" s="36" t="str">
        <x:v>알파</x:v>
      </x:c>
      <x:c r="J18" s="36" t="str">
        <x:v>P0</x:v>
      </x:c>
      <x:c r="K18" s="36" t="str">
        <x:v>필수</x:v>
      </x:c>
      <x:c r="L18" s="36" t="str">
        <x:v>밸런스</x:v>
      </x:c>
      <x:c r="M18" s="36" t="str">
        <x:v>알파</x:v>
      </x:c>
      <x:c r="N18" s="36" t="str">
        <x:v>QA·릴리스 관리</x:v>
      </x:c>
      <x:c r="O18" s="36" t="str">
        <x:v>미정</x:v>
      </x:c>
      <x:c r="P18" s="36" t="str">
        <x:v>미정</x:v>
      </x:c>
      <x:c r="Q18" s="36" t="str">
        <x:v>전체</x:v>
      </x:c>
      <x:c r="R18" s="36" t="str">
        <x:v>해당 없음</x:v>
      </x:c>
      <x:c r="S18" s="36" t="str">
        <x:v>백엔드</x:v>
      </x:c>
      <x:c r="T18" s="36" t="str">
        <x:v>L</x:v>
      </x:c>
      <x:c r="U18" s="36" t="str">
        <x:v>미착수</x:v>
      </x:c>
      <x:c r="V18" s="46" t="n">
        <x:f>IF(U18="완료",1,IF(U18="QA 진행 중",0.8,IF(U18="코드 리뷰",0.65,IF(U18="구현 중",0.4,IF(U18="사양 확인 중",0.1,IF(U18="차단",0.4,0))))))</x:f>
        <x:v>0</x:v>
      </x:c>
      <x:c r="W18" s="36" t="str">
        <x:v>미정</x:v>
      </x:c>
      <x:c r="X18" s="44"/>
      <x:c r="Y18" s="36" t="str">
        <x:v>BED-008,CNT-031</x:v>
      </x:c>
      <x:c r="Z18" s="36" t="str">
        <x:v>중간</x:v>
      </x:c>
      <x:c r="AA18" s="36" t="str">
        <x:v>밸런스</x:v>
      </x:c>
      <x:c r="AB18" s="36" t="str">
        <x:v>TC-QAR-017-01, TC-QAR-017-02</x:v>
      </x:c>
      <x:c r="AC18" s="36"/>
      <x:c r="AD18" s="36" t="str">
        <x:v>게임 기획서</x:v>
      </x:c>
      <x:c r="AE18" s="36"/>
      <x:c r="AF18" s="44" t="str">
        <x:v>2026-07-10</x:v>
      </x:c>
      <x:c r="AG18" s="36"/>
      <x:c r="AH18" s="54"/>
      <x:c r="AI18" s="54"/>
      <x:c r="AJ18" s="53" t="str">
        <x:v>착수 전</x:v>
      </x:c>
    </x:row>
    <x:row r="19" ht="42" customHeight="1">
      <x:c r="A19" s="36" t="str">
        <x:v>QAR-018</x:v>
      </x:c>
      <x:c r="B19" s="36" t="str">
        <x:v>QA·릴리스·운영</x:v>
      </x:c>
      <x:c r="C19" s="36" t="str">
        <x:v>사용자 조사</x:v>
      </x:c>
      <x:c r="D19" s="36" t="str">
        <x:v>사용성</x:v>
      </x:c>
      <x:c r="E19" s="36" t="str">
        <x:v>첫 플레이 이해·대화·밤 판단 사용성 조사</x:v>
      </x:c>
      <x:c r="F19" s="36" t="str">
        <x:v>게임 규칙, 운영 요구사항과 대상 플랫폼 제약을 충족하도록 첫 플레이 이해·대화·밤 판단 사용성 조사 기능을 구현하고 검증한다.</x:v>
      </x:c>
      <x:c r="G19" s="36" t="str">
        <x:v>처음 참가한 사용자가 튜토리얼 후 핵심 규칙을 설명하고 도움 없이 메모 작성, 부착, 밤 투표를 완료할 수 있다.</x:v>
      </x:c>
      <x:c r="H19" s="36" t="str">
        <x:v>구현, 코드 리뷰, 사양 갱신, 대상 QA 케이스 실행, 로그·텔레메트리 확인과 관련 플랫폼 검증을 완료하고 미해결 P0·P1 결함이 없다.</x:v>
      </x:c>
      <x:c r="I19" s="36" t="str">
        <x:v>베타</x:v>
      </x:c>
      <x:c r="J19" s="36" t="str">
        <x:v>P0</x:v>
      </x:c>
      <x:c r="K19" s="36" t="str">
        <x:v>필수</x:v>
      </x:c>
      <x:c r="L19" s="36" t="str">
        <x:v>이해도</x:v>
      </x:c>
      <x:c r="M19" s="36" t="str">
        <x:v>베타</x:v>
      </x:c>
      <x:c r="N19" s="36" t="str">
        <x:v>QA·릴리스 관리</x:v>
      </x:c>
      <x:c r="O19" s="36" t="str">
        <x:v>미정</x:v>
      </x:c>
      <x:c r="P19" s="36" t="str">
        <x:v>미정</x:v>
      </x:c>
      <x:c r="Q19" s="36" t="str">
        <x:v>전체</x:v>
      </x:c>
      <x:c r="R19" s="36" t="str">
        <x:v>해당 없음</x:v>
      </x:c>
      <x:c r="S19" s="36" t="str">
        <x:v>감사 로그</x:v>
      </x:c>
      <x:c r="T19" s="36" t="str">
        <x:v>L</x:v>
      </x:c>
      <x:c r="U19" s="36" t="str">
        <x:v>미착수</x:v>
      </x:c>
      <x:c r="V19" s="46" t="n">
        <x:f>IF(U19="완료",1,IF(U19="QA 진행 중",0.8,IF(U19="코드 리뷰",0.65,IF(U19="구현 중",0.4,IF(U19="사양 확인 중",0.1,IF(U19="차단",0.4,0))))))</x:f>
        <x:v>0</x:v>
      </x:c>
      <x:c r="W19" s="36" t="str">
        <x:v>미정</x:v>
      </x:c>
      <x:c r="X19" s="44"/>
      <x:c r="Y19" s="36" t="str">
        <x:v>UIX-027,CNT-033</x:v>
      </x:c>
      <x:c r="Z19" s="36" t="str">
        <x:v>중간</x:v>
      </x:c>
      <x:c r="AA19" s="36" t="str">
        <x:v>사용성</x:v>
      </x:c>
      <x:c r="AB19" s="36" t="str">
        <x:v>TC-QAR-018-01, TC-QAR-018-02</x:v>
      </x:c>
      <x:c r="AC19" s="36"/>
      <x:c r="AD19" s="36" t="str">
        <x:v>게임 기획서</x:v>
      </x:c>
      <x:c r="AE19" s="36"/>
      <x:c r="AF19" s="44" t="str">
        <x:v>2026-07-10</x:v>
      </x:c>
      <x:c r="AG19" s="36"/>
      <x:c r="AH19" s="54"/>
      <x:c r="AI19" s="54"/>
      <x:c r="AJ19" s="53" t="str">
        <x:v>착수 전</x:v>
      </x:c>
    </x:row>
    <x:row r="20" ht="42" customHeight="1">
      <x:c r="A20" s="36" t="str">
        <x:v>QAR-019</x:v>
      </x:c>
      <x:c r="B20" s="36" t="str">
        <x:v>QA·릴리스·운영</x:v>
      </x:c>
      <x:c r="C20" s="36" t="str">
        <x:v>결함 관리</x:v>
      </x:c>
      <x:c r="D20" s="36" t="str">
        <x:v>결함 분류</x:v>
      </x:c>
      <x:c r="E20" s="36" t="str">
        <x:v>결함 심각도·우선순위·SLA·트리아지</x:v>
      </x:c>
      <x:c r="F20" s="36" t="str">
        <x:v>게임 규칙, 운영 요구사항과 대상 플랫폼 제약을 충족하도록 결함 심각도·우선순위·SLA·트리아지 기능을 구현하고 검증한다.</x:v>
      </x:c>
      <x:c r="G20" s="36" t="str">
        <x:v>차단, 치명, 주요, 경미 결함의 기준, 담당, 재현 정보, 회귀 범위, 수정 기한, 연기 승인을 정의하고 매일 트리아지한다.</x:v>
      </x:c>
      <x:c r="H20" s="36" t="str">
        <x:v>구현, 코드 리뷰, 사양 갱신, 대상 QA 케이스 실행, 로그·텔레메트리 확인과 관련 플랫폼 검증을 완료하고 미해결 P0·P1 결함이 없다.</x:v>
      </x:c>
      <x:c r="I20" s="36" t="str">
        <x:v>MVP</x:v>
      </x:c>
      <x:c r="J20" s="36" t="str">
        <x:v>P0</x:v>
      </x:c>
      <x:c r="K20" s="36" t="str">
        <x:v>필수</x:v>
      </x:c>
      <x:c r="L20" s="36" t="str">
        <x:v>QA 기반</x:v>
      </x:c>
      <x:c r="M20" s="36" t="str">
        <x:v>MVP</x:v>
      </x:c>
      <x:c r="N20" s="36" t="str">
        <x:v>QA·릴리스 관리</x:v>
      </x:c>
      <x:c r="O20" s="36" t="str">
        <x:v>미정</x:v>
      </x:c>
      <x:c r="P20" s="36" t="str">
        <x:v>미정</x:v>
      </x:c>
      <x:c r="Q20" s="36" t="str">
        <x:v>전체</x:v>
      </x:c>
      <x:c r="R20" s="36" t="str">
        <x:v>해당 없음</x:v>
      </x:c>
      <x:c r="S20" s="36" t="str">
        <x:v>감사 로그</x:v>
      </x:c>
      <x:c r="T20" s="36" t="str">
        <x:v>M</x:v>
      </x:c>
      <x:c r="U20" s="36" t="str">
        <x:v>미착수</x:v>
      </x:c>
      <x:c r="V20" s="46" t="n">
        <x:f>IF(U20="완료",1,IF(U20="QA 진행 중",0.8,IF(U20="코드 리뷰",0.65,IF(U20="구현 중",0.4,IF(U20="사양 확인 중",0.1,IF(U20="차단",0.4,0))))))</x:f>
        <x:v>0</x:v>
      </x:c>
      <x:c r="W20" s="36" t="str">
        <x:v>미정</x:v>
      </x:c>
      <x:c r="X20" s="44"/>
      <x:c r="Y20" s="36" t="str">
        <x:v>QAR-001</x:v>
      </x:c>
      <x:c r="Z20" s="36" t="str">
        <x:v>중간</x:v>
      </x:c>
      <x:c r="AA20" s="36" t="str">
        <x:v>운영</x:v>
      </x:c>
      <x:c r="AB20" s="36" t="str">
        <x:v>TC-QAR-019-01, TC-QAR-019-02</x:v>
      </x:c>
      <x:c r="AC20" s="36"/>
      <x:c r="AD20" s="36" t="str">
        <x:v>게임 기획서</x:v>
      </x:c>
      <x:c r="AE20" s="36"/>
      <x:c r="AF20" s="44" t="str">
        <x:v>2026-07-10</x:v>
      </x:c>
      <x:c r="AG20" s="36"/>
      <x:c r="AH20" s="54"/>
      <x:c r="AI20" s="54"/>
      <x:c r="AJ20" s="53" t="str">
        <x:v>착수 전</x:v>
      </x:c>
    </x:row>
    <x:row r="21" ht="42" customHeight="1">
      <x:c r="A21" s="36" t="str">
        <x:v>QAR-020</x:v>
      </x:c>
      <x:c r="B21" s="36" t="str">
        <x:v>QA·릴리스·운영</x:v>
      </x:c>
      <x:c r="C21" s="36" t="str">
        <x:v>테스트 인프라</x:v>
      </x:c>
      <x:c r="D21" s="36" t="str">
        <x:v>부하 시험 도구</x:v>
      </x:c>
      <x:c r="E21" s="36" t="str">
        <x:v>다중 세션 부하·봇·네트워크 열화 하네스</x:v>
      </x:c>
      <x:c r="F21" s="36" t="str">
        <x:v>게임 규칙, 운영 요구사항과 대상 플랫폼 제약을 충족하도록 다중 세션 부하·봇·네트워크 열화 하네스 기능을 구현하고 검증한다.</x:v>
      </x:c>
      <x:c r="G21" s="36" t="str">
        <x:v>자동 봇이 룸 생성, 시작, 이동, 미니게임, 메모, 투표, 결과 흐름을 수행하고 동시 세션 수와 열화 조건을 설정할 수 있다.</x:v>
      </x:c>
      <x:c r="H21" s="36" t="str">
        <x:v>구현, 코드 리뷰, 사양 갱신, 대상 QA 케이스 실행, 로그·텔레메트리 확인과 관련 플랫폼 검증을 완료하고 미해결 P0·P1 결함이 없다.</x:v>
      </x:c>
      <x:c r="I21" s="36" t="str">
        <x:v>알파</x:v>
      </x:c>
      <x:c r="J21" s="36" t="str">
        <x:v>P0</x:v>
      </x:c>
      <x:c r="K21" s="36" t="str">
        <x:v>필수</x:v>
      </x:c>
      <x:c r="L21" s="36" t="str">
        <x:v>성능</x:v>
      </x:c>
      <x:c r="M21" s="36" t="str">
        <x:v>알파</x:v>
      </x:c>
      <x:c r="N21" s="36" t="str">
        <x:v>QA·릴리스 관리</x:v>
      </x:c>
      <x:c r="O21" s="36" t="str">
        <x:v>미정</x:v>
      </x:c>
      <x:c r="P21" s="36" t="str">
        <x:v>미정</x:v>
      </x:c>
      <x:c r="Q21" s="36" t="str">
        <x:v>도구</x:v>
      </x:c>
      <x:c r="R21" s="36" t="str">
        <x:v>해당 없음</x:v>
      </x:c>
      <x:c r="S21" s="36" t="str">
        <x:v>없음</x:v>
      </x:c>
      <x:c r="T21" s="36" t="str">
        <x:v>XL</x:v>
      </x:c>
      <x:c r="U21" s="36" t="str">
        <x:v>미착수</x:v>
      </x:c>
      <x:c r="V21" s="46" t="n">
        <x:f>IF(U21="완료",1,IF(U21="QA 진행 중",0.8,IF(U21="코드 리뷰",0.65,IF(U21="구현 중",0.4,IF(U21="사양 확인 중",0.1,IF(U21="차단",0.4,0))))))</x:f>
        <x:v>0</x:v>
      </x:c>
      <x:c r="W21" s="36" t="str">
        <x:v>미정</x:v>
      </x:c>
      <x:c r="X21" s="44"/>
      <x:c r="Y21" s="36" t="str">
        <x:v>NET-024,ONL-004,IGM-001</x:v>
      </x:c>
      <x:c r="Z21" s="36" t="str">
        <x:v>중간</x:v>
      </x:c>
      <x:c r="AA21" s="36" t="str">
        <x:v>성능</x:v>
      </x:c>
      <x:c r="AB21" s="36" t="str">
        <x:v>TC-QAR-020-01, TC-QAR-020-02</x:v>
      </x:c>
      <x:c r="AC21" s="36"/>
      <x:c r="AD21" s="36" t="str">
        <x:v>게임 기획서</x:v>
      </x:c>
      <x:c r="AE21" s="36"/>
      <x:c r="AF21" s="44" t="str">
        <x:v>2026-07-10</x:v>
      </x:c>
      <x:c r="AG21" s="36"/>
      <x:c r="AH21" s="54"/>
      <x:c r="AI21" s="54"/>
      <x:c r="AJ21" s="53" t="str">
        <x:v>착수 전</x:v>
      </x:c>
    </x:row>
    <x:row r="22" ht="42" customHeight="1">
      <x:c r="A22" s="36" t="str">
        <x:v>QAR-021</x:v>
      </x:c>
      <x:c r="B22" s="36" t="str">
        <x:v>QA·릴리스·운영</x:v>
      </x:c>
      <x:c r="C22" s="36" t="str">
        <x:v>테스트 자동화</x:v>
      </x:c>
      <x:c r="D22" s="36" t="str">
        <x:v>회귀 시험</x:v>
      </x:c>
      <x:c r="E22" s="36" t="str">
        <x:v>API·서버 규칙·주요 UI 자동 회귀</x:v>
      </x:c>
      <x:c r="F22" s="36" t="str">
        <x:v>게임 규칙, 운영 요구사항과 대상 플랫폼 제약을 충족하도록 API·서버 규칙·주요 UI 자동 회귀 기능을 구현하고 검증한다.</x:v>
      </x:c>
      <x:c r="G22" s="36" t="str">
        <x:v>승패, 설정 검증, 메모 권한, 투표, 재접속, 오류 코드 자동 시험을 CI에서 실행하고 실패 시 빌드를 중지한다.</x:v>
      </x:c>
      <x:c r="H22" s="36" t="str">
        <x:v>구현, 코드 리뷰, 사양 갱신, 대상 QA 케이스 실행, 로그·텔레메트리 확인과 관련 플랫폼 검증을 완료하고 미해결 P0·P1 결함이 없다.</x:v>
      </x:c>
      <x:c r="I22" s="36" t="str">
        <x:v>알파</x:v>
      </x:c>
      <x:c r="J22" s="36" t="str">
        <x:v>P0</x:v>
      </x:c>
      <x:c r="K22" s="36" t="str">
        <x:v>필수</x:v>
      </x:c>
      <x:c r="L22" s="36" t="str">
        <x:v>QA 기반</x:v>
      </x:c>
      <x:c r="M22" s="36" t="str">
        <x:v>알파</x:v>
      </x:c>
      <x:c r="N22" s="36" t="str">
        <x:v>QA·릴리스 관리</x:v>
      </x:c>
      <x:c r="O22" s="36" t="str">
        <x:v>미정</x:v>
      </x:c>
      <x:c r="P22" s="36" t="str">
        <x:v>미정</x:v>
      </x:c>
      <x:c r="Q22" s="36" t="str">
        <x:v>도구</x:v>
      </x:c>
      <x:c r="R22" s="36" t="str">
        <x:v>해당 없음</x:v>
      </x:c>
      <x:c r="S22" s="36" t="str">
        <x:v>감사 로그</x:v>
      </x:c>
      <x:c r="T22" s="36" t="str">
        <x:v>XL</x:v>
      </x:c>
      <x:c r="U22" s="36" t="str">
        <x:v>미착수</x:v>
      </x:c>
      <x:c r="V22" s="46" t="n">
        <x:f>IF(U22="완료",1,IF(U22="QA 진행 중",0.8,IF(U22="코드 리뷰",0.65,IF(U22="구현 중",0.4,IF(U22="사양 확인 중",0.1,IF(U22="차단",0.4,0))))))</x:f>
        <x:v>0</x:v>
      </x:c>
      <x:c r="W22" s="36" t="str">
        <x:v>미정</x:v>
      </x:c>
      <x:c r="X22" s="44"/>
      <x:c r="Y22" s="36" t="str">
        <x:v>QAR-003,NET-012,BED-018</x:v>
      </x:c>
      <x:c r="Z22" s="36" t="str">
        <x:v>중간</x:v>
      </x:c>
      <x:c r="AA22" s="36" t="str">
        <x:v>기능</x:v>
      </x:c>
      <x:c r="AB22" s="36" t="str">
        <x:v>TC-QAR-021-01, TC-QAR-021-02</x:v>
      </x:c>
      <x:c r="AC22" s="36"/>
      <x:c r="AD22" s="36" t="str">
        <x:v>게임 기획서</x:v>
      </x:c>
      <x:c r="AE22" s="36"/>
      <x:c r="AF22" s="44" t="str">
        <x:v>2026-07-10</x:v>
      </x:c>
      <x:c r="AG22" s="36"/>
      <x:c r="AH22" s="54"/>
      <x:c r="AI22" s="54"/>
      <x:c r="AJ22" s="53" t="str">
        <x:v>착수 전</x:v>
      </x:c>
    </x:row>
    <x:row r="23" ht="42" customHeight="1">
      <x:c r="A23" s="36" t="str">
        <x:v>QAR-022</x:v>
      </x:c>
      <x:c r="B23" s="36" t="str">
        <x:v>QA·릴리스·운영</x:v>
      </x:c>
      <x:c r="C23" s="36" t="str">
        <x:v>테스트 인프라</x:v>
      </x:c>
      <x:c r="D23" s="36" t="str">
        <x:v>테스트 데이터</x:v>
      </x:c>
      <x:c r="E23" s="36" t="str">
        <x:v>시험 계정·세션·설정·콘텐츠 데이터</x:v>
      </x:c>
      <x:c r="F23" s="36" t="str">
        <x:v>게임 규칙, 운영 요구사항과 대상 플랫폼 제약을 충족하도록 시험 계정·세션·설정·콘텐츠 데이터 기능을 구현하고 검증한다.</x:v>
      </x:c>
      <x:c r="G23" s="36" t="str">
        <x:v>역할, 색상, 보유 메모, 연결 끊김, 제재, 지역, 연령, 외형을 재현하는 비운영 시험 데이터를 안전하게 생성·삭제할 수 있다.</x:v>
      </x:c>
      <x:c r="H23" s="36" t="str">
        <x:v>구현, 코드 리뷰, 사양 갱신, 대상 QA 케이스 실행, 로그·텔레메트리 확인과 관련 플랫폼 검증을 완료하고 미해결 P0·P1 결함이 없다.</x:v>
      </x:c>
      <x:c r="I23" s="36" t="str">
        <x:v>알파</x:v>
      </x:c>
      <x:c r="J23" s="36" t="str">
        <x:v>P1</x:v>
      </x:c>
      <x:c r="K23" s="36" t="str">
        <x:v>필수</x:v>
      </x:c>
      <x:c r="L23" s="36" t="str">
        <x:v>QA 기반</x:v>
      </x:c>
      <x:c r="M23" s="36" t="str">
        <x:v>알파</x:v>
      </x:c>
      <x:c r="N23" s="36" t="str">
        <x:v>QA·릴리스 관리</x:v>
      </x:c>
      <x:c r="O23" s="36" t="str">
        <x:v>미정</x:v>
      </x:c>
      <x:c r="P23" s="36" t="str">
        <x:v>미정</x:v>
      </x:c>
      <x:c r="Q23" s="36" t="str">
        <x:v>도구</x:v>
      </x:c>
      <x:c r="R23" s="36" t="str">
        <x:v>해당 없음</x:v>
      </x:c>
      <x:c r="S23" s="36" t="str">
        <x:v>백엔드</x:v>
      </x:c>
      <x:c r="T23" s="36" t="str">
        <x:v>L</x:v>
      </x:c>
      <x:c r="U23" s="36" t="str">
        <x:v>미착수</x:v>
      </x:c>
      <x:c r="V23" s="46" t="n">
        <x:f>IF(U23="완료",1,IF(U23="QA 진행 중",0.8,IF(U23="코드 리뷰",0.65,IF(U23="구현 중",0.4,IF(U23="사양 확인 중",0.1,IF(U23="차단",0.4,0))))))</x:f>
        <x:v>0</x:v>
      </x:c>
      <x:c r="W23" s="36" t="str">
        <x:v>미정</x:v>
      </x:c>
      <x:c r="X23" s="44"/>
      <x:c r="Y23" s="36" t="str">
        <x:v>BED-002,BED-003,BED-009</x:v>
      </x:c>
      <x:c r="Z23" s="36" t="str">
        <x:v>중간</x:v>
      </x:c>
      <x:c r="AA23" s="36" t="str">
        <x:v>운영</x:v>
      </x:c>
      <x:c r="AB23" s="36" t="str">
        <x:v>TC-QAR-022-01</x:v>
      </x:c>
      <x:c r="AC23" s="36"/>
      <x:c r="AD23" s="36" t="str">
        <x:v>게임 기획서</x:v>
      </x:c>
      <x:c r="AE23" s="36"/>
      <x:c r="AF23" s="44" t="str">
        <x:v>2026-07-10</x:v>
      </x:c>
      <x:c r="AG23" s="36"/>
      <x:c r="AH23" s="54"/>
      <x:c r="AI23" s="54"/>
      <x:c r="AJ23" s="53" t="str">
        <x:v>착수 전</x:v>
      </x:c>
    </x:row>
    <x:row r="24" ht="42" customHeight="1">
      <x:c r="A24" s="36" t="str">
        <x:v>QAR-023</x:v>
      </x:c>
      <x:c r="B24" s="36" t="str">
        <x:v>QA·릴리스·운영</x:v>
      </x:c>
      <x:c r="C24" s="36" t="str">
        <x:v>릴리스 관리</x:v>
      </x:c>
      <x:c r="D24" s="36" t="str">
        <x:v>릴리스 게이트</x:v>
      </x:c>
      <x:c r="E24" s="36" t="str">
        <x:v>MVP·알파·베타·출시 후보·출시 게이트 운영</x:v>
      </x:c>
      <x:c r="F24" s="36" t="str">
        <x:v>게임 규칙, 운영 요구사항과 대상 플랫폼 제약을 충족하도록 MVP·알파·베타·출시 후보·출시 게이트 운영 기능을 구현하고 검증한다.</x:v>
      </x:c>
      <x:c r="G24" s="36" t="str">
        <x:v>각 게이트의 필수 산출물, 수치 기준, 승인자, 예외 승인, 기한, 증빙을 관리하고 미완료 P0가 있으면 준비 완료로 판정하지 않는다.</x:v>
      </x:c>
      <x:c r="H24" s="36" t="str">
        <x:v>구현, 코드 리뷰, 사양 갱신, 대상 QA 케이스 실행, 로그·텔레메트리 확인과 관련 플랫폼 검증을 완료하고 미해결 P0·P1 결함이 없다.</x:v>
      </x:c>
      <x:c r="I24" s="36" t="str">
        <x:v>MVP</x:v>
      </x:c>
      <x:c r="J24" s="36" t="str">
        <x:v>P0</x:v>
      </x:c>
      <x:c r="K24" s="36" t="str">
        <x:v>필수</x:v>
      </x:c>
      <x:c r="L24" s="36" t="str">
        <x:v>릴리스</x:v>
      </x:c>
      <x:c r="M24" s="36" t="str">
        <x:v>MVP</x:v>
      </x:c>
      <x:c r="N24" s="36" t="str">
        <x:v>QA·릴리스 관리</x:v>
      </x:c>
      <x:c r="O24" s="36" t="str">
        <x:v>미정</x:v>
      </x:c>
      <x:c r="P24" s="36" t="str">
        <x:v>미정</x:v>
      </x:c>
      <x:c r="Q24" s="36" t="str">
        <x:v>전체</x:v>
      </x:c>
      <x:c r="R24" s="36" t="str">
        <x:v>해당 없음</x:v>
      </x:c>
      <x:c r="S24" s="36" t="str">
        <x:v>감사 로그</x:v>
      </x:c>
      <x:c r="T24" s="36" t="str">
        <x:v>L</x:v>
      </x:c>
      <x:c r="U24" s="36" t="str">
        <x:v>미착수</x:v>
      </x:c>
      <x:c r="V24" s="46" t="n">
        <x:f>IF(U24="완료",1,IF(U24="QA 진행 중",0.8,IF(U24="코드 리뷰",0.65,IF(U24="구현 중",0.4,IF(U24="사양 확인 중",0.1,IF(U24="차단",0.4,0))))))</x:f>
        <x:v>0</x:v>
      </x:c>
      <x:c r="W24" s="36" t="str">
        <x:v>미정</x:v>
      </x:c>
      <x:c r="X24" s="44"/>
      <x:c r="Y24" s="36" t="str">
        <x:v>QAR-001,QAR-019</x:v>
      </x:c>
      <x:c r="Z24" s="36" t="str">
        <x:v>중간</x:v>
      </x:c>
      <x:c r="AA24" s="36" t="str">
        <x:v>운영</x:v>
      </x:c>
      <x:c r="AB24" s="36" t="str">
        <x:v>TC-QAR-023-01, TC-QAR-023-02</x:v>
      </x:c>
      <x:c r="AC24" s="36"/>
      <x:c r="AD24" s="36" t="str">
        <x:v>게임 기획서</x:v>
      </x:c>
      <x:c r="AE24" s="36"/>
      <x:c r="AF24" s="44" t="str">
        <x:v>2026-07-10</x:v>
      </x:c>
      <x:c r="AG24" s="36"/>
      <x:c r="AH24" s="54"/>
      <x:c r="AI24" s="54"/>
      <x:c r="AJ24" s="53" t="str">
        <x:v>착수 전</x:v>
      </x:c>
    </x:row>
    <x:row r="25" ht="42" customHeight="1">
      <x:c r="A25" s="36" t="str">
        <x:v>QAR-024</x:v>
      </x:c>
      <x:c r="B25" s="36" t="str">
        <x:v>QA·릴리스·운영</x:v>
      </x:c>
      <x:c r="C25" s="36" t="str">
        <x:v>빌드·CI</x:v>
      </x:c>
      <x:c r="D25" s="36" t="str">
        <x:v>파이프라인</x:v>
      </x:c>
      <x:c r="E25" s="36" t="str">
        <x:v>클라이언트·서버·콘텐츠 CI/CD</x:v>
      </x:c>
      <x:c r="F25" s="36" t="str">
        <x:v>게임 규칙, 운영 요구사항과 대상 플랫폼 제약을 충족하도록 클라이언트·서버·콘텐츠 CI/CD 기능을 구현하고 검증한다.</x:v>
      </x:c>
      <x:c r="G25" s="36" t="str">
        <x:v>재현 가능한 빌드, 단위 시험, 자동 회귀, 서명, 산출물 보관, SBOM·의존성 검사, 환경 배포를 자동화한다.</x:v>
      </x:c>
      <x:c r="H25" s="36" t="str">
        <x:v>구현, 코드 리뷰, 사양 갱신, 대상 QA 케이스 실행, 로그·텔레메트리 확인과 관련 플랫폼 검증을 완료하고 미해결 P0·P1 결함이 없다.</x:v>
      </x:c>
      <x:c r="I25" s="36" t="str">
        <x:v>알파</x:v>
      </x:c>
      <x:c r="J25" s="36" t="str">
        <x:v>P0</x:v>
      </x:c>
      <x:c r="K25" s="36" t="str">
        <x:v>필수</x:v>
      </x:c>
      <x:c r="L25" s="36" t="str">
        <x:v>릴리스</x:v>
      </x:c>
      <x:c r="M25" s="36" t="str">
        <x:v>알파</x:v>
      </x:c>
      <x:c r="N25" s="36" t="str">
        <x:v>QA·릴리스 관리</x:v>
      </x:c>
      <x:c r="O25" s="36" t="str">
        <x:v>미정</x:v>
      </x:c>
      <x:c r="P25" s="36" t="str">
        <x:v>미정</x:v>
      </x:c>
      <x:c r="Q25" s="36" t="str">
        <x:v>도구</x:v>
      </x:c>
      <x:c r="R25" s="36" t="str">
        <x:v>해당 없음</x:v>
      </x:c>
      <x:c r="S25" s="36" t="str">
        <x:v>감사 로그</x:v>
      </x:c>
      <x:c r="T25" s="36" t="str">
        <x:v>XL</x:v>
      </x:c>
      <x:c r="U25" s="36" t="str">
        <x:v>미착수</x:v>
      </x:c>
      <x:c r="V25" s="46" t="n">
        <x:f>IF(U25="완료",1,IF(U25="QA 진행 중",0.8,IF(U25="코드 리뷰",0.65,IF(U25="구현 중",0.4,IF(U25="사양 확인 중",0.1,IF(U25="차단",0.4,0))))))</x:f>
        <x:v>0</x:v>
      </x:c>
      <x:c r="W25" s="36" t="str">
        <x:v>미정</x:v>
      </x:c>
      <x:c r="X25" s="44"/>
      <x:c r="Y25" s="36" t="str">
        <x:v>QAR-021,BED-028</x:v>
      </x:c>
      <x:c r="Z25" s="36" t="str">
        <x:v>중간</x:v>
      </x:c>
      <x:c r="AA25" s="36" t="str">
        <x:v>운영</x:v>
      </x:c>
      <x:c r="AB25" s="36" t="str">
        <x:v>TC-QAR-024-01, TC-QAR-024-02</x:v>
      </x:c>
      <x:c r="AC25" s="36"/>
      <x:c r="AD25" s="36" t="str">
        <x:v>게임 기획서</x:v>
      </x:c>
      <x:c r="AE25" s="36"/>
      <x:c r="AF25" s="44" t="str">
        <x:v>2026-07-10</x:v>
      </x:c>
      <x:c r="AG25" s="36"/>
      <x:c r="AH25" s="54"/>
      <x:c r="AI25" s="54"/>
      <x:c r="AJ25" s="53" t="str">
        <x:v>착수 전</x:v>
      </x:c>
    </x:row>
    <x:row r="26" ht="42" customHeight="1">
      <x:c r="A26" s="36" t="str">
        <x:v>QAR-025</x:v>
      </x:c>
      <x:c r="B26" s="36" t="str">
        <x:v>QA·릴리스·운영</x:v>
      </x:c>
      <x:c r="C26" s="36" t="str">
        <x:v>빌드·CI</x:v>
      </x:c>
      <x:c r="D26" s="36" t="str">
        <x:v>버전 관리</x:v>
      </x:c>
      <x:c r="E26" s="36" t="str">
        <x:v>제품·프로토콜·설정·콘텐츠 버전 표시</x:v>
      </x:c>
      <x:c r="F26" s="36" t="str">
        <x:v>게임 규칙, 운영 요구사항과 대상 플랫폼 제약을 충족하도록 제품·프로토콜·설정·콘텐츠 버전 표시 기능을 구현하고 검증한다.</x:v>
      </x:c>
      <x:c r="G26" s="36" t="str">
        <x:v>클라이언트, 서버, 프로토콜, 설정, 콘텐츠, 커밋 버전을 UI, 로그, 크래시에 일관되게 표시하고 호환성 판정에 사용한다.</x:v>
      </x:c>
      <x:c r="H26" s="36" t="str">
        <x:v>구현, 코드 리뷰, 사양 갱신, 대상 QA 케이스 실행, 로그·텔레메트리 확인과 관련 플랫폼 검증을 완료하고 미해결 P0·P1 결함이 없다.</x:v>
      </x:c>
      <x:c r="I26" s="36" t="str">
        <x:v>MVP</x:v>
      </x:c>
      <x:c r="J26" s="36" t="str">
        <x:v>P0</x:v>
      </x:c>
      <x:c r="K26" s="36" t="str">
        <x:v>필수</x:v>
      </x:c>
      <x:c r="L26" s="36" t="str">
        <x:v>호환성</x:v>
      </x:c>
      <x:c r="M26" s="36" t="str">
        <x:v>MVP</x:v>
      </x:c>
      <x:c r="N26" s="36" t="str">
        <x:v>QA·릴리스 관리</x:v>
      </x:c>
      <x:c r="O26" s="36" t="str">
        <x:v>미정</x:v>
      </x:c>
      <x:c r="P26" s="36" t="str">
        <x:v>미정</x:v>
      </x:c>
      <x:c r="Q26" s="36" t="str">
        <x:v>전체</x:v>
      </x:c>
      <x:c r="R26" s="36" t="str">
        <x:v>콘텐츠 데이터</x:v>
      </x:c>
      <x:c r="S26" s="36" t="str">
        <x:v>없음</x:v>
      </x:c>
      <x:c r="T26" s="36" t="str">
        <x:v>M</x:v>
      </x:c>
      <x:c r="U26" s="36" t="str">
        <x:v>미착수</x:v>
      </x:c>
      <x:c r="V26" s="46" t="n">
        <x:f>IF(U26="완료",1,IF(U26="QA 진행 중",0.8,IF(U26="코드 리뷰",0.65,IF(U26="구현 중",0.4,IF(U26="사양 확인 중",0.1,IF(U26="차단",0.4,0))))))</x:f>
        <x:v>0</x:v>
      </x:c>
      <x:c r="W26" s="36" t="str">
        <x:v>미정</x:v>
      </x:c>
      <x:c r="X26" s="44"/>
      <x:c r="Y26" s="36" t="str">
        <x:v>NET-002,BED-015,CNT-028,QAR-024</x:v>
      </x:c>
      <x:c r="Z26" s="36" t="str">
        <x:v>중간</x:v>
      </x:c>
      <x:c r="AA26" s="36" t="str">
        <x:v>호환성</x:v>
      </x:c>
      <x:c r="AB26" s="36" t="str">
        <x:v>TC-QAR-025-01, TC-QAR-025-02</x:v>
      </x:c>
      <x:c r="AC26" s="36"/>
      <x:c r="AD26" s="36" t="str">
        <x:v>게임 기획서</x:v>
      </x:c>
      <x:c r="AE26" s="36"/>
      <x:c r="AF26" s="44" t="str">
        <x:v>2026-07-10</x:v>
      </x:c>
      <x:c r="AG26" s="36"/>
      <x:c r="AH26" s="54"/>
      <x:c r="AI26" s="54"/>
      <x:c r="AJ26" s="53" t="str">
        <x:v>착수 전</x:v>
      </x:c>
    </x:row>
    <x:row r="27" ht="42" customHeight="1">
      <x:c r="A27" s="36" t="str">
        <x:v>QAR-026</x:v>
      </x:c>
      <x:c r="B27" s="36" t="str">
        <x:v>QA·릴리스·운영</x:v>
      </x:c>
      <x:c r="C27" s="36" t="str">
        <x:v>품질 목표</x:v>
      </x:c>
      <x:c r="D27" s="36" t="str">
        <x:v>크래시 프리</x:v>
      </x:c>
      <x:c r="E27" s="36" t="str">
        <x:v>크래시 프리 비율·중대 멈춤 목표</x:v>
      </x:c>
      <x:c r="F27" s="36" t="str">
        <x:v>게임 규칙, 운영 요구사항과 대상 플랫폼 제약을 충족하도록 크래시 프리 비율·중대 멈춤 목표 기능을 구현하고 검증한다.</x:v>
      </x:c>
      <x:c r="G27" s="36" t="str">
        <x:v>출시 후보 기간의 크래시 프리 세션·사용자 목표와 중대 멈춤 0건을 정의하고 빌드와 플랫폼별로 모니터링한다.</x:v>
      </x:c>
      <x:c r="H27" s="36" t="str">
        <x:v>구현, 코드 리뷰, 사양 갱신, 대상 QA 케이스 실행, 로그·텔레메트리 확인과 관련 플랫폼 검증을 완료하고 미해결 P0·P1 결함이 없다.</x:v>
      </x:c>
      <x:c r="I27" s="36" t="str">
        <x:v>릴리스 후보</x:v>
      </x:c>
      <x:c r="J27" s="36" t="str">
        <x:v>P0</x:v>
      </x:c>
      <x:c r="K27" s="36" t="str">
        <x:v>필수</x:v>
      </x:c>
      <x:c r="L27" s="36" t="str">
        <x:v>품질 목표</x:v>
      </x:c>
      <x:c r="M27" s="36" t="str">
        <x:v>릴리스 후보</x:v>
      </x:c>
      <x:c r="N27" s="36" t="str">
        <x:v>QA·릴리스 관리</x:v>
      </x:c>
      <x:c r="O27" s="36" t="str">
        <x:v>미정</x:v>
      </x:c>
      <x:c r="P27" s="36" t="str">
        <x:v>미정</x:v>
      </x:c>
      <x:c r="Q27" s="36" t="str">
        <x:v>전체</x:v>
      </x:c>
      <x:c r="R27" s="36" t="str">
        <x:v>해당 없음</x:v>
      </x:c>
      <x:c r="S27" s="36" t="str">
        <x:v>백엔드</x:v>
      </x:c>
      <x:c r="T27" s="36" t="str">
        <x:v>M</x:v>
      </x:c>
      <x:c r="U27" s="36" t="str">
        <x:v>미착수</x:v>
      </x:c>
      <x:c r="V27" s="46" t="n">
        <x:f>IF(U27="완료",1,IF(U27="QA 진행 중",0.8,IF(U27="코드 리뷰",0.65,IF(U27="구현 중",0.4,IF(U27="사양 확인 중",0.1,IF(U27="차단",0.4,0))))))</x:f>
        <x:v>0</x:v>
      </x:c>
      <x:c r="W27" s="36" t="str">
        <x:v>미정</x:v>
      </x:c>
      <x:c r="X27" s="44"/>
      <x:c r="Y27" s="36" t="str">
        <x:v>BED-023,QAR-013</x:v>
      </x:c>
      <x:c r="Z27" s="36" t="str">
        <x:v>중간</x:v>
      </x:c>
      <x:c r="AA27" s="36" t="str">
        <x:v>운영</x:v>
      </x:c>
      <x:c r="AB27" s="36" t="str">
        <x:v>TC-QAR-026-01, TC-QAR-026-02</x:v>
      </x:c>
      <x:c r="AC27" s="36"/>
      <x:c r="AD27" s="36" t="str">
        <x:v>게임 기획서</x:v>
      </x:c>
      <x:c r="AE27" s="36"/>
      <x:c r="AF27" s="44" t="str">
        <x:v>2026-07-10</x:v>
      </x:c>
      <x:c r="AG27" s="36"/>
      <x:c r="AH27" s="54"/>
      <x:c r="AI27" s="54"/>
      <x:c r="AJ27" s="53" t="str">
        <x:v>착수 전</x:v>
      </x:c>
    </x:row>
    <x:row r="28" ht="42" customHeight="1">
      <x:c r="A28" s="36" t="str">
        <x:v>QAR-027</x:v>
      </x:c>
      <x:c r="B28" s="36" t="str">
        <x:v>QA·릴리스·운영</x:v>
      </x:c>
      <x:c r="C28" s="36" t="str">
        <x:v>품질 목표</x:v>
      </x:c>
      <x:c r="D28" s="36" t="str">
        <x:v>서비스 SLO</x:v>
      </x:c>
      <x:c r="E28" s="36" t="str">
        <x:v>온라인 서비스 SLO·오류 예산</x:v>
      </x:c>
      <x:c r="F28" s="36" t="str">
        <x:v>게임 규칙, 운영 요구사항과 대상 플랫폼 제약을 충족하도록 온라인 서비스 SLO·오류 예산 기능을 구현하고 검증한다.</x:v>
      </x:c>
      <x:c r="G28" s="36" t="str">
        <x:v>인증, 룸 생성, 참가, 시작, 매치 지속의 가용성, 지연, 실패율 목표와 초과 시 출시 중단 기준을 정의한다.</x:v>
      </x:c>
      <x:c r="H28" s="36" t="str">
        <x:v>구현, 코드 리뷰, 사양 갱신, 대상 QA 케이스 실행, 로그·텔레메트리 확인과 관련 플랫폼 검증을 완료하고 미해결 P0·P1 결함이 없다.</x:v>
      </x:c>
      <x:c r="I28" s="36" t="str">
        <x:v>릴리스 후보</x:v>
      </x:c>
      <x:c r="J28" s="36" t="str">
        <x:v>P0</x:v>
      </x:c>
      <x:c r="K28" s="36" t="str">
        <x:v>필수</x:v>
      </x:c>
      <x:c r="L28" s="36" t="str">
        <x:v>품질 목표</x:v>
      </x:c>
      <x:c r="M28" s="36" t="str">
        <x:v>릴리스 후보</x:v>
      </x:c>
      <x:c r="N28" s="36" t="str">
        <x:v>QA·릴리스 관리</x:v>
      </x:c>
      <x:c r="O28" s="36" t="str">
        <x:v>미정</x:v>
      </x:c>
      <x:c r="P28" s="36" t="str">
        <x:v>미정</x:v>
      </x:c>
      <x:c r="Q28" s="36" t="str">
        <x:v>백엔드</x:v>
      </x:c>
      <x:c r="R28" s="36" t="str">
        <x:v>해당 없음</x:v>
      </x:c>
      <x:c r="S28" s="36" t="str">
        <x:v>백엔드</x:v>
      </x:c>
      <x:c r="T28" s="36" t="str">
        <x:v>M</x:v>
      </x:c>
      <x:c r="U28" s="36" t="str">
        <x:v>미착수</x:v>
      </x:c>
      <x:c r="V28" s="46" t="n">
        <x:f>IF(U28="완료",1,IF(U28="QA 진행 중",0.8,IF(U28="코드 리뷰",0.65,IF(U28="구현 중",0.4,IF(U28="사양 확인 중",0.1,IF(U28="차단",0.4,0))))))</x:f>
        <x:v>0</x:v>
      </x:c>
      <x:c r="W28" s="36" t="str">
        <x:v>미정</x:v>
      </x:c>
      <x:c r="X28" s="44"/>
      <x:c r="Y28" s="36" t="str">
        <x:v>BED-019,ONL-024</x:v>
      </x:c>
      <x:c r="Z28" s="36" t="str">
        <x:v>중간</x:v>
      </x:c>
      <x:c r="AA28" s="36" t="str">
        <x:v>운영</x:v>
      </x:c>
      <x:c r="AB28" s="36" t="str">
        <x:v>TC-QAR-027-01, TC-QAR-027-02</x:v>
      </x:c>
      <x:c r="AC28" s="36"/>
      <x:c r="AD28" s="36" t="str">
        <x:v>게임 기획서</x:v>
      </x:c>
      <x:c r="AE28" s="36"/>
      <x:c r="AF28" s="44" t="str">
        <x:v>2026-07-10</x:v>
      </x:c>
      <x:c r="AG28" s="36"/>
      <x:c r="AH28" s="54"/>
      <x:c r="AI28" s="54"/>
      <x:c r="AJ28" s="53" t="str">
        <x:v>착수 전</x:v>
      </x:c>
    </x:row>
    <x:row r="29" ht="42" customHeight="1">
      <x:c r="A29" s="36" t="str">
        <x:v>QAR-028</x:v>
      </x:c>
      <x:c r="B29" s="36" t="str">
        <x:v>QA·릴리스·운영</x:v>
      </x:c>
      <x:c r="C29" s="36" t="str">
        <x:v>규정 준수</x:v>
      </x:c>
      <x:c r="D29" s="36" t="str">
        <x:v>보안·개인정보 검토</x:v>
      </x:c>
      <x:c r="E29" s="36" t="str">
        <x:v>보안·개인정보·위협 모델 검토</x:v>
      </x:c>
      <x:c r="F29" s="36" t="str">
        <x:v>게임 규칙, 운영 요구사항과 대상 플랫폼 제약을 충족하도록 보안·개인정보·위협 모델 검토 기능을 구현하고 검증한다.</x:v>
      </x:c>
      <x:c r="G29" s="36" t="str">
        <x:v>인증, 권한, 비공개 정보, 음성, 신고, 로그, 데이터 보관, 상점을 검토하고 치명·높음 지적 사항을 출시 전에 해결한다.</x:v>
      </x:c>
      <x:c r="H29" s="36" t="str">
        <x:v>구현, 코드 리뷰, 사양 갱신, 대상 QA 케이스 실행, 로그·텔레메트리 확인과 관련 플랫폼 검증을 완료하고 미해결 P0·P1 결함이 없다.</x:v>
      </x:c>
      <x:c r="I29" s="36" t="str">
        <x:v>릴리스 후보</x:v>
      </x:c>
      <x:c r="J29" s="36" t="str">
        <x:v>P0</x:v>
      </x:c>
      <x:c r="K29" s="36" t="str">
        <x:v>필수</x:v>
      </x:c>
      <x:c r="L29" s="36" t="str">
        <x:v>보안</x:v>
      </x:c>
      <x:c r="M29" s="36" t="str">
        <x:v>릴리스 후보</x:v>
      </x:c>
      <x:c r="N29" s="36" t="str">
        <x:v>QA·릴리스 관리</x:v>
      </x:c>
      <x:c r="O29" s="36" t="str">
        <x:v>미정</x:v>
      </x:c>
      <x:c r="P29" s="36" t="str">
        <x:v>미정</x:v>
      </x:c>
      <x:c r="Q29" s="36" t="str">
        <x:v>전체</x:v>
      </x:c>
      <x:c r="R29" s="36" t="str">
        <x:v>해당 없음</x:v>
      </x:c>
      <x:c r="S29" s="36" t="str">
        <x:v>감사 로그</x:v>
      </x:c>
      <x:c r="T29" s="36" t="str">
        <x:v>XL</x:v>
      </x:c>
      <x:c r="U29" s="36" t="str">
        <x:v>미착수</x:v>
      </x:c>
      <x:c r="V29" s="46" t="n">
        <x:f>IF(U29="완료",1,IF(U29="QA 진행 중",0.8,IF(U29="코드 리뷰",0.65,IF(U29="구현 중",0.4,IF(U29="사양 확인 중",0.1,IF(U29="차단",0.4,0))))))</x:f>
        <x:v>0</x:v>
      </x:c>
      <x:c r="W29" s="36" t="str">
        <x:v>미정</x:v>
      </x:c>
      <x:c r="X29" s="44"/>
      <x:c r="Y29" s="36" t="str">
        <x:v>NET-026,NET-027,BED-012,BED-014,BED-027</x:v>
      </x:c>
      <x:c r="Z29" s="36" t="str">
        <x:v>중간</x:v>
      </x:c>
      <x:c r="AA29" s="36" t="str">
        <x:v>보안</x:v>
      </x:c>
      <x:c r="AB29" s="36" t="str">
        <x:v>TC-QAR-028-01, TC-QAR-028-02</x:v>
      </x:c>
      <x:c r="AC29" s="36"/>
      <x:c r="AD29" s="36" t="str">
        <x:v>게임 기획서</x:v>
      </x:c>
      <x:c r="AE29" s="36"/>
      <x:c r="AF29" s="44" t="str">
        <x:v>2026-07-10</x:v>
      </x:c>
      <x:c r="AG29" s="36"/>
      <x:c r="AH29" s="54"/>
      <x:c r="AI29" s="54"/>
      <x:c r="AJ29" s="53" t="str">
        <x:v>착수 전</x:v>
      </x:c>
    </x:row>
    <x:row r="30" ht="42" customHeight="1">
      <x:c r="A30" s="36" t="str">
        <x:v>QAR-029</x:v>
      </x:c>
      <x:c r="B30" s="36" t="str">
        <x:v>QA·릴리스·운영</x:v>
      </x:c>
      <x:c r="C30" s="36" t="str">
        <x:v>규정 준수</x:v>
      </x:c>
      <x:c r="D30" s="36" t="str">
        <x:v>플랫폼·스토어</x:v>
      </x:c>
      <x:c r="E30" s="36" t="str">
        <x:v>플랫폼 인증·스토어 제출</x:v>
      </x:c>
      <x:c r="F30" s="36" t="str">
        <x:v>게임 규칙, 운영 요구사항과 대상 플랫폼 제약을 충족하도록 플랫폼 인증·스토어 제출 기능을 구현하고 검증한다.</x:v>
      </x:c>
      <x:c r="G30" s="36" t="str">
        <x:v>초대, 음성, 보호자 설정, 차단, 저장, 네트워크 끊김, 권리, 개인정보, 스토어 자료 요건을 충족한다.</x:v>
      </x:c>
      <x:c r="H30" s="36" t="str">
        <x:v>구현, 코드 리뷰, 사양 갱신, 대상 QA 케이스 실행, 로그·텔레메트리 확인과 관련 플랫폼 검증을 완료하고 미해결 P0·P1 결함이 없다.</x:v>
      </x:c>
      <x:c r="I30" s="36" t="str">
        <x:v>출시</x:v>
      </x:c>
      <x:c r="J30" s="36" t="str">
        <x:v>P0</x:v>
      </x:c>
      <x:c r="K30" s="36" t="str">
        <x:v>필수</x:v>
      </x:c>
      <x:c r="L30" s="36" t="str">
        <x:v>인증·약관</x:v>
      </x:c>
      <x:c r="M30" s="36" t="str">
        <x:v>출시</x:v>
      </x:c>
      <x:c r="N30" s="36" t="str">
        <x:v>QA·릴리스 관리</x:v>
      </x:c>
      <x:c r="O30" s="36" t="str">
        <x:v>미정</x:v>
      </x:c>
      <x:c r="P30" s="36" t="str">
        <x:v>미정</x:v>
      </x:c>
      <x:c r="Q30" s="36" t="str">
        <x:v>전체</x:v>
      </x:c>
      <x:c r="R30" s="36" t="str">
        <x:v>해당 없음</x:v>
      </x:c>
      <x:c r="S30" s="36" t="str">
        <x:v>감사 로그</x:v>
      </x:c>
      <x:c r="T30" s="36" t="str">
        <x:v>XL</x:v>
      </x:c>
      <x:c r="U30" s="36" t="str">
        <x:v>미착수</x:v>
      </x:c>
      <x:c r="V30" s="46" t="n">
        <x:f>IF(U30="완료",1,IF(U30="QA 진행 중",0.8,IF(U30="코드 리뷰",0.65,IF(U30="구현 중",0.4,IF(U30="사양 확인 중",0.1,IF(U30="차단",0.4,0))))))</x:f>
        <x:v>0</x:v>
      </x:c>
      <x:c r="W30" s="36" t="str">
        <x:v>미정</x:v>
      </x:c>
      <x:c r="X30" s="44"/>
      <x:c r="Y30" s="36" t="str">
        <x:v>ONL-012,AUD-023,BED-005,BED-013</x:v>
      </x:c>
      <x:c r="Z30" s="36" t="str">
        <x:v>중간</x:v>
      </x:c>
      <x:c r="AA30" s="36" t="str">
        <x:v>호환성</x:v>
      </x:c>
      <x:c r="AB30" s="36" t="str">
        <x:v>TC-QAR-029-01, TC-QAR-029-02</x:v>
      </x:c>
      <x:c r="AC30" s="36"/>
      <x:c r="AD30" s="36" t="str">
        <x:v>게임 기획서</x:v>
      </x:c>
      <x:c r="AE30" s="36"/>
      <x:c r="AF30" s="44" t="str">
        <x:v>2026-07-10</x:v>
      </x:c>
      <x:c r="AG30" s="36"/>
      <x:c r="AH30" s="54"/>
      <x:c r="AI30" s="54"/>
      <x:c r="AJ30" s="53" t="str">
        <x:v>착수 전</x:v>
      </x:c>
    </x:row>
    <x:row r="31" ht="42" customHeight="1">
      <x:c r="A31" s="36" t="str">
        <x:v>QAR-030</x:v>
      </x:c>
      <x:c r="B31" s="36" t="str">
        <x:v>QA·릴리스·운영</x:v>
      </x:c>
      <x:c r="C31" s="36" t="str">
        <x:v>운영</x:v>
      </x:c>
      <x:c r="D31" s="36" t="str">
        <x:v>운영 절차서</x:v>
      </x:c>
      <x:c r="E31" s="36" t="str">
        <x:v>장애·신고·제재·설정·롤백 운영 절차서</x:v>
      </x:c>
      <x:c r="F31" s="36" t="str">
        <x:v>게임 규칙, 운영 요구사항과 대상 플랫폼 제약을 충족하도록 장애·신고·제재·설정·롤백 운영 절차서 기능을 구현하고 검증한다.</x:v>
      </x:c>
      <x:c r="G31" s="36" t="str">
        <x:v>당직, 연락망, 조사, 고객 공지, 임시 조치, 복구, 사후 검토 절차를 서비스별로 문서화하고 모의 훈련한다.</x:v>
      </x:c>
      <x:c r="H31" s="36" t="str">
        <x:v>구현, 코드 리뷰, 사양 갱신, 대상 QA 케이스 실행, 로그·텔레메트리 확인과 관련 플랫폼 검증을 완료하고 미해결 P0·P1 결함이 없다.</x:v>
      </x:c>
      <x:c r="I31" s="36" t="str">
        <x:v>출시</x:v>
      </x:c>
      <x:c r="J31" s="36" t="str">
        <x:v>P0</x:v>
      </x:c>
      <x:c r="K31" s="36" t="str">
        <x:v>필수</x:v>
      </x:c>
      <x:c r="L31" s="36" t="str">
        <x:v>운영</x:v>
      </x:c>
      <x:c r="M31" s="36" t="str">
        <x:v>출시</x:v>
      </x:c>
      <x:c r="N31" s="36" t="str">
        <x:v>QA·릴리스 관리</x:v>
      </x:c>
      <x:c r="O31" s="36" t="str">
        <x:v>미정</x:v>
      </x:c>
      <x:c r="P31" s="36" t="str">
        <x:v>미정</x:v>
      </x:c>
      <x:c r="Q31" s="36" t="str">
        <x:v>전체</x:v>
      </x:c>
      <x:c r="R31" s="36" t="str">
        <x:v>해당 없음</x:v>
      </x:c>
      <x:c r="S31" s="36" t="str">
        <x:v>감사 로그</x:v>
      </x:c>
      <x:c r="T31" s="36" t="str">
        <x:v>L</x:v>
      </x:c>
      <x:c r="U31" s="36" t="str">
        <x:v>미착수</x:v>
      </x:c>
      <x:c r="V31" s="46" t="n">
        <x:f>IF(U31="완료",1,IF(U31="QA 진행 중",0.8,IF(U31="코드 리뷰",0.65,IF(U31="구현 중",0.4,IF(U31="사양 확인 중",0.1,IF(U31="차단",0.4,0))))))</x:f>
        <x:v>0</x:v>
      </x:c>
      <x:c r="W31" s="36" t="str">
        <x:v>미정</x:v>
      </x:c>
      <x:c r="X31" s="44"/>
      <x:c r="Y31" s="36" t="str">
        <x:v>BED-019,BED-021,BED-028,ONL-025</x:v>
      </x:c>
      <x:c r="Z31" s="36" t="str">
        <x:v>중간</x:v>
      </x:c>
      <x:c r="AA31" s="36" t="str">
        <x:v>운영</x:v>
      </x:c>
      <x:c r="AB31" s="36" t="str">
        <x:v>TC-QAR-030-01, TC-QAR-030-02</x:v>
      </x:c>
      <x:c r="AC31" s="36"/>
      <x:c r="AD31" s="36" t="str">
        <x:v>게임 기획서</x:v>
      </x:c>
      <x:c r="AE31" s="36"/>
      <x:c r="AF31" s="44" t="str">
        <x:v>2026-07-10</x:v>
      </x:c>
      <x:c r="AG31" s="36"/>
      <x:c r="AH31" s="54"/>
      <x:c r="AI31" s="54"/>
      <x:c r="AJ31" s="53" t="str">
        <x:v>착수 전</x:v>
      </x:c>
    </x:row>
    <x:row r="32" ht="42" customHeight="1">
      <x:c r="A32" s="36" t="str">
        <x:v>QAR-031</x:v>
      </x:c>
      <x:c r="B32" s="36" t="str">
        <x:v>QA·릴리스·운영</x:v>
      </x:c>
      <x:c r="C32" s="36" t="str">
        <x:v>릴리스 관리</x:v>
      </x:c>
      <x:c r="D32" s="36" t="str">
        <x:v>롤백</x:v>
      </x:c>
      <x:c r="E32" s="36" t="str">
        <x:v>클라이언트·서버·설정·콘텐츠 롤백</x:v>
      </x:c>
      <x:c r="F32" s="36" t="str">
        <x:v>게임 규칙, 운영 요구사항과 대상 플랫폼 제약을 충족하도록 클라이언트·서버·설정·콘텐츠 롤백 기능을 구현하고 검증한다.</x:v>
      </x:c>
      <x:c r="G32" s="36" t="str">
        <x:v>호환 범위를 유지하면서 각 계층을 개별 복구할 수 있는 절차와 중단 조건을 정의하고 스테이징에서 복구 훈련을 완료한다.</x:v>
      </x:c>
      <x:c r="H32" s="36" t="str">
        <x:v>구현, 코드 리뷰, 사양 갱신, 대상 QA 케이스 실행, 로그·텔레메트리 확인과 관련 플랫폼 검증을 완료하고 미해결 P0·P1 결함이 없다.</x:v>
      </x:c>
      <x:c r="I32" s="36" t="str">
        <x:v>릴리스 후보</x:v>
      </x:c>
      <x:c r="J32" s="36" t="str">
        <x:v>P0</x:v>
      </x:c>
      <x:c r="K32" s="36" t="str">
        <x:v>필수</x:v>
      </x:c>
      <x:c r="L32" s="36" t="str">
        <x:v>릴리스</x:v>
      </x:c>
      <x:c r="M32" s="36" t="str">
        <x:v>릴리스 후보</x:v>
      </x:c>
      <x:c r="N32" s="36" t="str">
        <x:v>QA·릴리스 관리</x:v>
      </x:c>
      <x:c r="O32" s="36" t="str">
        <x:v>미정</x:v>
      </x:c>
      <x:c r="P32" s="36" t="str">
        <x:v>미정</x:v>
      </x:c>
      <x:c r="Q32" s="36" t="str">
        <x:v>전체</x:v>
      </x:c>
      <x:c r="R32" s="36" t="str">
        <x:v>해당 없음</x:v>
      </x:c>
      <x:c r="S32" s="36" t="str">
        <x:v>감사 로그</x:v>
      </x:c>
      <x:c r="T32" s="36" t="str">
        <x:v>XL</x:v>
      </x:c>
      <x:c r="U32" s="36" t="str">
        <x:v>미착수</x:v>
      </x:c>
      <x:c r="V32" s="46" t="n">
        <x:f>IF(U32="완료",1,IF(U32="QA 진행 중",0.8,IF(U32="코드 리뷰",0.65,IF(U32="구현 중",0.4,IF(U32="사양 확인 중",0.1,IF(U32="차단",0.4,0))))))</x:f>
        <x:v>0</x:v>
      </x:c>
      <x:c r="W32" s="36" t="str">
        <x:v>미정</x:v>
      </x:c>
      <x:c r="X32" s="44"/>
      <x:c r="Y32" s="36" t="str">
        <x:v>BED-028,QAR-024,QAR-025</x:v>
      </x:c>
      <x:c r="Z32" s="36" t="str">
        <x:v>중간</x:v>
      </x:c>
      <x:c r="AA32" s="36" t="str">
        <x:v>운영</x:v>
      </x:c>
      <x:c r="AB32" s="36" t="str">
        <x:v>TC-QAR-031-01, TC-QAR-031-02</x:v>
      </x:c>
      <x:c r="AC32" s="36"/>
      <x:c r="AD32" s="36" t="str">
        <x:v>게임 기획서</x:v>
      </x:c>
      <x:c r="AE32" s="36"/>
      <x:c r="AF32" s="44" t="str">
        <x:v>2026-07-10</x:v>
      </x:c>
      <x:c r="AG32" s="36"/>
      <x:c r="AH32" s="54"/>
      <x:c r="AI32" s="54"/>
      <x:c r="AJ32" s="53" t="str">
        <x:v>착수 전</x:v>
      </x:c>
    </x:row>
    <x:row r="33" ht="42" customHeight="1">
      <x:c r="A33" s="36" t="str">
        <x:v>QAR-032</x:v>
      </x:c>
      <x:c r="B33" s="36" t="str">
        <x:v>QA·릴리스·운영</x:v>
      </x:c>
      <x:c r="C33" s="36" t="str">
        <x:v>릴리스 관리</x:v>
      </x:c>
      <x:c r="D33" s="36" t="str">
        <x:v>릴리스 후보 승인</x:v>
      </x:c>
      <x:c r="E33" s="36" t="str">
        <x:v>출시 후보 빌드 동결·최종 회귀</x:v>
      </x:c>
      <x:c r="F33" s="36" t="str">
        <x:v>게임 규칙, 운영 요구사항과 대상 플랫폼 제약을 충족하도록 출시 후보 빌드 동결·최종 회귀 기능을 구현하고 검증한다.</x:v>
      </x:c>
      <x:c r="G33" s="36" t="str">
        <x:v>코드와 콘텐츠 동결 후 전체 P0 회귀, 플랫폼 인증, 성능, 보안, 스토어, 운영 절차서를 확인하고 승인자가 서명한다.</x:v>
      </x:c>
      <x:c r="H33" s="36" t="str">
        <x:v>구현, 코드 리뷰, 사양 갱신, 대상 QA 케이스 실행, 로그·텔레메트리 확인과 관련 플랫폼 검증을 완료하고 미해결 P0·P1 결함이 없다.</x:v>
      </x:c>
      <x:c r="I33" s="36" t="str">
        <x:v>릴리스 후보</x:v>
      </x:c>
      <x:c r="J33" s="36" t="str">
        <x:v>P0</x:v>
      </x:c>
      <x:c r="K33" s="36" t="str">
        <x:v>필수</x:v>
      </x:c>
      <x:c r="L33" s="36" t="str">
        <x:v>릴리스</x:v>
      </x:c>
      <x:c r="M33" s="36" t="str">
        <x:v>릴리스 후보</x:v>
      </x:c>
      <x:c r="N33" s="36" t="str">
        <x:v>QA·릴리스 관리</x:v>
      </x:c>
      <x:c r="O33" s="36" t="str">
        <x:v>미정</x:v>
      </x:c>
      <x:c r="P33" s="36" t="str">
        <x:v>미정</x:v>
      </x:c>
      <x:c r="Q33" s="36" t="str">
        <x:v>전체</x:v>
      </x:c>
      <x:c r="R33" s="36" t="str">
        <x:v>해당 없음</x:v>
      </x:c>
      <x:c r="S33" s="36" t="str">
        <x:v>감사 로그</x:v>
      </x:c>
      <x:c r="T33" s="36" t="str">
        <x:v>L</x:v>
      </x:c>
      <x:c r="U33" s="36" t="str">
        <x:v>미착수</x:v>
      </x:c>
      <x:c r="V33" s="46" t="n">
        <x:f>IF(U33="완료",1,IF(U33="QA 진행 중",0.8,IF(U33="코드 리뷰",0.65,IF(U33="구현 중",0.4,IF(U33="사양 확인 중",0.1,IF(U33="차단",0.4,0))))))</x:f>
        <x:v>0</x:v>
      </x:c>
      <x:c r="W33" s="36" t="str">
        <x:v>미정</x:v>
      </x:c>
      <x:c r="X33" s="44"/>
      <x:c r="Y33" s="36" t="str">
        <x:v>QAR-023,QAR-026,QAR-027,QAR-028,QAR-029,QAR-030,QAR-031</x:v>
      </x:c>
      <x:c r="Z33" s="36" t="str">
        <x:v>중간</x:v>
      </x:c>
      <x:c r="AA33" s="36" t="str">
        <x:v>운영</x:v>
      </x:c>
      <x:c r="AB33" s="36" t="str">
        <x:v>TC-QAR-032-01, TC-QAR-032-02</x:v>
      </x:c>
      <x:c r="AC33" s="36"/>
      <x:c r="AD33" s="36" t="str">
        <x:v>게임 기획서</x:v>
      </x:c>
      <x:c r="AE33" s="36"/>
      <x:c r="AF33" s="44" t="str">
        <x:v>2026-07-10</x:v>
      </x:c>
      <x:c r="AG33" s="36"/>
      <x:c r="AH33" s="54"/>
      <x:c r="AI33" s="54"/>
      <x:c r="AJ33" s="53" t="str">
        <x:v>착수 전</x:v>
      </x:c>
    </x:row>
    <x:row r="34" ht="42" customHeight="1">
      <x:c r="A34" s="36" t="str">
        <x:v>QAR-033</x:v>
      </x:c>
      <x:c r="B34" s="36" t="str">
        <x:v>QA·릴리스·운영</x:v>
      </x:c>
      <x:c r="C34" s="36" t="str">
        <x:v>베타 프로그램</x:v>
      </x:c>
      <x:c r="D34" s="36" t="str">
        <x:v>외부 테스트</x:v>
      </x:c>
      <x:c r="E34" s="36" t="str">
        <x:v>비공개·공개 베타 계획</x:v>
      </x:c>
      <x:c r="F34" s="36" t="str">
        <x:v>게임 규칙, 운영 요구사항과 대상 플랫폼 제약을 충족하도록 비공개·공개 베타 계획 기능을 구현하고 검증한다.</x:v>
      </x:c>
      <x:c r="G34" s="36" t="str">
        <x:v>대상 지역·인원, 배포, NDA, 피드백, 신고, 데이터 동의, 지원, 중단 기준, 종료 시 데이터 삭제를 정의한다.</x:v>
      </x:c>
      <x:c r="H34" s="36" t="str">
        <x:v>구현, 코드 리뷰, 사양 갱신, 대상 QA 케이스 실행, 로그·텔레메트리 확인과 관련 플랫폼 검증을 완료하고 미해결 P0·P1 결함이 없다.</x:v>
      </x:c>
      <x:c r="I34" s="36" t="str">
        <x:v>베타</x:v>
      </x:c>
      <x:c r="J34" s="36" t="str">
        <x:v>P1</x:v>
      </x:c>
      <x:c r="K34" s="36" t="str">
        <x:v>필수</x:v>
      </x:c>
      <x:c r="L34" s="36" t="str">
        <x:v>사용자 검증</x:v>
      </x:c>
      <x:c r="M34" s="36" t="str">
        <x:v>베타</x:v>
      </x:c>
      <x:c r="N34" s="36" t="str">
        <x:v>QA·릴리스 관리</x:v>
      </x:c>
      <x:c r="O34" s="36" t="str">
        <x:v>미정</x:v>
      </x:c>
      <x:c r="P34" s="36" t="str">
        <x:v>미정</x:v>
      </x:c>
      <x:c r="Q34" s="36" t="str">
        <x:v>전체</x:v>
      </x:c>
      <x:c r="R34" s="36" t="str">
        <x:v>해당 없음</x:v>
      </x:c>
      <x:c r="S34" s="36" t="str">
        <x:v>감사 로그</x:v>
      </x:c>
      <x:c r="T34" s="36" t="str">
        <x:v>L</x:v>
      </x:c>
      <x:c r="U34" s="36" t="str">
        <x:v>미착수</x:v>
      </x:c>
      <x:c r="V34" s="46" t="n">
        <x:f>IF(U34="완료",1,IF(U34="QA 진행 중",0.8,IF(U34="코드 리뷰",0.65,IF(U34="구현 중",0.4,IF(U34="사양 확인 중",0.1,IF(U34="차단",0.4,0))))))</x:f>
        <x:v>0</x:v>
      </x:c>
      <x:c r="W34" s="36" t="str">
        <x:v>미정</x:v>
      </x:c>
      <x:c r="X34" s="44"/>
      <x:c r="Y34" s="36" t="str">
        <x:v>QAR-017,QAR-018,BED-012</x:v>
      </x:c>
      <x:c r="Z34" s="36" t="str">
        <x:v>중간</x:v>
      </x:c>
      <x:c r="AA34" s="36" t="str">
        <x:v>운영</x:v>
      </x:c>
      <x:c r="AB34" s="36" t="str">
        <x:v>TC-QAR-033-01</x:v>
      </x:c>
      <x:c r="AC34" s="36"/>
      <x:c r="AD34" s="36" t="str">
        <x:v>게임 기획서</x:v>
      </x:c>
      <x:c r="AE34" s="36"/>
      <x:c r="AF34" s="44" t="str">
        <x:v>2026-07-10</x:v>
      </x:c>
      <x:c r="AG34" s="36"/>
      <x:c r="AH34" s="54"/>
      <x:c r="AI34" s="54"/>
      <x:c r="AJ34" s="53" t="str">
        <x:v>착수 전</x:v>
      </x:c>
    </x:row>
    <x:row r="35" ht="42" customHeight="1">
      <x:c r="A35" s="36" t="str">
        <x:v>QAR-034</x:v>
      </x:c>
      <x:c r="B35" s="36" t="str">
        <x:v>QA·릴리스·운영</x:v>
      </x:c>
      <x:c r="C35" s="36" t="str">
        <x:v>라이브 운영</x:v>
      </x:c>
      <x:c r="D35" s="36" t="str">
        <x:v>출시 모니터링</x:v>
      </x:c>
      <x:c r="E35" s="36" t="str">
        <x:v>출시 모니터링 대시보드·상황실</x:v>
      </x:c>
      <x:c r="F35" s="36" t="str">
        <x:v>게임 규칙, 운영 요구사항과 대상 플랫폼 제약을 충족하도록 출시 모니터링 대시보드·상황실 기능을 구현하고 검증한다.</x:v>
      </x:c>
      <x:c r="G35" s="36" t="str">
        <x:v>인증, 룸, 시작 성공률, 연결 종료, 크래시, SLO, 신고, 승률, 게임 시간을 실시간 모니터링하고 책임자와 판단 임계값을 정의한다.</x:v>
      </x:c>
      <x:c r="H35" s="36" t="str">
        <x:v>구현, 코드 리뷰, 사양 갱신, 대상 QA 케이스 실행, 로그·텔레메트리 확인과 관련 플랫폼 검증을 완료하고 미해결 P0·P1 결함이 없다.</x:v>
      </x:c>
      <x:c r="I35" s="36" t="str">
        <x:v>출시</x:v>
      </x:c>
      <x:c r="J35" s="36" t="str">
        <x:v>P0</x:v>
      </x:c>
      <x:c r="K35" s="36" t="str">
        <x:v>필수</x:v>
      </x:c>
      <x:c r="L35" s="36" t="str">
        <x:v>운영</x:v>
      </x:c>
      <x:c r="M35" s="36" t="str">
        <x:v>출시</x:v>
      </x:c>
      <x:c r="N35" s="36" t="str">
        <x:v>QA·릴리스 관리</x:v>
      </x:c>
      <x:c r="O35" s="36" t="str">
        <x:v>미정</x:v>
      </x:c>
      <x:c r="P35" s="36" t="str">
        <x:v>미정</x:v>
      </x:c>
      <x:c r="Q35" s="36" t="str">
        <x:v>전체</x:v>
      </x:c>
      <x:c r="R35" s="36" t="str">
        <x:v>해당 없음</x:v>
      </x:c>
      <x:c r="S35" s="36" t="str">
        <x:v>백엔드</x:v>
      </x:c>
      <x:c r="T35" s="36" t="str">
        <x:v>L</x:v>
      </x:c>
      <x:c r="U35" s="36" t="str">
        <x:v>미착수</x:v>
      </x:c>
      <x:c r="V35" s="46" t="n">
        <x:f>IF(U35="완료",1,IF(U35="QA 진행 중",0.8,IF(U35="코드 리뷰",0.65,IF(U35="구현 중",0.4,IF(U35="사양 확인 중",0.1,IF(U35="차단",0.4,0))))))</x:f>
        <x:v>0</x:v>
      </x:c>
      <x:c r="W35" s="36" t="str">
        <x:v>미정</x:v>
      </x:c>
      <x:c r="X35" s="44"/>
      <x:c r="Y35" s="36" t="str">
        <x:v>BED-008,BED-019,QAR-026,QAR-027</x:v>
      </x:c>
      <x:c r="Z35" s="36" t="str">
        <x:v>중간</x:v>
      </x:c>
      <x:c r="AA35" s="36" t="str">
        <x:v>운영</x:v>
      </x:c>
      <x:c r="AB35" s="36" t="str">
        <x:v>TC-QAR-034-01, TC-QAR-034-02</x:v>
      </x:c>
      <x:c r="AC35" s="36"/>
      <x:c r="AD35" s="36" t="str">
        <x:v>게임 기획서</x:v>
      </x:c>
      <x:c r="AE35" s="36"/>
      <x:c r="AF35" s="44" t="str">
        <x:v>2026-07-10</x:v>
      </x:c>
      <x:c r="AG35" s="36"/>
      <x:c r="AH35" s="54"/>
      <x:c r="AI35" s="54"/>
      <x:c r="AJ35" s="53" t="str">
        <x:v>착수 전</x:v>
      </x:c>
    </x:row>
    <x:row r="36" ht="42" customHeight="1">
      <x:c r="A36" s="36" t="str">
        <x:v>QAR-035</x:v>
      </x:c>
      <x:c r="B36" s="36" t="str">
        <x:v>QA·릴리스·운영</x:v>
      </x:c>
      <x:c r="C36" s="36" t="str">
        <x:v>라이브 운영</x:v>
      </x:c>
      <x:c r="D36" s="36" t="str">
        <x:v>사고 대응</x:v>
      </x:c>
      <x:c r="E36" s="36" t="str">
        <x:v>중대 장애 대응·사후 검토</x:v>
      </x:c>
      <x:c r="F36" s="36" t="str">
        <x:v>게임 규칙, 운영 요구사항과 대상 플랫폼 제약을 충족하도록 중대 장애 대응·사후 검토 기능을 구현하고 검증한다.</x:v>
      </x:c>
      <x:c r="G36" s="36" t="str">
        <x:v>심각도, 지휘 체계, 기술 대응, 공지, 규제 보고, 증거 보존, 복구, 사후 검토, 재발 방지 절차를 모의 훈련한다.</x:v>
      </x:c>
      <x:c r="H36" s="36" t="str">
        <x:v>구현, 코드 리뷰, 사양 갱신, 대상 QA 케이스 실행, 로그·텔레메트리 확인과 관련 플랫폼 검증을 완료하고 미해결 P0·P1 결함이 없다.</x:v>
      </x:c>
      <x:c r="I36" s="36" t="str">
        <x:v>출시</x:v>
      </x:c>
      <x:c r="J36" s="36" t="str">
        <x:v>P0</x:v>
      </x:c>
      <x:c r="K36" s="36" t="str">
        <x:v>필수</x:v>
      </x:c>
      <x:c r="L36" s="36" t="str">
        <x:v>운영</x:v>
      </x:c>
      <x:c r="M36" s="36" t="str">
        <x:v>출시</x:v>
      </x:c>
      <x:c r="N36" s="36" t="str">
        <x:v>QA·릴리스 관리</x:v>
      </x:c>
      <x:c r="O36" s="36" t="str">
        <x:v>미정</x:v>
      </x:c>
      <x:c r="P36" s="36" t="str">
        <x:v>미정</x:v>
      </x:c>
      <x:c r="Q36" s="36" t="str">
        <x:v>전체</x:v>
      </x:c>
      <x:c r="R36" s="36" t="str">
        <x:v>해당 없음</x:v>
      </x:c>
      <x:c r="S36" s="36" t="str">
        <x:v>감사 로그</x:v>
      </x:c>
      <x:c r="T36" s="36" t="str">
        <x:v>L</x:v>
      </x:c>
      <x:c r="U36" s="36" t="str">
        <x:v>미착수</x:v>
      </x:c>
      <x:c r="V36" s="46" t="n">
        <x:f>IF(U36="완료",1,IF(U36="QA 진행 중",0.8,IF(U36="코드 리뷰",0.65,IF(U36="구현 중",0.4,IF(U36="사양 확인 중",0.1,IF(U36="차단",0.4,0))))))</x:f>
        <x:v>0</x:v>
      </x:c>
      <x:c r="W36" s="36" t="str">
        <x:v>미정</x:v>
      </x:c>
      <x:c r="X36" s="44"/>
      <x:c r="Y36" s="36" t="str">
        <x:v>QAR-030,QAR-034</x:v>
      </x:c>
      <x:c r="Z36" s="36" t="str">
        <x:v>중간</x:v>
      </x:c>
      <x:c r="AA36" s="36" t="str">
        <x:v>운영</x:v>
      </x:c>
      <x:c r="AB36" s="36" t="str">
        <x:v>TC-QAR-035-01, TC-QAR-035-02</x:v>
      </x:c>
      <x:c r="AC36" s="36"/>
      <x:c r="AD36" s="36" t="str">
        <x:v>게임 기획서</x:v>
      </x:c>
      <x:c r="AE36" s="36"/>
      <x:c r="AF36" s="44" t="str">
        <x:v>2026-07-10</x:v>
      </x:c>
      <x:c r="AG36" s="36"/>
      <x:c r="AH36" s="54"/>
      <x:c r="AI36" s="54"/>
      <x:c r="AJ36" s="53" t="str">
        <x:v>착수 전</x:v>
      </x:c>
    </x:row>
    <x:row r="37" ht="42" customHeight="1">
      <x:c r="A37" s="36" t="str">
        <x:v>QAR-036</x:v>
      </x:c>
      <x:c r="B37" s="36" t="str">
        <x:v>QA·릴리스·운영</x:v>
      </x:c>
      <x:c r="C37" s="36" t="str">
        <x:v>릴리스 관리</x:v>
      </x:c>
      <x:c r="D37" s="36" t="str">
        <x:v>동결</x:v>
      </x:c>
      <x:c r="E37" s="36" t="str">
        <x:v>코드·콘텐츠·설정 동결·예외 승인</x:v>
      </x:c>
      <x:c r="F37" s="36" t="str">
        <x:v>게임 규칙, 운영 요구사항과 대상 플랫폼 제약을 충족하도록 코드·콘텐츠·설정 동결·예외 승인 기능을 구현하고 검증한다.</x:v>
      </x:c>
      <x:c r="G37" s="36" t="str">
        <x:v>출시 후보 이후 변경은 위험, 영향 범위, 시험, 롤백, 승인자를 필수로 기록하고 버전과 변경 요청 ID에 연결한다.</x:v>
      </x:c>
      <x:c r="H37" s="36" t="str">
        <x:v>구현, 코드 리뷰, 사양 갱신, 대상 QA 케이스 실행, 로그·텔레메트리 확인과 관련 플랫폼 검증을 완료하고 미해결 P0·P1 결함이 없다.</x:v>
      </x:c>
      <x:c r="I37" s="36" t="str">
        <x:v>릴리스 후보</x:v>
      </x:c>
      <x:c r="J37" s="36" t="str">
        <x:v>P0</x:v>
      </x:c>
      <x:c r="K37" s="36" t="str">
        <x:v>필수</x:v>
      </x:c>
      <x:c r="L37" s="36" t="str">
        <x:v>릴리스</x:v>
      </x:c>
      <x:c r="M37" s="36" t="str">
        <x:v>릴리스 후보</x:v>
      </x:c>
      <x:c r="N37" s="36" t="str">
        <x:v>QA·릴리스 관리</x:v>
      </x:c>
      <x:c r="O37" s="36" t="str">
        <x:v>미정</x:v>
      </x:c>
      <x:c r="P37" s="36" t="str">
        <x:v>미정</x:v>
      </x:c>
      <x:c r="Q37" s="36" t="str">
        <x:v>전체</x:v>
      </x:c>
      <x:c r="R37" s="36" t="str">
        <x:v>해당 없음</x:v>
      </x:c>
      <x:c r="S37" s="36" t="str">
        <x:v>감사 로그</x:v>
      </x:c>
      <x:c r="T37" s="36" t="str">
        <x:v>M</x:v>
      </x:c>
      <x:c r="U37" s="36" t="str">
        <x:v>미착수</x:v>
      </x:c>
      <x:c r="V37" s="46" t="n">
        <x:f>IF(U37="완료",1,IF(U37="QA 진행 중",0.8,IF(U37="코드 리뷰",0.65,IF(U37="구현 중",0.4,IF(U37="사양 확인 중",0.1,IF(U37="차단",0.4,0))))))</x:f>
        <x:v>0</x:v>
      </x:c>
      <x:c r="W37" s="36" t="str">
        <x:v>미정</x:v>
      </x:c>
      <x:c r="X37" s="44"/>
      <x:c r="Y37" s="36" t="str">
        <x:v>QAR-023,QAR-024</x:v>
      </x:c>
      <x:c r="Z37" s="36" t="str">
        <x:v>중간</x:v>
      </x:c>
      <x:c r="AA37" s="36" t="str">
        <x:v>운영</x:v>
      </x:c>
      <x:c r="AB37" s="36" t="str">
        <x:v>TC-QAR-036-01, TC-QAR-036-02</x:v>
      </x:c>
      <x:c r="AC37" s="36"/>
      <x:c r="AD37" s="36" t="str">
        <x:v>게임 기획서</x:v>
      </x:c>
      <x:c r="AE37" s="36"/>
      <x:c r="AF37" s="44" t="str">
        <x:v>2026-07-10</x:v>
      </x:c>
      <x:c r="AG37" s="36"/>
      <x:c r="AH37" s="54"/>
      <x:c r="AI37" s="54"/>
      <x:c r="AJ37" s="53" t="str">
        <x:v>착수 전</x:v>
      </x:c>
    </x:row>
    <x:row r="38" ht="42" customHeight="1">
      <x:c r="A38" s="36" t="str">
        <x:v>QAR-037</x:v>
      </x:c>
      <x:c r="B38" s="36" t="str">
        <x:v>QA·릴리스·운영</x:v>
      </x:c>
      <x:c r="C38" s="36" t="str">
        <x:v>현지화 QA</x:v>
      </x:c>
      <x:c r="D38" s="36" t="str">
        <x:v>인증</x:v>
      </x:c>
      <x:c r="E38" s="36" t="str">
        <x:v>현지화 최종 언어·규정 확인</x:v>
      </x:c>
      <x:c r="F38" s="36" t="str">
        <x:v>게임 규칙, 운영 요구사항과 대상 플랫폼 제약을 충족하도록 현지화 최종 언어·규정 확인 기능을 구현하고 검증한다.</x:v>
      </x:c>
      <x:c r="G38" s="36" t="str">
        <x:v>스토어 문구, 법무 문구, 동의, 오류, 튜토리얼, 금칙어, 플랫폼 용어를 최종 버전에서 확인한다.</x:v>
      </x:c>
      <x:c r="H38" s="36" t="str">
        <x:v>구현, 코드 리뷰, 사양 갱신, 대상 QA 케이스 실행, 로그·텔레메트리 확인과 관련 플랫폼 검증을 완료하고 미해결 P0·P1 결함이 없다.</x:v>
      </x:c>
      <x:c r="I38" s="36" t="str">
        <x:v>출시</x:v>
      </x:c>
      <x:c r="J38" s="36" t="str">
        <x:v>P1</x:v>
      </x:c>
      <x:c r="K38" s="36" t="str">
        <x:v>필수</x:v>
      </x:c>
      <x:c r="L38" s="36" t="str">
        <x:v>현지화</x:v>
      </x:c>
      <x:c r="M38" s="36" t="str">
        <x:v>출시</x:v>
      </x:c>
      <x:c r="N38" s="36" t="str">
        <x:v>QA·릴리스 관리</x:v>
      </x:c>
      <x:c r="O38" s="36" t="str">
        <x:v>미정</x:v>
      </x:c>
      <x:c r="P38" s="36" t="str">
        <x:v>미정</x:v>
      </x:c>
      <x:c r="Q38" s="36" t="str">
        <x:v>전체</x:v>
      </x:c>
      <x:c r="R38" s="36" t="str">
        <x:v>해당 없음</x:v>
      </x:c>
      <x:c r="S38" s="36" t="str">
        <x:v>감사 로그</x:v>
      </x:c>
      <x:c r="T38" s="36" t="str">
        <x:v>L</x:v>
      </x:c>
      <x:c r="U38" s="36" t="str">
        <x:v>미착수</x:v>
      </x:c>
      <x:c r="V38" s="46" t="n">
        <x:f>IF(U38="완료",1,IF(U38="QA 진행 중",0.8,IF(U38="코드 리뷰",0.65,IF(U38="구현 중",0.4,IF(U38="사양 확인 중",0.1,IF(U38="차단",0.4,0))))))</x:f>
        <x:v>0</x:v>
      </x:c>
      <x:c r="W38" s="36" t="str">
        <x:v>미정</x:v>
      </x:c>
      <x:c r="X38" s="44"/>
      <x:c r="Y38" s="36" t="str">
        <x:v>QAR-011,QAR-029</x:v>
      </x:c>
      <x:c r="Z38" s="36" t="str">
        <x:v>중간</x:v>
      </x:c>
      <x:c r="AA38" s="36" t="str">
        <x:v>현지화</x:v>
      </x:c>
      <x:c r="AB38" s="36" t="str">
        <x:v>TC-QAR-037-01</x:v>
      </x:c>
      <x:c r="AC38" s="36"/>
      <x:c r="AD38" s="36" t="str">
        <x:v>게임 기획서</x:v>
      </x:c>
      <x:c r="AE38" s="36"/>
      <x:c r="AF38" s="44" t="str">
        <x:v>2026-07-10</x:v>
      </x:c>
      <x:c r="AG38" s="36"/>
      <x:c r="AH38" s="54"/>
      <x:c r="AI38" s="54"/>
      <x:c r="AJ38" s="53" t="str">
        <x:v>착수 전</x:v>
      </x:c>
    </x:row>
    <x:row r="39" ht="42" customHeight="1">
      <x:c r="A39" s="36" t="str">
        <x:v>QAR-038</x:v>
      </x:c>
      <x:c r="B39" s="36" t="str">
        <x:v>QA·릴리스·운영</x:v>
      </x:c>
      <x:c r="C39" s="36" t="str">
        <x:v>관리 정책</x:v>
      </x:c>
      <x:c r="D39" s="36" t="str">
        <x:v>최종 승인</x:v>
      </x:c>
      <x:c r="E39" s="36" t="str">
        <x:v>출시 최종 승인 기록</x:v>
      </x:c>
      <x:c r="F39" s="36" t="str">
        <x:v>게임 규칙, 운영 요구사항과 대상 플랫폼 제약을 충족하도록 출시 최종 승인 기록 기능을 구현하고 검증한다.</x:v>
      </x:c>
      <x:c r="G39" s="36" t="str">
        <x:v>제작, 제품, 엔지니어링, QA, 보안·개인정보, 운영, 플랫폼 부문의 승인과 미해결 예외를 하나의 기록에 남긴다.</x:v>
      </x:c>
      <x:c r="H39" s="36" t="str">
        <x:v>구현, 코드 리뷰, 사양 갱신, 대상 QA 케이스 실행, 로그·텔레메트리 확인과 관련 플랫폼 검증을 완료하고 미해결 P0·P1 결함이 없다.</x:v>
      </x:c>
      <x:c r="I39" s="36" t="str">
        <x:v>출시</x:v>
      </x:c>
      <x:c r="J39" s="36" t="str">
        <x:v>P0</x:v>
      </x:c>
      <x:c r="K39" s="36" t="str">
        <x:v>필수</x:v>
      </x:c>
      <x:c r="L39" s="36" t="str">
        <x:v>릴리스</x:v>
      </x:c>
      <x:c r="M39" s="36" t="str">
        <x:v>출시</x:v>
      </x:c>
      <x:c r="N39" s="36" t="str">
        <x:v>QA·릴리스 관리</x:v>
      </x:c>
      <x:c r="O39" s="36" t="str">
        <x:v>미정</x:v>
      </x:c>
      <x:c r="P39" s="36" t="str">
        <x:v>미정</x:v>
      </x:c>
      <x:c r="Q39" s="36" t="str">
        <x:v>전체</x:v>
      </x:c>
      <x:c r="R39" s="36" t="str">
        <x:v>해당 없음</x:v>
      </x:c>
      <x:c r="S39" s="36" t="str">
        <x:v>감사 로그</x:v>
      </x:c>
      <x:c r="T39" s="36" t="str">
        <x:v>S</x:v>
      </x:c>
      <x:c r="U39" s="36" t="str">
        <x:v>미착수</x:v>
      </x:c>
      <x:c r="V39" s="46" t="n">
        <x:f>IF(U39="완료",1,IF(U39="QA 진행 중",0.8,IF(U39="코드 리뷰",0.65,IF(U39="구현 중",0.4,IF(U39="사양 확인 중",0.1,IF(U39="차단",0.4,0))))))</x:f>
        <x:v>0</x:v>
      </x:c>
      <x:c r="W39" s="36" t="str">
        <x:v>미정</x:v>
      </x:c>
      <x:c r="X39" s="44"/>
      <x:c r="Y39" s="36" t="str">
        <x:v>QAR-032,QAR-034,QAR-036,QAR-037</x:v>
      </x:c>
      <x:c r="Z39" s="36" t="str">
        <x:v>중간</x:v>
      </x:c>
      <x:c r="AA39" s="36" t="str">
        <x:v>운영</x:v>
      </x:c>
      <x:c r="AB39" s="36" t="str">
        <x:v>TC-QAR-038-01, TC-QAR-038-02</x:v>
      </x:c>
      <x:c r="AC39" s="36"/>
      <x:c r="AD39" s="36" t="str">
        <x:v>게임 기획서</x:v>
      </x:c>
      <x:c r="AE39" s="36"/>
      <x:c r="AF39" s="44" t="str">
        <x:v>2026-07-10</x:v>
      </x:c>
      <x:c r="AG39" s="36"/>
      <x:c r="AH39" s="54"/>
      <x:c r="AI39" s="54"/>
      <x:c r="AJ39" s="53" t="str">
        <x:v>착수 전</x:v>
      </x:c>
    </x:row>
  </x:sheetData>
  <x:conditionalFormatting sqref="U2:U39">
    <x:cfRule type="expression" dxfId="0" priority="1">
      <x:formula>U2="완료"</x:formula>
    </x:cfRule>
    <x:cfRule type="expression" dxfId="1" priority="2">
      <x:formula>U2="통과"</x:formula>
    </x:cfRule>
    <x:cfRule type="expression" dxfId="2" priority="3">
      <x:formula>U2="차단"</x:formula>
    </x:cfRule>
    <x:cfRule type="expression" dxfId="3" priority="4">
      <x:formula>U2="실패"</x:formula>
    </x:cfRule>
    <x:cfRule type="expression" dxfId="4" priority="5">
      <x:formula>U2="구현 중"</x:formula>
    </x:cfRule>
    <x:cfRule type="expression" dxfId="5" priority="6">
      <x:formula>U2="QA 진행 중"</x:formula>
    </x:cfRule>
  </x:conditionalFormatting>
  <x:conditionalFormatting sqref="J2:J39">
    <x:cfRule type="expression" dxfId="6" priority="7">
      <x:formula>J2="P0"</x:formula>
    </x:cfRule>
    <x:cfRule type="expression" dxfId="7" priority="8">
      <x:formula>J2="P1"</x:formula>
    </x:cfRule>
  </x:conditionalFormatting>
  <x:conditionalFormatting sqref="Z2:Z39">
    <x:cfRule type="expression" dxfId="8" priority="9">
      <x:formula>Z2="높음"</x:formula>
    </x:cfRule>
    <x:cfRule type="expression" dxfId="9" priority="10">
      <x:formula>Z2="중간"</x:formula>
    </x:cfRule>
  </x:conditionalFormatting>
  <x:conditionalFormatting sqref="AJ2:AJ39">
    <x:cfRule type="expression" dxfId="30" priority="11">
      <x:formula>AJ2="착수 전"</x:formula>
    </x:cfRule>
    <x:cfRule type="expression" dxfId="31" priority="12">
      <x:formula>AJ2="작업 중"</x:formula>
    </x:cfRule>
    <x:cfRule type="expression" dxfId="32" priority="13">
      <x:formula>AJ2="완료"</x:formula>
    </x:cfRule>
  </x:conditionalFormatting>
  <x:dataValidations count="11">
    <x:dataValidation type="list" sqref="I2:I39">
      <x:formula1>"MVP,알파,베타,릴리스 후보,출시,출시 후,대상 제외"</x:formula1>
    </x:dataValidation>
    <x:dataValidation type="list" sqref="J2:J39">
      <x:formula1>"P0,P1,P2,P3"</x:formula1>
    </x:dataValidation>
    <x:dataValidation type="list" sqref="K2:K39">
      <x:formula1>"필수,조건부,권장,대상 제외"</x:formula1>
    </x:dataValidation>
    <x:dataValidation type="list" sqref="Q2:Q39">
      <x:formula1>"전체,PC,콘솔,모바일,서버,백엔드,도구,웹·관리자"</x:formula1>
    </x:dataValidation>
    <x:dataValidation type="list" sqref="R2:R39">
      <x:formula1>"서버 권한,클라이언트 예측·서버 검증,클라이언트 로컬,백엔드 권한,호스트 권한,콘텐츠 데이터,해당 없음"</x:formula1>
    </x:dataValidation>
    <x:dataValidation type="list" sqref="S2:S39">
      <x:formula1>"없음,세션,매치,계정,단말 로컬,백엔드,감사 로그"</x:formula1>
    </x:dataValidation>
    <x:dataValidation type="list" sqref="T2:T39">
      <x:formula1>"XS,S,M,L,XL,분할 필요"</x:formula1>
    </x:dataValidation>
    <x:dataValidation type="list" sqref="U2:U39">
      <x:formula1>"미착수,사양 확인 중,구현 중,코드 리뷰,QA 진행 중,차단,완료,보류"</x:formula1>
    </x:dataValidation>
    <x:dataValidation type="list" sqref="Z2:Z39">
      <x:formula1>"높음,중간,낮음"</x:formula1>
    </x:dataValidation>
    <x:dataValidation type="list" sqref="AA2:AA39">
      <x:formula1>"기능,통합,경계값,네트워크,보안,성능,호환성,사용성,접근성,현지화,밸런스,운영,안전,부하"</x:formula1>
    </x:dataValidation>
    <x:dataValidation type="list" sqref="AJ2:AJ39">
      <x:formula1>"착수 전,작업 중,완료"</x:formula1>
    </x:dataValidation>
  </x:dataValidations>
  <x:pageMargins left="0.7" right="0.7" top="0.75" bottom="0.75" header="0.3" footer="0.3"/>
  <x:tableParts count="1">
    <x:tablePart xmlns:r="http://schemas.openxmlformats.org/officeDocument/2006/relationships" r:id="Rf20f67d4257e4f49"/>
  </x:tableParts>
</x:worksheet>
</file>

<file path=xl/worksheets/sheet3.xml><?xml version="1.0" encoding="utf-8"?>
<x:worksheet xmlns:x="http://schemas.openxmlformats.org/spreadsheetml/2006/main">
  <x:sheetFormatPr defaultRowHeight="15"/>
  <x:cols>
    <x:col min="1" max="1" width="22" hidden="0" customWidth="1"/>
    <x:col min="2" max="2" width="38" hidden="0" customWidth="1"/>
    <x:col min="3" max="3" width="28" hidden="0" customWidth="1"/>
    <x:col min="4" max="4" width="28" hidden="0" customWidth="1"/>
    <x:col min="5" max="5" width="22" hidden="0" customWidth="1"/>
    <x:col min="6" max="6" width="22" hidden="0" customWidth="1"/>
    <x:col min="7" max="7" width="26" hidden="0" customWidth="1"/>
    <x:col min="8" max="8" width="28" hidden="0" customWidth="1"/>
  </x:cols>
  <x:sheetData>
    <x:row r="1" ht="30" customHeight="1">
      <x:c r="A1" s="40" t="str">
        <x:v>시험 영역</x:v>
      </x:c>
      <x:c r="B1" s="40" t="str">
        <x:v>범위</x:v>
      </x:c>
      <x:c r="C1" s="40" t="str">
        <x:v>진입 조건</x:v>
      </x:c>
      <x:c r="D1" s="40" t="str">
        <x:v>종료 조건</x:v>
      </x:c>
      <x:c r="E1" s="40" t="str">
        <x:v>환경</x:v>
      </x:c>
      <x:c r="F1" s="40" t="str">
        <x:v>담당</x:v>
      </x:c>
      <x:c r="G1" s="40" t="str">
        <x:v>증빙</x:v>
      </x:c>
      <x:c r="H1" s="40" t="str">
        <x:v>관련 ID</x:v>
      </x:c>
    </x:row>
    <x:row r="2" ht="42" customHeight="1">
      <x:c r="A2" s="36" t="str">
        <x:v>스모크</x:v>
      </x:c>
      <x:c r="B2" s="36" t="str">
        <x:v>실행부터 1매치 완료까지</x:v>
      </x:c>
      <x:c r="C2" s="36" t="str">
        <x:v>빌드 생성</x:v>
      </x:c>
      <x:c r="D2" s="36" t="str">
        <x:v>P0 흐름 통과</x:v>
      </x:c>
      <x:c r="E2" s="36" t="str">
        <x:v>QA</x:v>
      </x:c>
      <x:c r="F2" s="36" t="str">
        <x:v>QA</x:v>
      </x:c>
      <x:c r="G2" s="36" t="str">
        <x:v>실행 링크</x:v>
      </x:c>
      <x:c r="H2" s="36" t="str">
        <x:v>QAR-003</x:v>
      </x:c>
    </x:row>
    <x:row r="3" ht="42" customHeight="1">
      <x:c r="A3" s="36" t="str">
        <x:v>핵심 기능</x:v>
      </x:c>
      <x:c r="B3" s="36" t="str">
        <x:v>메모·투표·승패</x:v>
      </x:c>
      <x:c r="C3" s="36" t="str">
        <x:v>사양 동결</x:v>
      </x:c>
      <x:c r="D3" s="36" t="str">
        <x:v>P0·P1 통과</x:v>
      </x:c>
      <x:c r="E3" s="36" t="str">
        <x:v>QA</x:v>
      </x:c>
      <x:c r="F3" s="36" t="str">
        <x:v>QA·게임플레이</x:v>
      </x:c>
      <x:c r="G3" s="36" t="str">
        <x:v>시험 사례</x:v>
      </x:c>
      <x:c r="H3" s="36" t="str">
        <x:v>QAR-004</x:v>
      </x:c>
    </x:row>
    <x:row r="4" ht="42" customHeight="1">
      <x:c r="A4" s="36" t="str">
        <x:v>네트워크</x:v>
      </x:c>
      <x:c r="B4" s="36" t="str">
        <x:v>열화·재접속·정보 비공개</x:v>
      </x:c>
      <x:c r="C4" s="36" t="str">
        <x:v>시험 하네스 사용 가능</x:v>
      </x:c>
      <x:c r="D4" s="36" t="str">
        <x:v>상태 분기·정보 유출 없음</x:v>
      </x:c>
      <x:c r="E4" s="36" t="str">
        <x:v>QA·스테이징</x:v>
      </x:c>
      <x:c r="F4" s="36" t="str">
        <x:v>네트워크 QA</x:v>
      </x:c>
      <x:c r="G4" s="36" t="str">
        <x:v>시험 보고서</x:v>
      </x:c>
      <x:c r="H4" s="36" t="str">
        <x:v>QAR-006,QAR-007,QAR-008</x:v>
      </x:c>
    </x:row>
    <x:row r="5" ht="42" customHeight="1">
      <x:c r="A5" s="36" t="str">
        <x:v>접근성</x:v>
      </x:c>
      <x:c r="B5" s="36" t="str">
        <x:v>색상·자막·입력·텍스트</x:v>
      </x:c>
      <x:c r="C5" s="36" t="str">
        <x:v>기능 완료</x:v>
      </x:c>
      <x:c r="D5" s="36" t="str">
        <x:v>치명 문제 없음</x:v>
      </x:c>
      <x:c r="E5" s="36" t="str">
        <x:v>QA·실제 기기</x:v>
      </x:c>
      <x:c r="F5" s="36" t="str">
        <x:v>접근성 QA</x:v>
      </x:c>
      <x:c r="G5" s="36" t="str">
        <x:v>점검표</x:v>
      </x:c>
      <x:c r="H5" s="36" t="str">
        <x:v>QAR-010</x:v>
      </x:c>
    </x:row>
    <x:row r="6" ht="42" customHeight="1">
      <x:c r="A6" s="36" t="str">
        <x:v>성능</x:v>
      </x:c>
      <x:c r="B6" s="36" t="str">
        <x:v>클라이언트·서버·부하</x:v>
      </x:c>
      <x:c r="C6" s="36" t="str">
        <x:v>최적화 빌드</x:v>
      </x:c>
      <x:c r="D6" s="36" t="str">
        <x:v>목표 달성</x:v>
      </x:c>
      <x:c r="E6" s="36" t="str">
        <x:v>성능·스테이징</x:v>
      </x:c>
      <x:c r="F6" s="36" t="str">
        <x:v>성능 QA</x:v>
      </x:c>
      <x:c r="G6" s="36" t="str">
        <x:v>프로파일 보고서</x:v>
      </x:c>
      <x:c r="H6" s="36" t="str">
        <x:v>QAR-013,QAR-014,QAR-020</x:v>
      </x:c>
    </x:row>
    <x:row r="7" ht="42" customHeight="1">
      <x:c r="A7" s="36" t="str">
        <x:v>출시</x:v>
      </x:c>
      <x:c r="B7" s="36" t="str">
        <x:v>플랫폼 인증·회귀·운영</x:v>
      </x:c>
      <x:c r="C7" s="36" t="str">
        <x:v>출시 후보 동결</x:v>
      </x:c>
      <x:c r="D7" s="36" t="str">
        <x:v>전체 게이트 승인</x:v>
      </x:c>
      <x:c r="E7" s="36" t="str">
        <x:v>스테이징·운영 유사 환경</x:v>
      </x:c>
      <x:c r="F7" s="36" t="str">
        <x:v>출시 관리</x:v>
      </x:c>
      <x:c r="G7" s="36" t="str">
        <x:v>승인 기록</x:v>
      </x:c>
      <x:c r="H7" s="36" t="str">
        <x:v>QAR-032</x:v>
      </x:c>
    </x:row>
  </x:sheetData>
  <x:pageMargins left="0.7" right="0.7" top="0.75" bottom="0.75" header="0.3" footer="0.3"/>
  <x:tableParts count="1">
    <x:tablePart xmlns:r="http://schemas.openxmlformats.org/officeDocument/2006/relationships" r:id="R43e33ff903b9402b"/>
  </x:tableParts>
</x:worksheet>
</file>

<file path=xl/worksheets/sheet4.xml><?xml version="1.0" encoding="utf-8"?>
<x:worksheet xmlns:x="http://schemas.openxmlformats.org/spreadsheetml/2006/main">
  <x:sheetFormatPr defaultRowHeight="15"/>
  <x:cols>
    <x:col min="1" max="1" width="26" hidden="0" customWidth="1"/>
    <x:col min="2" max="2" width="40" hidden="0" customWidth="1"/>
    <x:col min="3" max="3" width="24" hidden="0" customWidth="1"/>
    <x:col min="4" max="4" width="28" hidden="0" customWidth="1"/>
    <x:col min="5" max="5" width="26" hidden="0" customWidth="1"/>
    <x:col min="6" max="6" width="22" hidden="0" customWidth="1"/>
    <x:col min="7" max="7" width="14" hidden="0" customWidth="1"/>
    <x:col min="8" max="8" width="20" hidden="0" customWidth="1"/>
  </x:cols>
  <x:sheetData>
    <x:row r="1" ht="30" customHeight="1">
      <x:c r="A1" s="40" t="str">
        <x:v>지표</x:v>
      </x:c>
      <x:c r="B1" s="40" t="str">
        <x:v>정의</x:v>
      </x:c>
      <x:c r="C1" s="40" t="str">
        <x:v>목표</x:v>
      </x:c>
      <x:c r="D1" s="40" t="str">
        <x:v>출시 중단 기준</x:v>
      </x:c>
      <x:c r="E1" s="40" t="str">
        <x:v>측정 수단</x:v>
      </x:c>
      <x:c r="F1" s="40" t="str">
        <x:v>담당</x:v>
      </x:c>
      <x:c r="G1" s="40" t="str">
        <x:v>상태</x:v>
      </x:c>
      <x:c r="H1" s="40" t="str">
        <x:v>관련 ID</x:v>
      </x:c>
    </x:row>
    <x:row r="2" ht="42" customHeight="1">
      <x:c r="A2" s="36" t="str">
        <x:v>크래시 프리 세션</x:v>
      </x:c>
      <x:c r="B2" s="36" t="str">
        <x:v>크래시 없이 종료된 세션 비율</x:v>
      </x:c>
      <x:c r="C2" s="36" t="str">
        <x:v>출시 후보 전 확정</x:v>
      </x:c>
      <x:c r="D2" s="36" t="str">
        <x:v>승인 임계값 미만</x:v>
      </x:c>
      <x:c r="E2" s="36" t="str">
        <x:v>크래시 백엔드</x:v>
      </x:c>
      <x:c r="F2" s="36" t="str">
        <x:v>클라이언트 리드</x:v>
      </x:c>
      <x:c r="G2" s="36" t="str">
        <x:v>미정</x:v>
      </x:c>
      <x:c r="H2" s="36" t="str">
        <x:v>QAR-026</x:v>
      </x:c>
    </x:row>
    <x:row r="3" ht="42" customHeight="1">
      <x:c r="A3" s="36" t="str">
        <x:v>매치 시작 성공률</x:v>
      </x:c>
      <x:c r="B3" s="36" t="str">
        <x:v>시작 요청부터 매치 진입까지</x:v>
      </x:c>
      <x:c r="C3" s="36" t="str">
        <x:v>출시 후보 전 확정</x:v>
      </x:c>
      <x:c r="D3" s="36" t="str">
        <x:v>SLO 위반</x:v>
      </x:c>
      <x:c r="E3" s="36" t="str">
        <x:v>온라인 텔레메트리</x:v>
      </x:c>
      <x:c r="F3" s="36" t="str">
        <x:v>온라인 리드</x:v>
      </x:c>
      <x:c r="G3" s="36" t="str">
        <x:v>미정</x:v>
      </x:c>
      <x:c r="H3" s="36" t="str">
        <x:v>QAR-027</x:v>
      </x:c>
    </x:row>
    <x:row r="4" ht="42" customHeight="1">
      <x:c r="A4" s="36" t="str">
        <x:v>재접속 성공률</x:v>
      </x:c>
      <x:c r="B4" s="36" t="str">
        <x:v>유예 시간 안에 복귀한 비율</x:v>
      </x:c>
      <x:c r="C4" s="36" t="str">
        <x:v>알파 이후 확정</x:v>
      </x:c>
      <x:c r="D4" s="36" t="str">
        <x:v>치명적 회귀</x:v>
      </x:c>
      <x:c r="E4" s="36" t="str">
        <x:v>온라인 텔레메트리</x:v>
      </x:c>
      <x:c r="F4" s="36" t="str">
        <x:v>네트워크 리드</x:v>
      </x:c>
      <x:c r="G4" s="36" t="str">
        <x:v>미정</x:v>
      </x:c>
      <x:c r="H4" s="36" t="str">
        <x:v>QAR-008</x:v>
      </x:c>
    </x:row>
    <x:row r="5" ht="42" customHeight="1">
      <x:c r="A5" s="36" t="str">
        <x:v>서버 틱 p95</x:v>
      </x:c>
      <x:c r="B5" s="36" t="str">
        <x:v>목표 틱 안에서 처리된 비율</x:v>
      </x:c>
      <x:c r="C5" s="36" t="str">
        <x:v>플랫폼·지역별 목표</x:v>
      </x:c>
      <x:c r="D5" s="36" t="str">
        <x:v>지속적 위반</x:v>
      </x:c>
      <x:c r="E5" s="36" t="str">
        <x:v>서버 지표</x:v>
      </x:c>
      <x:c r="F5" s="36" t="str">
        <x:v>서버 리드</x:v>
      </x:c>
      <x:c r="G5" s="36" t="str">
        <x:v>미정</x:v>
      </x:c>
      <x:c r="H5" s="36" t="str">
        <x:v>QAR-014</x:v>
      </x:c>
    </x:row>
    <x:row r="6" ht="42" customHeight="1">
      <x:c r="A6" s="36" t="str">
        <x:v>마피아 승률</x:v>
      </x:c>
      <x:c r="B6" s="36" t="str">
        <x:v>동일 숙련 구간의 승률</x:v>
      </x:c>
      <x:c r="C6" s="36" t="str">
        <x:v>초기 40~60%</x:v>
      </x:c>
      <x:c r="D6" s="36" t="str">
        <x:v>극단적 불균형</x:v>
      </x:c>
      <x:c r="E6" s="36" t="str">
        <x:v>매치 분석</x:v>
      </x:c>
      <x:c r="F6" s="36" t="str">
        <x:v>게임 디렉터</x:v>
      </x:c>
      <x:c r="G6" s="36" t="str">
        <x:v>초기안</x:v>
      </x:c>
      <x:c r="H6" s="36" t="str">
        <x:v>QAR-017</x:v>
      </x:c>
    </x:row>
    <x:row r="7" ht="42" customHeight="1">
      <x:c r="A7" s="36" t="str">
        <x:v>평균 매치 시간</x:v>
      </x:c>
      <x:c r="B7" s="36" t="str">
        <x:v>매치 시작부터 결과까지</x:v>
      </x:c>
      <x:c r="C7" s="36" t="str">
        <x:v>초기 12~20분</x:v>
      </x:c>
      <x:c r="D7" s="36" t="str">
        <x:v>이상 추세</x:v>
      </x:c>
      <x:c r="E7" s="36" t="str">
        <x:v>매치 분석</x:v>
      </x:c>
      <x:c r="F7" s="36" t="str">
        <x:v>게임 디렉터</x:v>
      </x:c>
      <x:c r="G7" s="36" t="str">
        <x:v>초기안</x:v>
      </x:c>
      <x:c r="H7" s="36" t="str">
        <x:v>QAR-017</x:v>
      </x:c>
    </x:row>
  </x:sheetData>
  <x:pageMargins left="0.7" right="0.7" top="0.75" bottom="0.75" header="0.3" footer="0.3"/>
  <x:tableParts count="1">
    <x:tablePart xmlns:r="http://schemas.openxmlformats.org/officeDocument/2006/relationships" r:id="R5f00964955464e2a"/>
  </x:tableParts>
</x:worksheet>
</file>

<file path=xl/worksheets/sheet5.xml><?xml version="1.0" encoding="utf-8"?>
<x:worksheet xmlns:x="http://schemas.openxmlformats.org/spreadsheetml/2006/main">
  <x:sheetFormatPr defaultRowHeight="15"/>
  <x:cols>
    <x:col min="1" max="1" width="16" hidden="0" customWidth="1"/>
    <x:col min="2" max="2" width="14" hidden="0" customWidth="1"/>
    <x:col min="3" max="3" width="24" hidden="0" customWidth="1"/>
    <x:col min="4" max="4" width="50" hidden="0" customWidth="1"/>
    <x:col min="5" max="5" width="22" hidden="0" customWidth="1"/>
    <x:col min="6" max="6" width="30" hidden="0" customWidth="1"/>
    <x:col min="7" max="7" width="14" hidden="0" customWidth="1"/>
    <x:col min="8" max="8" width="28" hidden="0" customWidth="1"/>
    <x:col min="9" max="9" width="28" hidden="0" customWidth="1"/>
  </x:cols>
  <x:sheetData>
    <x:row r="1" ht="30" customHeight="1">
      <x:c r="A1" s="40" t="str">
        <x:v>게이트 ID</x:v>
      </x:c>
      <x:c r="B1" s="40" t="str">
        <x:v>마일스톤</x:v>
      </x:c>
      <x:c r="C1" s="40" t="str">
        <x:v>게이트</x:v>
      </x:c>
      <x:c r="D1" s="40" t="str">
        <x:v>통과 기준</x:v>
      </x:c>
      <x:c r="E1" s="40" t="str">
        <x:v>담당</x:v>
      </x:c>
      <x:c r="F1" s="40" t="str">
        <x:v>승인자</x:v>
      </x:c>
      <x:c r="G1" s="40" t="str">
        <x:v>상태</x:v>
      </x:c>
      <x:c r="H1" s="40" t="str">
        <x:v>증빙</x:v>
      </x:c>
      <x:c r="I1" s="40" t="str">
        <x:v>관련 ID</x:v>
      </x:c>
    </x:row>
    <x:row r="2" ht="42" customHeight="1">
      <x:c r="A2" s="36" t="str">
        <x:v>G-MVP-01</x:v>
      </x:c>
      <x:c r="B2" s="36" t="str">
        <x:v>MVP</x:v>
      </x:c>
      <x:c r="C2" s="36" t="str">
        <x:v>핵심 루프</x:v>
      </x:c>
      <x:c r="D2" s="36" t="str">
        <x:v>4~6명이 메모→밤 투표→승패까지 완료</x:v>
      </x:c>
      <x:c r="E2" s="36" t="str">
        <x:v>게임 디렉터</x:v>
      </x:c>
      <x:c r="F2" s="36" t="str">
        <x:v>제품·엔지니어링·QA</x:v>
      </x:c>
      <x:c r="G2" s="36" t="str">
        <x:v>미착수</x:v>
      </x:c>
      <x:c r="H2" s="36" t="str"/>
      <x:c r="I2" s="36" t="str">
        <x:v>IGM-001,IGM-031</x:v>
      </x:c>
    </x:row>
    <x:row r="3" ht="42" customHeight="1">
      <x:c r="A3" s="36" t="str">
        <x:v>G-A-01</x:v>
      </x:c>
      <x:c r="B3" s="36" t="str">
        <x:v>알파</x:v>
      </x:c>
      <x:c r="C3" s="36" t="str">
        <x:v>권한·보안</x:v>
      </x:c>
      <x:c r="D3" s="36" t="str">
        <x:v>권한·비공개 정보 P0 시험 통과</x:v>
      </x:c>
      <x:c r="E3" s="36" t="str">
        <x:v>네트워크 리드</x:v>
      </x:c>
      <x:c r="F3" s="36" t="str">
        <x:v>보안·QA</x:v>
      </x:c>
      <x:c r="G3" s="36" t="str">
        <x:v>미착수</x:v>
      </x:c>
      <x:c r="H3" s="36" t="str"/>
      <x:c r="I3" s="36" t="str">
        <x:v>QAR-005,QAR-006</x:v>
      </x:c>
    </x:row>
    <x:row r="4" ht="42" customHeight="1">
      <x:c r="A4" s="36" t="str">
        <x:v>G-A-02</x:v>
      </x:c>
      <x:c r="B4" s="36" t="str">
        <x:v>알파</x:v>
      </x:c>
      <x:c r="C4" s="36" t="str">
        <x:v>네트워크 복원력</x:v>
      </x:c>
      <x:c r="D4" s="36" t="str">
        <x:v>열화·재접속에서 상태 손상 없음</x:v>
      </x:c>
      <x:c r="E4" s="36" t="str">
        <x:v>온라인 리드</x:v>
      </x:c>
      <x:c r="F4" s="36" t="str">
        <x:v>QA·엔지니어링</x:v>
      </x:c>
      <x:c r="G4" s="36" t="str">
        <x:v>미착수</x:v>
      </x:c>
      <x:c r="H4" s="36" t="str"/>
      <x:c r="I4" s="36" t="str">
        <x:v>QAR-007,QAR-008</x:v>
      </x:c>
    </x:row>
    <x:row r="5" ht="42" customHeight="1">
      <x:c r="A5" s="36" t="str">
        <x:v>G-B-01</x:v>
      </x:c>
      <x:c r="B5" s="36" t="str">
        <x:v>베타</x:v>
      </x:c>
      <x:c r="C5" s="36" t="str">
        <x:v>UX·접근성</x:v>
      </x:c>
      <x:c r="D5" s="36" t="str">
        <x:v>첫 플레이 이해와 치명 접근성 문제 없음</x:v>
      </x:c>
      <x:c r="E5" s="36" t="str">
        <x:v>UX 디렉터</x:v>
      </x:c>
      <x:c r="F5" s="36" t="str">
        <x:v>제품·QA</x:v>
      </x:c>
      <x:c r="G5" s="36" t="str">
        <x:v>미착수</x:v>
      </x:c>
      <x:c r="H5" s="36" t="str"/>
      <x:c r="I5" s="36" t="str">
        <x:v>QAR-009,QAR-010,QAR-018</x:v>
      </x:c>
    </x:row>
    <x:row r="6" ht="42" customHeight="1">
      <x:c r="A6" s="36" t="str">
        <x:v>G-RC-01</x:v>
      </x:c>
      <x:c r="B6" s="36" t="str">
        <x:v>출시 후보</x:v>
      </x:c>
      <x:c r="C6" s="36" t="str">
        <x:v>성능·안정성</x:v>
      </x:c>
      <x:c r="D6" s="36" t="str">
        <x:v>성능·장시간·크래시 목표 달성</x:v>
      </x:c>
      <x:c r="E6" s="36" t="str">
        <x:v>기술 디렉터</x:v>
      </x:c>
      <x:c r="F6" s="36" t="str">
        <x:v>QA·운영</x:v>
      </x:c>
      <x:c r="G6" s="36" t="str">
        <x:v>미착수</x:v>
      </x:c>
      <x:c r="H6" s="36" t="str"/>
      <x:c r="I6" s="36" t="str">
        <x:v>QAR-013,QAR-014,QAR-016,QAR-026</x:v>
      </x:c>
    </x:row>
    <x:row r="7" ht="42" customHeight="1">
      <x:c r="A7" s="36" t="str">
        <x:v>G-L-01</x:v>
      </x:c>
      <x:c r="B7" s="36" t="str">
        <x:v>출시</x:v>
      </x:c>
      <x:c r="C7" s="36" t="str">
        <x:v>규정·운영</x:v>
      </x:c>
      <x:c r="D7" s="36" t="str">
        <x:v>플랫폼 인증·개인정보·운영 절차·롤백 승인</x:v>
      </x:c>
      <x:c r="E7" s="36" t="str">
        <x:v>프로듀서</x:v>
      </x:c>
      <x:c r="F7" s="36" t="str">
        <x:v>법무·보안·운영</x:v>
      </x:c>
      <x:c r="G7" s="36" t="str">
        <x:v>미착수</x:v>
      </x:c>
      <x:c r="H7" s="36" t="str"/>
      <x:c r="I7" s="36" t="str">
        <x:v>QAR-028,QAR-029,QAR-030,QAR-031</x:v>
      </x:c>
    </x:row>
    <x:row r="8" ht="42" customHeight="1">
      <x:c r="A8" s="36" t="str">
        <x:v>G-L-02</x:v>
      </x:c>
      <x:c r="B8" s="36" t="str">
        <x:v>출시</x:v>
      </x:c>
      <x:c r="C8" s="36" t="str">
        <x:v>최종 승인</x:v>
      </x:c>
      <x:c r="D8" s="36" t="str">
        <x:v>미해결 P0 0건, 모든 예외 승인 완료</x:v>
      </x:c>
      <x:c r="E8" s="36" t="str">
        <x:v>총괄 프로듀서</x:v>
      </x:c>
      <x:c r="F8" s="36" t="str">
        <x:v>전체 리드</x:v>
      </x:c>
      <x:c r="G8" s="36" t="str">
        <x:v>미착수</x:v>
      </x:c>
      <x:c r="H8" s="36" t="str"/>
      <x:c r="I8" s="36" t="str">
        <x:v>QAR-038</x:v>
      </x:c>
    </x:row>
  </x:sheetData>
  <x:pageMargins left="0.7" right="0.7" top="0.75" bottom="0.75" header="0.3" footer="0.3"/>
  <x:tableParts count="1">
    <x:tablePart xmlns:r="http://schemas.openxmlformats.org/officeDocument/2006/relationships" r:id="R2725b8201ffd4908"/>
  </x:tableParts>
</x:worksheet>
</file>

<file path=xl/worksheets/sheet6.xml><?xml version="1.0" encoding="utf-8"?>
<x:worksheet xmlns:x="http://schemas.openxmlformats.org/spreadsheetml/2006/main">
  <x:sheetFormatPr defaultRowHeight="15"/>
  <x:cols>
    <x:col min="1" max="1" width="14" hidden="0" customWidth="1"/>
    <x:col min="2" max="2" width="42" hidden="0" customWidth="1"/>
    <x:col min="3" max="3" width="48" hidden="0" customWidth="1"/>
    <x:col min="4" max="4" width="16" hidden="0" customWidth="1"/>
    <x:col min="5" max="5" width="20" hidden="0" customWidth="1"/>
    <x:col min="6" max="6" width="28" hidden="0" customWidth="1"/>
    <x:col min="7" max="7" width="24" hidden="0" customWidth="1"/>
  </x:cols>
  <x:sheetData>
    <x:row r="1" ht="30" customHeight="1">
      <x:c r="A1" s="40" t="str">
        <x:v>심각도</x:v>
      </x:c>
      <x:c r="B1" s="40" t="str">
        <x:v>정의</x:v>
      </x:c>
      <x:c r="C1" s="40" t="str">
        <x:v>예시</x:v>
      </x:c>
      <x:c r="D1" s="40" t="str">
        <x:v>트리아지</x:v>
      </x:c>
      <x:c r="E1" s="40" t="str">
        <x:v>수정 목표</x:v>
      </x:c>
      <x:c r="F1" s="40" t="str">
        <x:v>출시 정책</x:v>
      </x:c>
      <x:c r="G1" s="40" t="str">
        <x:v>승인자</x:v>
      </x:c>
    </x:row>
    <x:row r="2" ht="42" customHeight="1">
      <x:c r="A2" s="36" t="str">
        <x:v>차단</x:v>
      </x:c>
      <x:c r="B2" s="36" t="str">
        <x:v>진행·빌드·서비스 전면 중지</x:v>
      </x:c>
      <x:c r="C2" s="36" t="str">
        <x:v>매치 시작 불가, 전원 연결 종료, 데이터 손상</x:v>
      </x:c>
      <x:c r="D2" s="36" t="str">
        <x:v>즉시</x:v>
      </x:c>
      <x:c r="E2" s="36" t="str">
        <x:v>당일</x:v>
      </x:c>
      <x:c r="F2" s="36" t="str">
        <x:v>출시 불가</x:v>
      </x:c>
      <x:c r="G2" s="36" t="str">
        <x:v>총괄 프로듀서</x:v>
      </x:c>
    </x:row>
    <x:row r="3" ht="42" customHeight="1">
      <x:c r="A3" s="36" t="str">
        <x:v>치명</x:v>
      </x:c>
      <x:c r="B3" s="36" t="str">
        <x:v>핵심 규칙·보안·중대 크래시</x:v>
      </x:c>
      <x:c r="C3" s="36" t="str">
        <x:v>비공개 정보 유출, 승패 오류, 높은 재현율 크래시</x:v>
      </x:c>
      <x:c r="D3" s="36" t="str">
        <x:v>4시간 이내</x:v>
      </x:c>
      <x:c r="E3" s="36" t="str">
        <x:v>24~48시간</x:v>
      </x:c>
      <x:c r="F3" s="36" t="str">
        <x:v>출시 불가</x:v>
      </x:c>
      <x:c r="G3" s="36" t="str">
        <x:v>기술·QA 디렉터</x:v>
      </x:c>
    </x:row>
    <x:row r="4" ht="42" customHeight="1">
      <x:c r="A4" s="36" t="str">
        <x:v>주요</x:v>
      </x:c>
      <x:c r="B4" s="36" t="str">
        <x:v>대체하기 어려운 주요 기능 오류</x:v>
      </x:c>
      <x:c r="C4" s="36" t="str">
        <x:v>투표 UI 불가, 일부 환경 음성 불가</x:v>
      </x:c>
      <x:c r="D4" s="36" t="str">
        <x:v>매일</x:v>
      </x:c>
      <x:c r="E4" s="36" t="str">
        <x:v>현재 마일스톤</x:v>
      </x:c>
      <x:c r="F4" s="36" t="str">
        <x:v>원칙적으로 수정</x:v>
      </x:c>
      <x:c r="G4" s="36" t="str">
        <x:v>제품·QA</x:v>
      </x:c>
    </x:row>
    <x:row r="5" ht="42" customHeight="1">
      <x:c r="A5" s="36" t="str">
        <x:v>경미</x:v>
      </x:c>
      <x:c r="B5" s="36" t="str">
        <x:v>우회 가능한 표시·경미한 결함</x:v>
      </x:c>
      <x:c r="C5" s="36" t="str">
        <x:v>문구 오류, 경미한 연출 문제</x:v>
      </x:c>
      <x:c r="D5" s="36" t="str">
        <x:v>주간</x:v>
      </x:c>
      <x:c r="E5" s="36" t="str">
        <x:v>계획 반영</x:v>
      </x:c>
      <x:c r="F5" s="36" t="str">
        <x:v>승인 시 연기 가능</x:v>
      </x:c>
      <x:c r="G5" s="36" t="str">
        <x:v>기능 담당자</x:v>
      </x:c>
    </x:row>
  </x:sheetData>
  <x:pageMargins left="0.7" right="0.7" top="0.75" bottom="0.75" header="0.3" footer="0.3"/>
  <x:tableParts count="1">
    <x:tablePart xmlns:r="http://schemas.openxmlformats.org/officeDocument/2006/relationships" r:id="R9fd3253e009e45da"/>
  </x:tableParts>
</x:worksheet>
</file>

<file path=xl/worksheets/sheet7.xml><?xml version="1.0" encoding="utf-8"?>
<x:worksheet xmlns:x="http://schemas.openxmlformats.org/spreadsheetml/2006/main">
  <x:sheetFormatPr defaultRowHeight="15"/>
  <x:cols>
    <x:col min="1" max="1" width="18" hidden="0" customWidth="1"/>
    <x:col min="2" max="2" width="12" hidden="0" customWidth="1"/>
    <x:col min="3" max="3" width="24" hidden="0" customWidth="1"/>
    <x:col min="4" max="4" width="36" hidden="0" customWidth="1"/>
    <x:col min="5" max="5" width="44" hidden="0" customWidth="1"/>
    <x:col min="6" max="6" width="42" hidden="0" customWidth="1"/>
    <x:col min="7" max="7" width="54" hidden="0" customWidth="1"/>
    <x:col min="8" max="8" width="54" hidden="0" customWidth="1"/>
    <x:col min="9" max="9" width="16" hidden="0" customWidth="1"/>
    <x:col min="10" max="10" width="10" hidden="0" customWidth="1"/>
    <x:col min="11" max="11" width="18" hidden="0" customWidth="1"/>
    <x:col min="12" max="12" width="14" hidden="0" customWidth="1"/>
    <x:col min="13" max="13" width="14" hidden="0" customWidth="1"/>
    <x:col min="14" max="14" width="16" hidden="0" customWidth="1"/>
    <x:col min="15" max="15" width="15" hidden="0" customWidth="1"/>
    <x:col min="16" max="16" width="28" hidden="0" customWidth="1"/>
    <x:col min="17" max="17" width="18" hidden="0" customWidth="1"/>
    <x:col min="18" max="18" width="13" hidden="0" customWidth="1"/>
    <x:col min="19" max="19" width="28" hidden="0" customWidth="1"/>
    <x:col min="20" max="20" width="12" hidden="0" customWidth="1"/>
    <x:col min="21" max="21" width="12" hidden="0" customWidth="1"/>
    <x:col min="22" max="22" width="12" hidden="0" customWidth="1"/>
  </x:cols>
  <x:sheetData>
    <x:row r="1" ht="30" customHeight="1">
      <x:c r="A1" s="40" t="str">
        <x:v>테스트 ID</x:v>
      </x:c>
      <x:c r="B1" s="40" t="str">
        <x:v>관련 ID</x:v>
      </x:c>
      <x:c r="C1" s="40" t="str">
        <x:v>부문</x:v>
      </x:c>
      <x:c r="D1" s="40" t="str">
        <x:v>제목</x:v>
      </x:c>
      <x:c r="E1" s="40" t="str">
        <x:v>목적</x:v>
      </x:c>
      <x:c r="F1" s="40" t="str">
        <x:v>사전 조건</x:v>
      </x:c>
      <x:c r="G1" s="40" t="str">
        <x:v>절차</x:v>
      </x:c>
      <x:c r="H1" s="40" t="str">
        <x:v>예상 결과</x:v>
      </x:c>
      <x:c r="I1" s="40" t="str">
        <x:v>QA 유형</x:v>
      </x:c>
      <x:c r="J1" s="40" t="str">
        <x:v>우선순위</x:v>
      </x:c>
      <x:c r="K1" s="40" t="str">
        <x:v>대상 플랫폼</x:v>
      </x:c>
      <x:c r="L1" s="40" t="str">
        <x:v>자동화 후보</x:v>
      </x:c>
      <x:c r="M1" s="40" t="str">
        <x:v>상태</x:v>
      </x:c>
      <x:c r="N1" s="40" t="str">
        <x:v>담당자명</x:v>
      </x:c>
      <x:c r="O1" s="40" t="str">
        <x:v>대상 빌드</x:v>
      </x:c>
      <x:c r="P1" s="40" t="str">
        <x:v>증빙 링크</x:v>
      </x:c>
      <x:c r="Q1" s="40" t="str">
        <x:v>결함 키</x:v>
      </x:c>
      <x:c r="R1" s="40" t="str">
        <x:v>최종 갱신일</x:v>
      </x:c>
      <x:c r="S1" s="40" t="str">
        <x:v>비고</x:v>
      </x:c>
      <x:c r="T1" s="53" t="str">
        <x:v>시작일</x:v>
      </x:c>
      <x:c r="U1" s="53" t="str">
        <x:v>종료일</x:v>
      </x:c>
      <x:c r="V1" s="53" t="str">
        <x:v>진행상황</x:v>
      </x:c>
    </x:row>
    <x:row r="2" ht="42" customHeight="1">
      <x:c r="A2" s="36" t="str">
        <x:v>TC-QAR-001-01</x:v>
      </x:c>
      <x:c r="B2" s="36" t="str">
        <x:v>QAR-001</x:v>
      </x:c>
      <x:c r="C2" s="36" t="str">
        <x:v>QA·릴리스·운영</x:v>
      </x:c>
      <x:c r="D2" s="36" t="str">
        <x:v>정상 시나리오: 제품 테스트 전략·책임 분담</x:v>
      </x:c>
      <x:c r="E2" s="36" t="str">
        <x:v>기능, 통합, 네트워크, 보안, 성능, 호환성, 접근성, 밸런스, 운영 시험의 범위, 담당, 시작 조건, 종료 조건을 정의한다.</x:v>
      </x:c>
      <x:c r="F2" s="36" t="str">
        <x:v>대상 기능이 포함된 MVP 빌드, 필요한 테스트 계정·룸 설정·로그 접근 권한을 준비한다.</x:v>
      </x:c>
      <x:c r="G2" s="36" t="str">
        <x:v>1. 사전 조건 상태를 구성한다.
2. 표준 설정에서 다음 테스트 대상을 실행한다: 제품 테스트 전략·책임 분담.
3. UI, 서버 상태와 로그·텔레메트리를 확인한다.
4. 필요하면 재입장 또는 재실행하여 재현성을 확인한다.</x:v>
      </x:c>
      <x:c r="H2" s="36" t="str">
        <x:v>기능, 통합, 네트워크, 보안, 성능, 호환성, 접근성, 밸런스, 운영 시험의 범위, 담당, 시작 조건, 종료 조건을 정의한다.</x:v>
      </x:c>
      <x:c r="I2" s="36" t="str">
        <x:v>운영</x:v>
      </x:c>
      <x:c r="J2" s="36" t="str">
        <x:v>P0</x:v>
      </x:c>
      <x:c r="K2" s="36" t="str">
        <x:v>전체</x:v>
      </x:c>
      <x:c r="L2" s="36" t="str">
        <x:v>부분</x:v>
      </x:c>
      <x:c r="M2" s="36" t="str">
        <x:v>미실시</x:v>
      </x:c>
      <x:c r="N2" s="36" t="str">
        <x:v>미정</x:v>
      </x:c>
      <x:c r="O2" s="36" t="str">
        <x:v>미정</x:v>
      </x:c>
      <x:c r="P2" s="36"/>
      <x:c r="Q2" s="36"/>
      <x:c r="R2" s="44" t="str">
        <x:v>2026-07-10</x:v>
      </x:c>
      <x:c r="S2" s="36"/>
      <x:c r="T2" s="54"/>
      <x:c r="U2" s="54"/>
      <x:c r="V2" s="53" t="str">
        <x:v>착수 전</x:v>
      </x:c>
    </x:row>
    <x:row r="3" ht="42" customHeight="1">
      <x:c r="A3" s="36" t="str">
        <x:v>TC-QAR-001-02</x:v>
      </x:c>
      <x:c r="B3" s="36" t="str">
        <x:v>QAR-001</x:v>
      </x:c>
      <x:c r="C3" s="36" t="str">
        <x:v>QA·릴리스·운영</x:v>
      </x:c>
      <x:c r="D3" s="36" t="str">
        <x:v>예외·경계 시나리오: 제품 테스트 전략·책임 분담</x:v>
      </x:c>
      <x:c r="E3" s="36" t="str">
        <x:v>허용되지 않은 상태, 잘못된 값, 중복, 만료, 권한 부족, 연결 끊김 입력으로 데이터 손상·정보 유출·클라이언트 상태 분기가 발생하지 않는지 확인한다.</x:v>
      </x:c>
      <x:c r="F3" s="36" t="str">
        <x:v>대상 기능이 포함된 MVP 빌드와 디버그 입력, 네트워크 열화, 비정상 요청 재현 수단을 준비한다.</x:v>
      </x:c>
      <x:c r="G3" s="36" t="str">
        <x:v>1. 허용되지 않은 페이즈 또는 경계값 조건을 구성한다.
2. 제품 테스트 전략·책임 분담에 대해 중복·무효·지연·연결 끊김을 포함한 요청을 전송한다.
3. 서버 거부, 롤백, 오류 표시와 감사 로그를 확인한다.
4. 모든 클라이언트의 상태가 일치하는지 확인한다.</x:v>
      </x:c>
      <x:c r="H3" s="36" t="str">
        <x:v>요청은 사양에 따라 거부되거나 안전하게 복구되며, 중복 반영, 데이터 손실, 정보 유출 또는 진행 중단이 발생하지 않는다. 오류와 상관관계 ID가 기록된다.</x:v>
      </x:c>
      <x:c r="I3" s="36" t="str">
        <x:v>운영</x:v>
      </x:c>
      <x:c r="J3" s="36" t="str">
        <x:v>P0</x:v>
      </x:c>
      <x:c r="K3" s="36" t="str">
        <x:v>전체</x:v>
      </x:c>
      <x:c r="L3" s="36" t="str">
        <x:v>부분</x:v>
      </x:c>
      <x:c r="M3" s="36" t="str">
        <x:v>미실시</x:v>
      </x:c>
      <x:c r="N3" s="36" t="str">
        <x:v>미정</x:v>
      </x:c>
      <x:c r="O3" s="36" t="str">
        <x:v>미정</x:v>
      </x:c>
      <x:c r="P3" s="36"/>
      <x:c r="Q3" s="36"/>
      <x:c r="R3" s="44" t="str">
        <x:v>2026-07-10</x:v>
      </x:c>
      <x:c r="S3" s="36"/>
      <x:c r="T3" s="54"/>
      <x:c r="U3" s="54"/>
      <x:c r="V3" s="53" t="str">
        <x:v>착수 전</x:v>
      </x:c>
    </x:row>
    <x:row r="4" ht="42" customHeight="1">
      <x:c r="A4" s="36" t="str">
        <x:v>TC-QAR-002-01</x:v>
      </x:c>
      <x:c r="B4" s="36" t="str">
        <x:v>QAR-002</x:v>
      </x:c>
      <x:c r="C4" s="36" t="str">
        <x:v>QA·릴리스·운영</x:v>
      </x:c>
      <x:c r="D4" s="36" t="str">
        <x:v>정상 시나리오: 개발·QA·스테이징·운영 환경</x:v>
      </x:c>
      <x:c r="E4" s="36" t="str">
        <x:v>각 환경의 서비스, 설정, 데이터, 접근 권한, 초기화 절차, 버전 대응 관계를 문서화하고 운영 데이터를 QA 환경에 반입하지 않는다.</x:v>
      </x:c>
      <x:c r="F4" s="36" t="str">
        <x:v>대상 기능이 포함된 알파 빌드, 필요한 테스트 계정·룸 설정·로그 접근 권한을 준비한다.</x:v>
      </x:c>
      <x:c r="G4" s="36" t="str">
        <x:v>1. 사전 조건 상태를 구성한다.
2. 표준 설정에서 다음 테스트 대상을 실행한다: 개발·QA·스테이징·운영 환경.
3. UI, 서버 상태와 로그·텔레메트리를 확인한다.
4. 필요하면 재입장 또는 재실행하여 재현성을 확인한다.</x:v>
      </x:c>
      <x:c r="H4" s="36" t="str">
        <x:v>각 환경의 서비스, 설정, 데이터, 접근 권한, 초기화 절차, 버전 대응 관계를 문서화하고 운영 데이터를 QA 환경에 반입하지 않는다.</x:v>
      </x:c>
      <x:c r="I4" s="36" t="str">
        <x:v>운영</x:v>
      </x:c>
      <x:c r="J4" s="36" t="str">
        <x:v>P0</x:v>
      </x:c>
      <x:c r="K4" s="36" t="str">
        <x:v>전체</x:v>
      </x:c>
      <x:c r="L4" s="36" t="str">
        <x:v>부분</x:v>
      </x:c>
      <x:c r="M4" s="36" t="str">
        <x:v>미실시</x:v>
      </x:c>
      <x:c r="N4" s="36" t="str">
        <x:v>미정</x:v>
      </x:c>
      <x:c r="O4" s="36" t="str">
        <x:v>미정</x:v>
      </x:c>
      <x:c r="P4" s="36"/>
      <x:c r="Q4" s="36"/>
      <x:c r="R4" s="44" t="str">
        <x:v>2026-07-10</x:v>
      </x:c>
      <x:c r="S4" s="36"/>
      <x:c r="T4" s="54"/>
      <x:c r="U4" s="54"/>
      <x:c r="V4" s="53" t="str">
        <x:v>착수 전</x:v>
      </x:c>
    </x:row>
    <x:row r="5" ht="42" customHeight="1">
      <x:c r="A5" s="36" t="str">
        <x:v>TC-QAR-002-02</x:v>
      </x:c>
      <x:c r="B5" s="36" t="str">
        <x:v>QAR-002</x:v>
      </x:c>
      <x:c r="C5" s="36" t="str">
        <x:v>QA·릴리스·운영</x:v>
      </x:c>
      <x:c r="D5" s="36" t="str">
        <x:v>예외·경계 시나리오: 개발·QA·스테이징·운영 환경</x:v>
      </x:c>
      <x:c r="E5" s="36" t="str">
        <x:v>허용되지 않은 상태, 잘못된 값, 중복, 만료, 권한 부족, 연결 끊김 입력으로 데이터 손상·정보 유출·클라이언트 상태 분기가 발생하지 않는지 확인한다.</x:v>
      </x:c>
      <x:c r="F5" s="36" t="str">
        <x:v>대상 기능이 포함된 알파 빌드와 디버그 입력, 네트워크 열화, 비정상 요청 재현 수단을 준비한다.</x:v>
      </x:c>
      <x:c r="G5" s="36" t="str">
        <x:v>1. 허용되지 않은 페이즈 또는 경계값 조건을 구성한다.
2. 개발·QA·스테이징·운영 환경에 대해 중복·무효·지연·연결 끊김을 포함한 요청을 전송한다.
3. 서버 거부, 롤백, 오류 표시와 감사 로그를 확인한다.
4. 모든 클라이언트의 상태가 일치하는지 확인한다.</x:v>
      </x:c>
      <x:c r="H5" s="36" t="str">
        <x:v>요청은 사양에 따라 거부되거나 안전하게 복구되며, 중복 반영, 데이터 손실, 정보 유출 또는 진행 중단이 발생하지 않는다. 오류와 상관관계 ID가 기록된다.</x:v>
      </x:c>
      <x:c r="I5" s="36" t="str">
        <x:v>운영</x:v>
      </x:c>
      <x:c r="J5" s="36" t="str">
        <x:v>P0</x:v>
      </x:c>
      <x:c r="K5" s="36" t="str">
        <x:v>전체</x:v>
      </x:c>
      <x:c r="L5" s="36" t="str">
        <x:v>부분</x:v>
      </x:c>
      <x:c r="M5" s="36" t="str">
        <x:v>미실시</x:v>
      </x:c>
      <x:c r="N5" s="36" t="str">
        <x:v>미정</x:v>
      </x:c>
      <x:c r="O5" s="36" t="str">
        <x:v>미정</x:v>
      </x:c>
      <x:c r="P5" s="36"/>
      <x:c r="Q5" s="36"/>
      <x:c r="R5" s="44" t="str">
        <x:v>2026-07-10</x:v>
      </x:c>
      <x:c r="S5" s="36"/>
      <x:c r="T5" s="54"/>
      <x:c r="U5" s="54"/>
      <x:c r="V5" s="53" t="str">
        <x:v>착수 전</x:v>
      </x:c>
    </x:row>
    <x:row r="6" ht="42" customHeight="1">
      <x:c r="A6" s="36" t="str">
        <x:v>TC-QAR-003-01</x:v>
      </x:c>
      <x:c r="B6" s="36" t="str">
        <x:v>QAR-003</x:v>
      </x:c>
      <x:c r="C6" s="36" t="str">
        <x:v>QA·릴리스·운영</x:v>
      </x:c>
      <x:c r="D6" s="36" t="str">
        <x:v>정상 시나리오: 빌드 수용 스모크 테스트</x:v>
      </x:c>
      <x:c r="E6" s="36" t="str">
        <x:v>지원 플랫폼의 매 빌드에서 실행, 인증, 룸 생성·참가, 시작, 낮, 메모, 밤, 투표, 최종 재판, 결과, 종료를 확인한다.</x:v>
      </x:c>
      <x:c r="F6" s="36" t="str">
        <x:v>대상 기능이 포함된 MVP 빌드, 필요한 테스트 계정·룸 설정·로그 접근 권한을 준비한다.</x:v>
      </x:c>
      <x:c r="G6" s="36" t="str">
        <x:v>1. 사전 조건 상태를 구성한다.
2. 표준 설정에서 다음 테스트 대상을 실행한다: 빌드 수용 스모크 테스트.
3. UI, 서버 상태와 로그·텔레메트리를 확인한다.
4. 필요하면 재입장 또는 재실행하여 재현성을 확인한다.</x:v>
      </x:c>
      <x:c r="H6" s="36" t="str">
        <x:v>지원 플랫폼의 매 빌드에서 실행, 인증, 룸 생성·참가, 시작, 낮, 메모, 밤, 투표, 최종 재판, 결과, 종료를 확인한다.</x:v>
      </x:c>
      <x:c r="I6" s="36" t="str">
        <x:v>통합</x:v>
      </x:c>
      <x:c r="J6" s="36" t="str">
        <x:v>P0</x:v>
      </x:c>
      <x:c r="K6" s="36" t="str">
        <x:v>전체</x:v>
      </x:c>
      <x:c r="L6" s="36" t="str">
        <x:v>부분</x:v>
      </x:c>
      <x:c r="M6" s="36" t="str">
        <x:v>미실시</x:v>
      </x:c>
      <x:c r="N6" s="36" t="str">
        <x:v>미정</x:v>
      </x:c>
      <x:c r="O6" s="36" t="str">
        <x:v>미정</x:v>
      </x:c>
      <x:c r="P6" s="36"/>
      <x:c r="Q6" s="36"/>
      <x:c r="R6" s="44" t="str">
        <x:v>2026-07-10</x:v>
      </x:c>
      <x:c r="S6" s="36"/>
      <x:c r="T6" s="54"/>
      <x:c r="U6" s="54"/>
      <x:c r="V6" s="53" t="str">
        <x:v>착수 전</x:v>
      </x:c>
    </x:row>
    <x:row r="7" ht="42" customHeight="1">
      <x:c r="A7" s="36" t="str">
        <x:v>TC-QAR-003-02</x:v>
      </x:c>
      <x:c r="B7" s="36" t="str">
        <x:v>QAR-003</x:v>
      </x:c>
      <x:c r="C7" s="36" t="str">
        <x:v>QA·릴리스·운영</x:v>
      </x:c>
      <x:c r="D7" s="36" t="str">
        <x:v>예외·경계 시나리오: 빌드 수용 스모크 테스트</x:v>
      </x:c>
      <x:c r="E7" s="36" t="str">
        <x:v>허용되지 않은 상태, 잘못된 값, 중복, 만료, 권한 부족, 연결 끊김 입력으로 데이터 손상·정보 유출·클라이언트 상태 분기가 발생하지 않는지 확인한다.</x:v>
      </x:c>
      <x:c r="F7" s="36" t="str">
        <x:v>대상 기능이 포함된 MVP 빌드와 디버그 입력, 네트워크 열화, 비정상 요청 재현 수단을 준비한다.</x:v>
      </x:c>
      <x:c r="G7" s="36" t="str">
        <x:v>1. 허용되지 않은 페이즈 또는 경계값 조건을 구성한다.
2. 빌드 수용 스모크 테스트에 대해 중복·무효·지연·연결 끊김을 포함한 요청을 전송한다.
3. 서버 거부, 롤백, 오류 표시와 감사 로그를 확인한다.
4. 모든 클라이언트의 상태가 일치하는지 확인한다.</x:v>
      </x:c>
      <x:c r="H7" s="36" t="str">
        <x:v>요청은 사양에 따라 거부되거나 안전하게 복구되며, 중복 반영, 데이터 손실, 정보 유출 또는 진행 중단이 발생하지 않는다. 오류와 상관관계 ID가 기록된다.</x:v>
      </x:c>
      <x:c r="I7" s="36" t="str">
        <x:v>통합</x:v>
      </x:c>
      <x:c r="J7" s="36" t="str">
        <x:v>P0</x:v>
      </x:c>
      <x:c r="K7" s="36" t="str">
        <x:v>전체</x:v>
      </x:c>
      <x:c r="L7" s="36" t="str">
        <x:v>부분</x:v>
      </x:c>
      <x:c r="M7" s="36" t="str">
        <x:v>미실시</x:v>
      </x:c>
      <x:c r="N7" s="36" t="str">
        <x:v>미정</x:v>
      </x:c>
      <x:c r="O7" s="36" t="str">
        <x:v>미정</x:v>
      </x:c>
      <x:c r="P7" s="36"/>
      <x:c r="Q7" s="36"/>
      <x:c r="R7" s="44" t="str">
        <x:v>2026-07-10</x:v>
      </x:c>
      <x:c r="S7" s="36"/>
      <x:c r="T7" s="54"/>
      <x:c r="U7" s="54"/>
      <x:c r="V7" s="53" t="str">
        <x:v>착수 전</x:v>
      </x:c>
    </x:row>
    <x:row r="8" ht="42" customHeight="1">
      <x:c r="A8" s="36" t="str">
        <x:v>TC-QAR-004-01</x:v>
      </x:c>
      <x:c r="B8" s="36" t="str">
        <x:v>QAR-004</x:v>
      </x:c>
      <x:c r="C8" s="36" t="str">
        <x:v>QA·릴리스·운영</x:v>
      </x:c>
      <x:c r="D8" s="36" t="str">
        <x:v>정상 시나리오: 핵심 규칙 기능 시험</x:v>
      </x:c>
      <x:c r="E8" s="36" t="str">
        <x:v>자신의 등 메모 비공개, 색상 위조, 밤 대화 금지, 강제 투표, 최종 재판, 승패 조건을 정상, 오류, 경계 조건에서 검증한다.</x:v>
      </x:c>
      <x:c r="F8" s="36" t="str">
        <x:v>대상 기능이 포함된 MVP 빌드, 필요한 테스트 계정·룸 설정·로그 접근 권한을 준비한다.</x:v>
      </x:c>
      <x:c r="G8" s="36" t="str">
        <x:v>1. 사전 조건 상태를 구성한다.
2. 표준 설정에서 다음 테스트 대상을 실행한다: 핵심 규칙 기능 시험.
3. UI, 서버 상태와 로그·텔레메트리를 확인한다.
4. 필요하면 재입장 또는 재실행하여 재현성을 확인한다.</x:v>
      </x:c>
      <x:c r="H8" s="36" t="str">
        <x:v>자신의 등 메모 비공개, 색상 위조, 밤 대화 금지, 강제 투표, 최종 재판, 승패 조건을 정상, 오류, 경계 조건에서 검증한다.</x:v>
      </x:c>
      <x:c r="I8" s="36" t="str">
        <x:v>기능</x:v>
      </x:c>
      <x:c r="J8" s="36" t="str">
        <x:v>P0</x:v>
      </x:c>
      <x:c r="K8" s="36" t="str">
        <x:v>전체</x:v>
      </x:c>
      <x:c r="L8" s="36" t="str">
        <x:v>부분</x:v>
      </x:c>
      <x:c r="M8" s="36" t="str">
        <x:v>미실시</x:v>
      </x:c>
      <x:c r="N8" s="36" t="str">
        <x:v>미정</x:v>
      </x:c>
      <x:c r="O8" s="36" t="str">
        <x:v>미정</x:v>
      </x:c>
      <x:c r="P8" s="36"/>
      <x:c r="Q8" s="36"/>
      <x:c r="R8" s="44" t="str">
        <x:v>2026-07-10</x:v>
      </x:c>
      <x:c r="S8" s="36"/>
      <x:c r="T8" s="54"/>
      <x:c r="U8" s="54"/>
      <x:c r="V8" s="53" t="str">
        <x:v>착수 전</x:v>
      </x:c>
    </x:row>
    <x:row r="9" ht="42" customHeight="1">
      <x:c r="A9" s="36" t="str">
        <x:v>TC-QAR-004-02</x:v>
      </x:c>
      <x:c r="B9" s="36" t="str">
        <x:v>QAR-004</x:v>
      </x:c>
      <x:c r="C9" s="36" t="str">
        <x:v>QA·릴리스·운영</x:v>
      </x:c>
      <x:c r="D9" s="36" t="str">
        <x:v>예외·경계 시나리오: 핵심 규칙 기능 시험</x:v>
      </x:c>
      <x:c r="E9" s="36" t="str">
        <x:v>허용되지 않은 상태, 잘못된 값, 중복, 만료, 권한 부족, 연결 끊김 입력으로 데이터 손상·정보 유출·클라이언트 상태 분기가 발생하지 않는지 확인한다.</x:v>
      </x:c>
      <x:c r="F9" s="36" t="str">
        <x:v>대상 기능이 포함된 MVP 빌드와 디버그 입력, 네트워크 열화, 비정상 요청 재현 수단을 준비한다.</x:v>
      </x:c>
      <x:c r="G9" s="36" t="str">
        <x:v>1. 허용되지 않은 페이즈 또는 경계값 조건을 구성한다.
2. 핵심 규칙 기능 시험에 대해 중복·무효·지연·연결 끊김을 포함한 요청을 전송한다.
3. 서버 거부, 롤백, 오류 표시와 감사 로그를 확인한다.
4. 모든 클라이언트의 상태가 일치하는지 확인한다.</x:v>
      </x:c>
      <x:c r="H9" s="36" t="str">
        <x:v>요청은 사양에 따라 거부되거나 안전하게 복구되며, 중복 반영, 데이터 손실, 정보 유출 또는 진행 중단이 발생하지 않는다. 오류와 상관관계 ID가 기록된다.</x:v>
      </x:c>
      <x:c r="I9" s="36" t="str">
        <x:v>기능</x:v>
      </x:c>
      <x:c r="J9" s="36" t="str">
        <x:v>P0</x:v>
      </x:c>
      <x:c r="K9" s="36" t="str">
        <x:v>전체</x:v>
      </x:c>
      <x:c r="L9" s="36" t="str">
        <x:v>부분</x:v>
      </x:c>
      <x:c r="M9" s="36" t="str">
        <x:v>미실시</x:v>
      </x:c>
      <x:c r="N9" s="36" t="str">
        <x:v>미정</x:v>
      </x:c>
      <x:c r="O9" s="36" t="str">
        <x:v>미정</x:v>
      </x:c>
      <x:c r="P9" s="36"/>
      <x:c r="Q9" s="36"/>
      <x:c r="R9" s="44" t="str">
        <x:v>2026-07-10</x:v>
      </x:c>
      <x:c r="S9" s="36"/>
      <x:c r="T9" s="54"/>
      <x:c r="U9" s="54"/>
      <x:c r="V9" s="53" t="str">
        <x:v>착수 전</x:v>
      </x:c>
    </x:row>
    <x:row r="10" ht="42" customHeight="1">
      <x:c r="A10" s="36" t="str">
        <x:v>TC-QAR-005-01</x:v>
      </x:c>
      <x:c r="B10" s="36" t="str">
        <x:v>QAR-005</x:v>
      </x:c>
      <x:c r="C10" s="36" t="str">
        <x:v>QA·릴리스·운영</x:v>
      </x:c>
      <x:c r="D10" s="36" t="str">
        <x:v>정상 시나리오: 서버 권한·비정상 요청 시험</x:v>
      </x:c>
      <x:c r="E10" s="36" t="str">
        <x:v>역할 변조, 거리 밖 부착, 위조 횟수 초과, 보상 중복, 투표 변조, 설정 변경을 시도하고 서버가 거부하며 기록하는지 확인한다.</x:v>
      </x:c>
      <x:c r="F10" s="36" t="str">
        <x:v>대상 기능이 포함된 알파 빌드, 필요한 테스트 계정·룸 설정·로그 접근 권한을 준비한다.</x:v>
      </x:c>
      <x:c r="G10" s="36" t="str">
        <x:v>1. 사전 조건 상태를 구성한다.
2. 표준 설정에서 다음 테스트 대상을 실행한다: 서버 권한·비정상 요청 시험.
3. UI, 서버 상태와 로그·텔레메트리를 확인한다.
4. 필요하면 재입장 또는 재실행하여 재현성을 확인한다.</x:v>
      </x:c>
      <x:c r="H10" s="36" t="str">
        <x:v>역할 변조, 거리 밖 부착, 위조 횟수 초과, 보상 중복, 투표 변조, 설정 변경을 시도하고 서버가 거부하며 기록하는지 확인한다.</x:v>
      </x:c>
      <x:c r="I10" s="36" t="str">
        <x:v>보안</x:v>
      </x:c>
      <x:c r="J10" s="36" t="str">
        <x:v>P0</x:v>
      </x:c>
      <x:c r="K10" s="36" t="str">
        <x:v>서버</x:v>
      </x:c>
      <x:c r="L10" s="36" t="str">
        <x:v>부분</x:v>
      </x:c>
      <x:c r="M10" s="36" t="str">
        <x:v>미실시</x:v>
      </x:c>
      <x:c r="N10" s="36" t="str">
        <x:v>미정</x:v>
      </x:c>
      <x:c r="O10" s="36" t="str">
        <x:v>미정</x:v>
      </x:c>
      <x:c r="P10" s="36"/>
      <x:c r="Q10" s="36"/>
      <x:c r="R10" s="44" t="str">
        <x:v>2026-07-10</x:v>
      </x:c>
      <x:c r="S10" s="36"/>
      <x:c r="T10" s="54"/>
      <x:c r="U10" s="54"/>
      <x:c r="V10" s="53" t="str">
        <x:v>착수 전</x:v>
      </x:c>
    </x:row>
    <x:row r="11" ht="42" customHeight="1">
      <x:c r="A11" s="36" t="str">
        <x:v>TC-QAR-005-02</x:v>
      </x:c>
      <x:c r="B11" s="36" t="str">
        <x:v>QAR-005</x:v>
      </x:c>
      <x:c r="C11" s="36" t="str">
        <x:v>QA·릴리스·운영</x:v>
      </x:c>
      <x:c r="D11" s="36" t="str">
        <x:v>예외·경계 시나리오: 서버 권한·비정상 요청 시험</x:v>
      </x:c>
      <x:c r="E11" s="36" t="str">
        <x:v>허용되지 않은 상태, 잘못된 값, 중복, 만료, 권한 부족, 연결 끊김 입력으로 데이터 손상·정보 유출·클라이언트 상태 분기가 발생하지 않는지 확인한다.</x:v>
      </x:c>
      <x:c r="F11" s="36" t="str">
        <x:v>대상 기능이 포함된 알파 빌드와 디버그 입력, 네트워크 열화, 비정상 요청 재현 수단을 준비한다.</x:v>
      </x:c>
      <x:c r="G11" s="36" t="str">
        <x:v>1. 허용되지 않은 페이즈 또는 경계값 조건을 구성한다.
2. 서버 권한·비정상 요청 시험에 대해 중복·무효·지연·연결 끊김을 포함한 요청을 전송한다.
3. 서버 거부, 롤백, 오류 표시와 감사 로그를 확인한다.
4. 모든 클라이언트의 상태가 일치하는지 확인한다.</x:v>
      </x:c>
      <x:c r="H11" s="36" t="str">
        <x:v>요청은 사양에 따라 거부되거나 안전하게 복구되며, 중복 반영, 데이터 손실, 정보 유출 또는 진행 중단이 발생하지 않는다. 오류와 상관관계 ID가 기록된다.</x:v>
      </x:c>
      <x:c r="I11" s="36" t="str">
        <x:v>보안</x:v>
      </x:c>
      <x:c r="J11" s="36" t="str">
        <x:v>P0</x:v>
      </x:c>
      <x:c r="K11" s="36" t="str">
        <x:v>서버</x:v>
      </x:c>
      <x:c r="L11" s="36" t="str">
        <x:v>부분</x:v>
      </x:c>
      <x:c r="M11" s="36" t="str">
        <x:v>미실시</x:v>
      </x:c>
      <x:c r="N11" s="36" t="str">
        <x:v>미정</x:v>
      </x:c>
      <x:c r="O11" s="36" t="str">
        <x:v>미정</x:v>
      </x:c>
      <x:c r="P11" s="36"/>
      <x:c r="Q11" s="36"/>
      <x:c r="R11" s="44" t="str">
        <x:v>2026-07-10</x:v>
      </x:c>
      <x:c r="S11" s="36"/>
      <x:c r="T11" s="54"/>
      <x:c r="U11" s="54"/>
      <x:c r="V11" s="53" t="str">
        <x:v>착수 전</x:v>
      </x:c>
    </x:row>
    <x:row r="12" ht="42" customHeight="1">
      <x:c r="A12" s="36" t="str">
        <x:v>TC-QAR-006-01</x:v>
      </x:c>
      <x:c r="B12" s="36" t="str">
        <x:v>QAR-006</x:v>
      </x:c>
      <x:c r="C12" s="36" t="str">
        <x:v>QA·릴리스·운영</x:v>
      </x:c>
      <x:c r="D12" s="36" t="str">
        <x:v>정상 시나리오: 비공개 정보 유출 시험</x:v>
      </x:c>
      <x:c r="E12" s="36" t="str">
        <x:v>본인 등 메모, 실제 작성자, 위조 여부, 다른 플레이어 역할, 중간 투표 결과, 비밀 음성이 네트워크, 로그, UI, 재접속, 크래시 덤프에서 노출되지 않는다.</x:v>
      </x:c>
      <x:c r="F12" s="36" t="str">
        <x:v>대상 기능이 포함된 알파 빌드, 필요한 테스트 계정·룸 설정·로그 접근 권한을 준비한다.</x:v>
      </x:c>
      <x:c r="G12" s="36" t="str">
        <x:v>1. 사전 조건 상태를 구성한다.
2. 표준 설정에서 다음 테스트 대상을 실행한다: 비공개 정보 유출 시험.
3. UI, 서버 상태와 로그·텔레메트리를 확인한다.
4. 필요하면 재입장 또는 재실행하여 재현성을 확인한다.</x:v>
      </x:c>
      <x:c r="H12" s="36" t="str">
        <x:v>본인 등 메모, 실제 작성자, 위조 여부, 다른 플레이어 역할, 중간 투표 결과, 비밀 음성이 네트워크, 로그, UI, 재접속, 크래시 덤프에서 노출되지 않는다.</x:v>
      </x:c>
      <x:c r="I12" s="36" t="str">
        <x:v>보안</x:v>
      </x:c>
      <x:c r="J12" s="36" t="str">
        <x:v>P0</x:v>
      </x:c>
      <x:c r="K12" s="36" t="str">
        <x:v>전체</x:v>
      </x:c>
      <x:c r="L12" s="36" t="str">
        <x:v>부분</x:v>
      </x:c>
      <x:c r="M12" s="36" t="str">
        <x:v>미실시</x:v>
      </x:c>
      <x:c r="N12" s="36" t="str">
        <x:v>미정</x:v>
      </x:c>
      <x:c r="O12" s="36" t="str">
        <x:v>미정</x:v>
      </x:c>
      <x:c r="P12" s="36"/>
      <x:c r="Q12" s="36"/>
      <x:c r="R12" s="44" t="str">
        <x:v>2026-07-10</x:v>
      </x:c>
      <x:c r="S12" s="36"/>
      <x:c r="T12" s="54"/>
      <x:c r="U12" s="54"/>
      <x:c r="V12" s="53" t="str">
        <x:v>착수 전</x:v>
      </x:c>
    </x:row>
    <x:row r="13" ht="42" customHeight="1">
      <x:c r="A13" s="36" t="str">
        <x:v>TC-QAR-006-02</x:v>
      </x:c>
      <x:c r="B13" s="36" t="str">
        <x:v>QAR-006</x:v>
      </x:c>
      <x:c r="C13" s="36" t="str">
        <x:v>QA·릴리스·운영</x:v>
      </x:c>
      <x:c r="D13" s="36" t="str">
        <x:v>예외·경계 시나리오: 비공개 정보 유출 시험</x:v>
      </x:c>
      <x:c r="E13" s="36" t="str">
        <x:v>허용되지 않은 상태, 잘못된 값, 중복, 만료, 권한 부족, 연결 끊김 입력으로 데이터 손상·정보 유출·클라이언트 상태 분기가 발생하지 않는지 확인한다.</x:v>
      </x:c>
      <x:c r="F13" s="36" t="str">
        <x:v>대상 기능이 포함된 알파 빌드와 디버그 입력, 네트워크 열화, 비정상 요청 재현 수단을 준비한다.</x:v>
      </x:c>
      <x:c r="G13" s="36" t="str">
        <x:v>1. 허용되지 않은 페이즈 또는 경계값 조건을 구성한다.
2. 비공개 정보 유출 시험에 대해 중복·무효·지연·연결 끊김을 포함한 요청을 전송한다.
3. 서버 거부, 롤백, 오류 표시와 감사 로그를 확인한다.
4. 모든 클라이언트의 상태가 일치하는지 확인한다.</x:v>
      </x:c>
      <x:c r="H13" s="36" t="str">
        <x:v>요청은 사양에 따라 거부되거나 안전하게 복구되며, 중복 반영, 데이터 손실, 정보 유출 또는 진행 중단이 발생하지 않는다. 오류와 상관관계 ID가 기록된다.</x:v>
      </x:c>
      <x:c r="I13" s="36" t="str">
        <x:v>보안</x:v>
      </x:c>
      <x:c r="J13" s="36" t="str">
        <x:v>P0</x:v>
      </x:c>
      <x:c r="K13" s="36" t="str">
        <x:v>전체</x:v>
      </x:c>
      <x:c r="L13" s="36" t="str">
        <x:v>부분</x:v>
      </x:c>
      <x:c r="M13" s="36" t="str">
        <x:v>미실시</x:v>
      </x:c>
      <x:c r="N13" s="36" t="str">
        <x:v>미정</x:v>
      </x:c>
      <x:c r="O13" s="36" t="str">
        <x:v>미정</x:v>
      </x:c>
      <x:c r="P13" s="36"/>
      <x:c r="Q13" s="36"/>
      <x:c r="R13" s="44" t="str">
        <x:v>2026-07-10</x:v>
      </x:c>
      <x:c r="S13" s="36"/>
      <x:c r="T13" s="54"/>
      <x:c r="U13" s="54"/>
      <x:c r="V13" s="53" t="str">
        <x:v>착수 전</x:v>
      </x:c>
    </x:row>
    <x:row r="14" ht="42" customHeight="1">
      <x:c r="A14" s="36" t="str">
        <x:v>TC-QAR-007-01</x:v>
      </x:c>
      <x:c r="B14" s="36" t="str">
        <x:v>QAR-007</x:v>
      </x:c>
      <x:c r="C14" s="36" t="str">
        <x:v>QA·릴리스·운영</x:v>
      </x:c>
      <x:c r="D14" s="36" t="str">
        <x:v>정상 시나리오: 지연·손실·지터·단시간 단절 시험 매트릭스</x:v>
      </x:c>
      <x:c r="E14" s="36" t="str">
        <x:v>정의된 네트워크 프로파일에서 페이즈, 메모, 미니게임, 투표, 음성을 반복하고 중복, 누락, 상태 분기, 조작 불능이 없는지 검증한다.</x:v>
      </x:c>
      <x:c r="F14" s="36" t="str">
        <x:v>대상 기능이 포함된 알파 빌드, 필요한 테스트 계정·룸 설정·로그 접근 권한을 준비한다.</x:v>
      </x:c>
      <x:c r="G14" s="36" t="str">
        <x:v>1. 사전 조건 상태를 구성한다.
2. 표준 설정에서 다음 테스트 대상을 실행한다: 지연·손실·지터·단시간 단절 시험 매트릭스.
3. UI, 서버 상태와 로그·텔레메트리를 확인한다.
4. 필요하면 재입장 또는 재실행하여 재현성을 확인한다.</x:v>
      </x:c>
      <x:c r="H14" s="36" t="str">
        <x:v>정의된 네트워크 프로파일에서 페이즈, 메모, 미니게임, 투표, 음성을 반복하고 중복, 누락, 상태 분기, 조작 불능이 없는지 검증한다.</x:v>
      </x:c>
      <x:c r="I14" s="36" t="str">
        <x:v>네트워크</x:v>
      </x:c>
      <x:c r="J14" s="36" t="str">
        <x:v>P0</x:v>
      </x:c>
      <x:c r="K14" s="36" t="str">
        <x:v>전체</x:v>
      </x:c>
      <x:c r="L14" s="36" t="str">
        <x:v>부분</x:v>
      </x:c>
      <x:c r="M14" s="36" t="str">
        <x:v>미실시</x:v>
      </x:c>
      <x:c r="N14" s="36" t="str">
        <x:v>미정</x:v>
      </x:c>
      <x:c r="O14" s="36" t="str">
        <x:v>미정</x:v>
      </x:c>
      <x:c r="P14" s="36"/>
      <x:c r="Q14" s="36"/>
      <x:c r="R14" s="44" t="str">
        <x:v>2026-07-10</x:v>
      </x:c>
      <x:c r="S14" s="36"/>
      <x:c r="T14" s="54"/>
      <x:c r="U14" s="54"/>
      <x:c r="V14" s="53" t="str">
        <x:v>착수 전</x:v>
      </x:c>
    </x:row>
    <x:row r="15" ht="42" customHeight="1">
      <x:c r="A15" s="36" t="str">
        <x:v>TC-QAR-007-02</x:v>
      </x:c>
      <x:c r="B15" s="36" t="str">
        <x:v>QAR-007</x:v>
      </x:c>
      <x:c r="C15" s="36" t="str">
        <x:v>QA·릴리스·운영</x:v>
      </x:c>
      <x:c r="D15" s="36" t="str">
        <x:v>예외·경계 시나리오: 지연·손실·지터·단시간 단절 시험 매트릭스</x:v>
      </x:c>
      <x:c r="E15" s="36" t="str">
        <x:v>허용되지 않은 상태, 잘못된 값, 중복, 만료, 권한 부족, 연결 끊김 입력으로 데이터 손상·정보 유출·클라이언트 상태 분기가 발생하지 않는지 확인한다.</x:v>
      </x:c>
      <x:c r="F15" s="36" t="str">
        <x:v>대상 기능이 포함된 알파 빌드와 디버그 입력, 네트워크 열화, 비정상 요청 재현 수단을 준비한다.</x:v>
      </x:c>
      <x:c r="G15" s="36" t="str">
        <x:v>1. 허용되지 않은 페이즈 또는 경계값 조건을 구성한다.
2. 지연·손실·지터·단시간 단절 시험 매트릭스에 대해 중복·무효·지연·연결 끊김을 포함한 요청을 전송한다.
3. 서버 거부, 롤백, 오류 표시와 감사 로그를 확인한다.
4. 모든 클라이언트의 상태가 일치하는지 확인한다.</x:v>
      </x:c>
      <x:c r="H15" s="36" t="str">
        <x:v>요청은 사양에 따라 거부되거나 안전하게 복구되며, 중복 반영, 데이터 손실, 정보 유출 또는 진행 중단이 발생하지 않는다. 오류와 상관관계 ID가 기록된다.</x:v>
      </x:c>
      <x:c r="I15" s="36" t="str">
        <x:v>네트워크</x:v>
      </x:c>
      <x:c r="J15" s="36" t="str">
        <x:v>P0</x:v>
      </x:c>
      <x:c r="K15" s="36" t="str">
        <x:v>전체</x:v>
      </x:c>
      <x:c r="L15" s="36" t="str">
        <x:v>부분</x:v>
      </x:c>
      <x:c r="M15" s="36" t="str">
        <x:v>미실시</x:v>
      </x:c>
      <x:c r="N15" s="36" t="str">
        <x:v>미정</x:v>
      </x:c>
      <x:c r="O15" s="36" t="str">
        <x:v>미정</x:v>
      </x:c>
      <x:c r="P15" s="36"/>
      <x:c r="Q15" s="36"/>
      <x:c r="R15" s="44" t="str">
        <x:v>2026-07-10</x:v>
      </x:c>
      <x:c r="S15" s="36"/>
      <x:c r="T15" s="54"/>
      <x:c r="U15" s="54"/>
      <x:c r="V15" s="53" t="str">
        <x:v>착수 전</x:v>
      </x:c>
    </x:row>
    <x:row r="16" ht="42" customHeight="1">
      <x:c r="A16" s="36" t="str">
        <x:v>TC-QAR-008-01</x:v>
      </x:c>
      <x:c r="B16" s="36" t="str">
        <x:v>QAR-008</x:v>
      </x:c>
      <x:c r="C16" s="36" t="str">
        <x:v>QA·릴리스·운영</x:v>
      </x:c>
      <x:c r="D16" s="36" t="str">
        <x:v>정상 시나리오: 모든 페이즈 재접속 시험</x:v>
      </x:c>
      <x:c r="E16" s="36" t="str">
        <x:v>로비, 역할 공개, 낮 부착 중, 밤 관찰, 투표 완료, 최종 발언, 결과 저장 중에 연결을 끊고 복귀해 상태와 비공개 정보가 정확히 복원되는지 확인한다.</x:v>
      </x:c>
      <x:c r="F16" s="36" t="str">
        <x:v>대상 기능이 포함된 알파 빌드, 필요한 테스트 계정·룸 설정·로그 접근 권한을 준비한다.</x:v>
      </x:c>
      <x:c r="G16" s="36" t="str">
        <x:v>1. 사전 조건 상태를 구성한다.
2. 표준 설정에서 다음 테스트 대상을 실행한다: 모든 페이즈 재접속 시험.
3. UI, 서버 상태와 로그·텔레메트리를 확인한다.
4. 필요하면 재입장 또는 재실행하여 재현성을 확인한다.</x:v>
      </x:c>
      <x:c r="H16" s="36" t="str">
        <x:v>로비, 역할 공개, 낮 부착 중, 밤 관찰, 투표 완료, 최종 발언, 결과 저장 중에 연결을 끊고 복귀해 상태와 비공개 정보가 정확히 복원되는지 확인한다.</x:v>
      </x:c>
      <x:c r="I16" s="36" t="str">
        <x:v>네트워크</x:v>
      </x:c>
      <x:c r="J16" s="36" t="str">
        <x:v>P0</x:v>
      </x:c>
      <x:c r="K16" s="36" t="str">
        <x:v>전체</x:v>
      </x:c>
      <x:c r="L16" s="36" t="str">
        <x:v>부분</x:v>
      </x:c>
      <x:c r="M16" s="36" t="str">
        <x:v>미실시</x:v>
      </x:c>
      <x:c r="N16" s="36" t="str">
        <x:v>미정</x:v>
      </x:c>
      <x:c r="O16" s="36" t="str">
        <x:v>미정</x:v>
      </x:c>
      <x:c r="P16" s="36"/>
      <x:c r="Q16" s="36"/>
      <x:c r="R16" s="44" t="str">
        <x:v>2026-07-10</x:v>
      </x:c>
      <x:c r="S16" s="36"/>
      <x:c r="T16" s="54"/>
      <x:c r="U16" s="54"/>
      <x:c r="V16" s="53" t="str">
        <x:v>착수 전</x:v>
      </x:c>
    </x:row>
    <x:row r="17" ht="42" customHeight="1">
      <x:c r="A17" s="36" t="str">
        <x:v>TC-QAR-008-02</x:v>
      </x:c>
      <x:c r="B17" s="36" t="str">
        <x:v>QAR-008</x:v>
      </x:c>
      <x:c r="C17" s="36" t="str">
        <x:v>QA·릴리스·운영</x:v>
      </x:c>
      <x:c r="D17" s="36" t="str">
        <x:v>예외·경계 시나리오: 모든 페이즈 재접속 시험</x:v>
      </x:c>
      <x:c r="E17" s="36" t="str">
        <x:v>허용되지 않은 상태, 잘못된 값, 중복, 만료, 권한 부족, 연결 끊김 입력으로 데이터 손상·정보 유출·클라이언트 상태 분기가 발생하지 않는지 확인한다.</x:v>
      </x:c>
      <x:c r="F17" s="36" t="str">
        <x:v>대상 기능이 포함된 알파 빌드와 디버그 입력, 네트워크 열화, 비정상 요청 재현 수단을 준비한다.</x:v>
      </x:c>
      <x:c r="G17" s="36" t="str">
        <x:v>1. 허용되지 않은 페이즈 또는 경계값 조건을 구성한다.
2. 모든 페이즈 재접속 시험에 대해 중복·무효·지연·연결 끊김을 포함한 요청을 전송한다.
3. 서버 거부, 롤백, 오류 표시와 감사 로그를 확인한다.
4. 모든 클라이언트의 상태가 일치하는지 확인한다.</x:v>
      </x:c>
      <x:c r="H17" s="36" t="str">
        <x:v>요청은 사양에 따라 거부되거나 안전하게 복구되며, 중복 반영, 데이터 손실, 정보 유출 또는 진행 중단이 발생하지 않는다. 오류와 상관관계 ID가 기록된다.</x:v>
      </x:c>
      <x:c r="I17" s="36" t="str">
        <x:v>네트워크</x:v>
      </x:c>
      <x:c r="J17" s="36" t="str">
        <x:v>P0</x:v>
      </x:c>
      <x:c r="K17" s="36" t="str">
        <x:v>전체</x:v>
      </x:c>
      <x:c r="L17" s="36" t="str">
        <x:v>부분</x:v>
      </x:c>
      <x:c r="M17" s="36" t="str">
        <x:v>미실시</x:v>
      </x:c>
      <x:c r="N17" s="36" t="str">
        <x:v>미정</x:v>
      </x:c>
      <x:c r="O17" s="36" t="str">
        <x:v>미정</x:v>
      </x:c>
      <x:c r="P17" s="36"/>
      <x:c r="Q17" s="36"/>
      <x:c r="R17" s="44" t="str">
        <x:v>2026-07-10</x:v>
      </x:c>
      <x:c r="S17" s="36"/>
      <x:c r="T17" s="54"/>
      <x:c r="U17" s="54"/>
      <x:c r="V17" s="53" t="str">
        <x:v>착수 전</x:v>
      </x:c>
    </x:row>
    <x:row r="18" ht="42" customHeight="1">
      <x:c r="A18" s="36" t="str">
        <x:v>TC-QAR-009-01</x:v>
      </x:c>
      <x:c r="B18" s="36" t="str">
        <x:v>QAR-009</x:v>
      </x:c>
      <x:c r="C18" s="36" t="str">
        <x:v>QA·릴리스·운영</x:v>
      </x:c>
      <x:c r="D18" s="36" t="str">
        <x:v>정상 시나리오: 전체 화면·입력·해상도 UI 시험</x:v>
      </x:c>
      <x:c r="E18" s="36" t="str">
        <x:v>키보드·마우스, 게임패드, 16:9·16:10·21:9, 세이프 영역, 최소·최대 텍스트 배율에서 주요 화면이 잘리지 않고 조작 가능하다.</x:v>
      </x:c>
      <x:c r="F18" s="36" t="str">
        <x:v>대상 기능이 포함된 베타 빌드, 필요한 테스트 계정·룸 설정·로그 접근 권한을 준비한다.</x:v>
      </x:c>
      <x:c r="G18" s="36" t="str">
        <x:v>1. 사전 조건 상태를 구성한다.
2. 표준 설정에서 다음 테스트 대상을 실행한다: 전체 화면·입력·해상도 UI 시험.
3. UI, 서버 상태와 로그·텔레메트리를 확인한다.
4. 필요하면 재입장 또는 재실행하여 재현성을 확인한다.</x:v>
      </x:c>
      <x:c r="H18" s="36" t="str">
        <x:v>키보드·마우스, 게임패드, 16:9·16:10·21:9, 세이프 영역, 최소·최대 텍스트 배율에서 주요 화면이 잘리지 않고 조작 가능하다.</x:v>
      </x:c>
      <x:c r="I18" s="36" t="str">
        <x:v>호환성</x:v>
      </x:c>
      <x:c r="J18" s="36" t="str">
        <x:v>P0</x:v>
      </x:c>
      <x:c r="K18" s="36" t="str">
        <x:v>전체</x:v>
      </x:c>
      <x:c r="L18" s="36" t="str">
        <x:v>부분</x:v>
      </x:c>
      <x:c r="M18" s="36" t="str">
        <x:v>미실시</x:v>
      </x:c>
      <x:c r="N18" s="36" t="str">
        <x:v>미정</x:v>
      </x:c>
      <x:c r="O18" s="36" t="str">
        <x:v>미정</x:v>
      </x:c>
      <x:c r="P18" s="36"/>
      <x:c r="Q18" s="36"/>
      <x:c r="R18" s="44" t="str">
        <x:v>2026-07-10</x:v>
      </x:c>
      <x:c r="S18" s="36"/>
      <x:c r="T18" s="54"/>
      <x:c r="U18" s="54"/>
      <x:c r="V18" s="53" t="str">
        <x:v>착수 전</x:v>
      </x:c>
    </x:row>
    <x:row r="19" ht="42" customHeight="1">
      <x:c r="A19" s="36" t="str">
        <x:v>TC-QAR-009-02</x:v>
      </x:c>
      <x:c r="B19" s="36" t="str">
        <x:v>QAR-009</x:v>
      </x:c>
      <x:c r="C19" s="36" t="str">
        <x:v>QA·릴리스·운영</x:v>
      </x:c>
      <x:c r="D19" s="36" t="str">
        <x:v>예외·경계 시나리오: 전체 화면·입력·해상도 UI 시험</x:v>
      </x:c>
      <x:c r="E19" s="36" t="str">
        <x:v>허용되지 않은 상태, 잘못된 값, 중복, 만료, 권한 부족, 연결 끊김 입력으로 데이터 손상·정보 유출·클라이언트 상태 분기가 발생하지 않는지 확인한다.</x:v>
      </x:c>
      <x:c r="F19" s="36" t="str">
        <x:v>대상 기능이 포함된 베타 빌드와 디버그 입력, 네트워크 열화, 비정상 요청 재현 수단을 준비한다.</x:v>
      </x:c>
      <x:c r="G19" s="36" t="str">
        <x:v>1. 허용되지 않은 페이즈 또는 경계값 조건을 구성한다.
2. 전체 화면·입력·해상도 UI 시험에 대해 중복·무효·지연·연결 끊김을 포함한 요청을 전송한다.
3. 서버 거부, 롤백, 오류 표시와 감사 로그를 확인한다.
4. 모든 클라이언트의 상태가 일치하는지 확인한다.</x:v>
      </x:c>
      <x:c r="H19" s="36" t="str">
        <x:v>요청은 사양에 따라 거부되거나 안전하게 복구되며, 중복 반영, 데이터 손실, 정보 유출 또는 진행 중단이 발생하지 않는다. 오류와 상관관계 ID가 기록된다.</x:v>
      </x:c>
      <x:c r="I19" s="36" t="str">
        <x:v>호환성</x:v>
      </x:c>
      <x:c r="J19" s="36" t="str">
        <x:v>P0</x:v>
      </x:c>
      <x:c r="K19" s="36" t="str">
        <x:v>전체</x:v>
      </x:c>
      <x:c r="L19" s="36" t="str">
        <x:v>부분</x:v>
      </x:c>
      <x:c r="M19" s="36" t="str">
        <x:v>미실시</x:v>
      </x:c>
      <x:c r="N19" s="36" t="str">
        <x:v>미정</x:v>
      </x:c>
      <x:c r="O19" s="36" t="str">
        <x:v>미정</x:v>
      </x:c>
      <x:c r="P19" s="36"/>
      <x:c r="Q19" s="36"/>
      <x:c r="R19" s="44" t="str">
        <x:v>2026-07-10</x:v>
      </x:c>
      <x:c r="S19" s="36"/>
      <x:c r="T19" s="54"/>
      <x:c r="U19" s="54"/>
      <x:c r="V19" s="53" t="str">
        <x:v>착수 전</x:v>
      </x:c>
    </x:row>
    <x:row r="20" ht="42" customHeight="1">
      <x:c r="A20" s="36" t="str">
        <x:v>TC-QAR-010-01</x:v>
      </x:c>
      <x:c r="B20" s="36" t="str">
        <x:v>QAR-010</x:v>
      </x:c>
      <x:c r="C20" s="36" t="str">
        <x:v>QA·릴리스·운영</x:v>
      </x:c>
      <x:c r="D20" s="36" t="str">
        <x:v>정상 시나리오: 색각·자막·텍스트·저자극·입력 대체 시험</x:v>
      </x:c>
      <x:c r="E20" s="36" t="str">
        <x:v>중요 정보가 색상이나 소리에만 의존하지 않고 텍스트 배율, 자막, 패턴, 길게 누르기 대체, 저자극 설정이 주요 흐름에서 작동한다.</x:v>
      </x:c>
      <x:c r="F20" s="36" t="str">
        <x:v>대상 기능이 포함된 베타 빌드, 필요한 테스트 계정·룸 설정·로그 접근 권한을 준비한다.</x:v>
      </x:c>
      <x:c r="G20" s="36" t="str">
        <x:v>1. 사전 조건 상태를 구성한다.
2. 표준 설정에서 다음 테스트 대상을 실행한다: 색각·자막·텍스트·저자극·입력 대체 시험.
3. UI, 서버 상태와 로그·텔레메트리를 확인한다.
4. 필요하면 재입장 또는 재실행하여 재현성을 확인한다.</x:v>
      </x:c>
      <x:c r="H20" s="36" t="str">
        <x:v>중요 정보가 색상이나 소리에만 의존하지 않고 텍스트 배율, 자막, 패턴, 길게 누르기 대체, 저자극 설정이 주요 흐름에서 작동한다.</x:v>
      </x:c>
      <x:c r="I20" s="36" t="str">
        <x:v>접근성</x:v>
      </x:c>
      <x:c r="J20" s="36" t="str">
        <x:v>P0</x:v>
      </x:c>
      <x:c r="K20" s="36" t="str">
        <x:v>전체</x:v>
      </x:c>
      <x:c r="L20" s="36" t="str">
        <x:v>부분</x:v>
      </x:c>
      <x:c r="M20" s="36" t="str">
        <x:v>미실시</x:v>
      </x:c>
      <x:c r="N20" s="36" t="str">
        <x:v>미정</x:v>
      </x:c>
      <x:c r="O20" s="36" t="str">
        <x:v>미정</x:v>
      </x:c>
      <x:c r="P20" s="36"/>
      <x:c r="Q20" s="36"/>
      <x:c r="R20" s="44" t="str">
        <x:v>2026-07-10</x:v>
      </x:c>
      <x:c r="S20" s="36"/>
      <x:c r="T20" s="54"/>
      <x:c r="U20" s="54"/>
      <x:c r="V20" s="53" t="str">
        <x:v>착수 전</x:v>
      </x:c>
    </x:row>
    <x:row r="21" ht="42" customHeight="1">
      <x:c r="A21" s="36" t="str">
        <x:v>TC-QAR-010-02</x:v>
      </x:c>
      <x:c r="B21" s="36" t="str">
        <x:v>QAR-010</x:v>
      </x:c>
      <x:c r="C21" s="36" t="str">
        <x:v>QA·릴리스·운영</x:v>
      </x:c>
      <x:c r="D21" s="36" t="str">
        <x:v>예외·경계 시나리오: 색각·자막·텍스트·저자극·입력 대체 시험</x:v>
      </x:c>
      <x:c r="E21" s="36" t="str">
        <x:v>허용되지 않은 상태, 잘못된 값, 중복, 만료, 권한 부족, 연결 끊김 입력으로 데이터 손상·정보 유출·클라이언트 상태 분기가 발생하지 않는지 확인한다.</x:v>
      </x:c>
      <x:c r="F21" s="36" t="str">
        <x:v>대상 기능이 포함된 베타 빌드와 디버그 입력, 네트워크 열화, 비정상 요청 재현 수단을 준비한다.</x:v>
      </x:c>
      <x:c r="G21" s="36" t="str">
        <x:v>1. 허용되지 않은 페이즈 또는 경계값 조건을 구성한다.
2. 색각·자막·텍스트·저자극·입력 대체 시험에 대해 중복·무효·지연·연결 끊김을 포함한 요청을 전송한다.
3. 서버 거부, 롤백, 오류 표시와 감사 로그를 확인한다.
4. 모든 클라이언트의 상태가 일치하는지 확인한다.</x:v>
      </x:c>
      <x:c r="H21" s="36" t="str">
        <x:v>요청은 사양에 따라 거부되거나 안전하게 복구되며, 중복 반영, 데이터 손실, 정보 유출 또는 진행 중단이 발생하지 않는다. 오류와 상관관계 ID가 기록된다.</x:v>
      </x:c>
      <x:c r="I21" s="36" t="str">
        <x:v>접근성</x:v>
      </x:c>
      <x:c r="J21" s="36" t="str">
        <x:v>P0</x:v>
      </x:c>
      <x:c r="K21" s="36" t="str">
        <x:v>전체</x:v>
      </x:c>
      <x:c r="L21" s="36" t="str">
        <x:v>부분</x:v>
      </x:c>
      <x:c r="M21" s="36" t="str">
        <x:v>미실시</x:v>
      </x:c>
      <x:c r="N21" s="36" t="str">
        <x:v>미정</x:v>
      </x:c>
      <x:c r="O21" s="36" t="str">
        <x:v>미정</x:v>
      </x:c>
      <x:c r="P21" s="36"/>
      <x:c r="Q21" s="36"/>
      <x:c r="R21" s="44" t="str">
        <x:v>2026-07-10</x:v>
      </x:c>
      <x:c r="S21" s="36"/>
      <x:c r="T21" s="54"/>
      <x:c r="U21" s="54"/>
      <x:c r="V21" s="53" t="str">
        <x:v>착수 전</x:v>
      </x:c>
    </x:row>
    <x:row r="22" ht="42" customHeight="1">
      <x:c r="A22" s="36" t="str">
        <x:v>TC-QAR-011-01</x:v>
      </x:c>
      <x:c r="B22" s="36" t="str">
        <x:v>QAR-011</x:v>
      </x:c>
      <x:c r="C22" s="36" t="str">
        <x:v>QA·릴리스·운영</x:v>
      </x:c>
      <x:c r="D22" s="36" t="str">
        <x:v>정상 시나리오: 한국어·영어·의사 현지화 검증</x:v>
      </x:c>
      <x:c r="E22" s="36" t="str">
        <x:v>누락 키, 문자 깨짐, 잘림, 줄바꿈, 문맥, 입력 아이콘, 금지 문자, 가변 길이, 음성·자막 동기화를 검증한다.</x:v>
      </x:c>
      <x:c r="F22" s="36" t="str">
        <x:v>대상 기능이 포함된 베타 빌드, 필요한 테스트 계정·룸 설정·로그 접근 권한을 준비한다.</x:v>
      </x:c>
      <x:c r="G22" s="36" t="str">
        <x:v>1. 사전 조건 상태를 구성한다.
2. 표준 설정에서 다음 테스트 대상을 실행한다: 한국어·영어·의사 현지화 검증.
3. UI, 서버 상태와 로그·텔레메트리를 확인한다.
4. 필요하면 재입장 또는 재실행하여 재현성을 확인한다.</x:v>
      </x:c>
      <x:c r="H22" s="36" t="str">
        <x:v>누락 키, 문자 깨짐, 잘림, 줄바꿈, 문맥, 입력 아이콘, 금지 문자, 가변 길이, 음성·자막 동기화를 검증한다.</x:v>
      </x:c>
      <x:c r="I22" s="36" t="str">
        <x:v>현지화</x:v>
      </x:c>
      <x:c r="J22" s="36" t="str">
        <x:v>P1</x:v>
      </x:c>
      <x:c r="K22" s="36" t="str">
        <x:v>전체</x:v>
      </x:c>
      <x:c r="L22" s="36" t="str">
        <x:v>부분</x:v>
      </x:c>
      <x:c r="M22" s="36" t="str">
        <x:v>미실시</x:v>
      </x:c>
      <x:c r="N22" s="36" t="str">
        <x:v>미정</x:v>
      </x:c>
      <x:c r="O22" s="36" t="str">
        <x:v>미정</x:v>
      </x:c>
      <x:c r="P22" s="36"/>
      <x:c r="Q22" s="36"/>
      <x:c r="R22" s="44" t="str">
        <x:v>2026-07-10</x:v>
      </x:c>
      <x:c r="S22" s="36"/>
      <x:c r="T22" s="54"/>
      <x:c r="U22" s="54"/>
      <x:c r="V22" s="53" t="str">
        <x:v>착수 전</x:v>
      </x:c>
    </x:row>
    <x:row r="23" ht="42" customHeight="1">
      <x:c r="A23" s="36" t="str">
        <x:v>TC-QAR-012-01</x:v>
      </x:c>
      <x:c r="B23" s="36" t="str">
        <x:v>QAR-012</x:v>
      </x:c>
      <x:c r="C23" s="36" t="str">
        <x:v>QA·릴리스·운영</x:v>
      </x:c>
      <x:c r="D23" s="36" t="str">
        <x:v>정상 시나리오: 근거리·차폐·밤 음소거·최종 발언 음성 시험</x:v>
      </x:c>
      <x:c r="E23" s="36" t="str">
        <x:v>거리, 벽, 장치 전환, PTT·VAD, 음소거, 차단, 밤, 최종 발언, 재접속, 크로스플레이를 실제 기기에서 검증한다.</x:v>
      </x:c>
      <x:c r="F23" s="36" t="str">
        <x:v>대상 기능이 포함된 베타 빌드, 필요한 테스트 계정·룸 설정·로그 접근 권한을 준비한다.</x:v>
      </x:c>
      <x:c r="G23" s="36" t="str">
        <x:v>1. 사전 조건 상태를 구성한다.
2. 표준 설정에서 다음 테스트 대상을 실행한다: 근거리·차폐·밤 음소거·최종 발언 음성 시험.
3. UI, 서버 상태와 로그·텔레메트리를 확인한다.
4. 필요하면 재입장 또는 재실행하여 재현성을 확인한다.</x:v>
      </x:c>
      <x:c r="H23" s="36" t="str">
        <x:v>거리, 벽, 장치 전환, PTT·VAD, 음소거, 차단, 밤, 최종 발언, 재접속, 크로스플레이를 실제 기기에서 검증한다.</x:v>
      </x:c>
      <x:c r="I23" s="36" t="str">
        <x:v>호환성</x:v>
      </x:c>
      <x:c r="J23" s="36" t="str">
        <x:v>P0</x:v>
      </x:c>
      <x:c r="K23" s="36" t="str">
        <x:v>전체</x:v>
      </x:c>
      <x:c r="L23" s="36" t="str">
        <x:v>부분</x:v>
      </x:c>
      <x:c r="M23" s="36" t="str">
        <x:v>미실시</x:v>
      </x:c>
      <x:c r="N23" s="36" t="str">
        <x:v>미정</x:v>
      </x:c>
      <x:c r="O23" s="36" t="str">
        <x:v>미정</x:v>
      </x:c>
      <x:c r="P23" s="36"/>
      <x:c r="Q23" s="36"/>
      <x:c r="R23" s="44" t="str">
        <x:v>2026-07-10</x:v>
      </x:c>
      <x:c r="S23" s="36"/>
      <x:c r="T23" s="54"/>
      <x:c r="U23" s="54"/>
      <x:c r="V23" s="53" t="str">
        <x:v>착수 전</x:v>
      </x:c>
    </x:row>
    <x:row r="24" ht="42" customHeight="1">
      <x:c r="A24" s="36" t="str">
        <x:v>TC-QAR-012-02</x:v>
      </x:c>
      <x:c r="B24" s="36" t="str">
        <x:v>QAR-012</x:v>
      </x:c>
      <x:c r="C24" s="36" t="str">
        <x:v>QA·릴리스·운영</x:v>
      </x:c>
      <x:c r="D24" s="36" t="str">
        <x:v>예외·경계 시나리오: 근거리·차폐·밤 음소거·최종 발언 음성 시험</x:v>
      </x:c>
      <x:c r="E24" s="36" t="str">
        <x:v>허용되지 않은 상태, 잘못된 값, 중복, 만료, 권한 부족, 연결 끊김 입력으로 데이터 손상·정보 유출·클라이언트 상태 분기가 발생하지 않는지 확인한다.</x:v>
      </x:c>
      <x:c r="F24" s="36" t="str">
        <x:v>대상 기능이 포함된 베타 빌드와 디버그 입력, 네트워크 열화, 비정상 요청 재현 수단을 준비한다.</x:v>
      </x:c>
      <x:c r="G24" s="36" t="str">
        <x:v>1. 허용되지 않은 페이즈 또는 경계값 조건을 구성한다.
2. 근거리·차폐·밤 음소거·최종 발언 음성 시험에 대해 중복·무효·지연·연결 끊김을 포함한 요청을 전송한다.
3. 서버 거부, 롤백, 오류 표시와 감사 로그를 확인한다.
4. 모든 클라이언트의 상태가 일치하는지 확인한다.</x:v>
      </x:c>
      <x:c r="H24" s="36" t="str">
        <x:v>요청은 사양에 따라 거부되거나 안전하게 복구되며, 중복 반영, 데이터 손실, 정보 유출 또는 진행 중단이 발생하지 않는다. 오류와 상관관계 ID가 기록된다.</x:v>
      </x:c>
      <x:c r="I24" s="36" t="str">
        <x:v>호환성</x:v>
      </x:c>
      <x:c r="J24" s="36" t="str">
        <x:v>P0</x:v>
      </x:c>
      <x:c r="K24" s="36" t="str">
        <x:v>전체</x:v>
      </x:c>
      <x:c r="L24" s="36" t="str">
        <x:v>부분</x:v>
      </x:c>
      <x:c r="M24" s="36" t="str">
        <x:v>미실시</x:v>
      </x:c>
      <x:c r="N24" s="36" t="str">
        <x:v>미정</x:v>
      </x:c>
      <x:c r="O24" s="36" t="str">
        <x:v>미정</x:v>
      </x:c>
      <x:c r="P24" s="36"/>
      <x:c r="Q24" s="36"/>
      <x:c r="R24" s="44" t="str">
        <x:v>2026-07-10</x:v>
      </x:c>
      <x:c r="S24" s="36"/>
      <x:c r="T24" s="54"/>
      <x:c r="U24" s="54"/>
      <x:c r="V24" s="53" t="str">
        <x:v>착수 전</x:v>
      </x:c>
    </x:row>
    <x:row r="25" ht="42" customHeight="1">
      <x:c r="A25" s="36" t="str">
        <x:v>TC-QAR-013-01</x:v>
      </x:c>
      <x:c r="B25" s="36" t="str">
        <x:v>QAR-013</x:v>
      </x:c>
      <x:c r="C25" s="36" t="str">
        <x:v>QA·릴리스·운영</x:v>
      </x:c>
      <x:c r="D25" s="36" t="str">
        <x:v>정상 시나리오: 클라이언트 성능·메모리·발열·로딩 시험</x:v>
      </x:c>
      <x:c r="E25" s="36" t="str">
        <x:v>6명, 최대 메모, 전체 LED·음성·미니게임의 최악 조건에서 목표 FPS, 프레임 시간, 메모리, 로딩, 발열·전력 기준을 충족한다.</x:v>
      </x:c>
      <x:c r="F25" s="36" t="str">
        <x:v>대상 기능이 포함된 릴리스 후보 빌드, 필요한 테스트 계정·룸 설정·로그 접근 권한을 준비한다.</x:v>
      </x:c>
      <x:c r="G25" s="36" t="str">
        <x:v>1. 사전 조건 상태를 구성한다.
2. 표준 설정에서 다음 테스트 대상을 실행한다: 클라이언트 성능·메모리·발열·로딩 시험.
3. UI, 서버 상태와 로그·텔레메트리를 확인한다.
4. 필요하면 재입장 또는 재실행하여 재현성을 확인한다.</x:v>
      </x:c>
      <x:c r="H25" s="36" t="str">
        <x:v>6명, 최대 메모, 전체 LED·음성·미니게임의 최악 조건에서 목표 FPS, 프레임 시간, 메모리, 로딩, 발열·전력 기준을 충족한다.</x:v>
      </x:c>
      <x:c r="I25" s="36" t="str">
        <x:v>성능</x:v>
      </x:c>
      <x:c r="J25" s="36" t="str">
        <x:v>P0</x:v>
      </x:c>
      <x:c r="K25" s="36" t="str">
        <x:v>전체</x:v>
      </x:c>
      <x:c r="L25" s="36" t="str">
        <x:v>부분</x:v>
      </x:c>
      <x:c r="M25" s="36" t="str">
        <x:v>미실시</x:v>
      </x:c>
      <x:c r="N25" s="36" t="str">
        <x:v>미정</x:v>
      </x:c>
      <x:c r="O25" s="36" t="str">
        <x:v>미정</x:v>
      </x:c>
      <x:c r="P25" s="36"/>
      <x:c r="Q25" s="36"/>
      <x:c r="R25" s="44" t="str">
        <x:v>2026-07-10</x:v>
      </x:c>
      <x:c r="S25" s="36"/>
      <x:c r="T25" s="54"/>
      <x:c r="U25" s="54"/>
      <x:c r="V25" s="53" t="str">
        <x:v>착수 전</x:v>
      </x:c>
    </x:row>
    <x:row r="26" ht="42" customHeight="1">
      <x:c r="A26" s="36" t="str">
        <x:v>TC-QAR-013-02</x:v>
      </x:c>
      <x:c r="B26" s="36" t="str">
        <x:v>QAR-013</x:v>
      </x:c>
      <x:c r="C26" s="36" t="str">
        <x:v>QA·릴리스·운영</x:v>
      </x:c>
      <x:c r="D26" s="36" t="str">
        <x:v>예외·경계 시나리오: 클라이언트 성능·메모리·발열·로딩 시험</x:v>
      </x:c>
      <x:c r="E26" s="36" t="str">
        <x:v>허용되지 않은 상태, 잘못된 값, 중복, 만료, 권한 부족, 연결 끊김 입력으로 데이터 손상·정보 유출·클라이언트 상태 분기가 발생하지 않는지 확인한다.</x:v>
      </x:c>
      <x:c r="F26" s="36" t="str">
        <x:v>대상 기능이 포함된 릴리스 후보 빌드와 디버그 입력, 네트워크 열화, 비정상 요청 재현 수단을 준비한다.</x:v>
      </x:c>
      <x:c r="G26" s="36" t="str">
        <x:v>1. 허용되지 않은 페이즈 또는 경계값 조건을 구성한다.
2. 클라이언트 성능·메모리·발열·로딩 시험에 대해 중복·무효·지연·연결 끊김을 포함한 요청을 전송한다.
3. 서버 거부, 롤백, 오류 표시와 감사 로그를 확인한다.
4. 모든 클라이언트의 상태가 일치하는지 확인한다.</x:v>
      </x:c>
      <x:c r="H26" s="36" t="str">
        <x:v>요청은 사양에 따라 거부되거나 안전하게 복구되며, 중복 반영, 데이터 손실, 정보 유출 또는 진행 중단이 발생하지 않는다. 오류와 상관관계 ID가 기록된다.</x:v>
      </x:c>
      <x:c r="I26" s="36" t="str">
        <x:v>성능</x:v>
      </x:c>
      <x:c r="J26" s="36" t="str">
        <x:v>P0</x:v>
      </x:c>
      <x:c r="K26" s="36" t="str">
        <x:v>전체</x:v>
      </x:c>
      <x:c r="L26" s="36" t="str">
        <x:v>부분</x:v>
      </x:c>
      <x:c r="M26" s="36" t="str">
        <x:v>미실시</x:v>
      </x:c>
      <x:c r="N26" s="36" t="str">
        <x:v>미정</x:v>
      </x:c>
      <x:c r="O26" s="36" t="str">
        <x:v>미정</x:v>
      </x:c>
      <x:c r="P26" s="36"/>
      <x:c r="Q26" s="36"/>
      <x:c r="R26" s="44" t="str">
        <x:v>2026-07-10</x:v>
      </x:c>
      <x:c r="S26" s="36"/>
      <x:c r="T26" s="54"/>
      <x:c r="U26" s="54"/>
      <x:c r="V26" s="53" t="str">
        <x:v>착수 전</x:v>
      </x:c>
    </x:row>
    <x:row r="27" ht="42" customHeight="1">
      <x:c r="A27" s="36" t="str">
        <x:v>TC-QAR-014-01</x:v>
      </x:c>
      <x:c r="B27" s="36" t="str">
        <x:v>QAR-014</x:v>
      </x:c>
      <x:c r="C27" s="36" t="str">
        <x:v>QA·릴리스·운영</x:v>
      </x:c>
      <x:c r="D27" s="36" t="str">
        <x:v>정상 시나리오: 서버 틱·CPU·메모리·대역폭 시험</x:v>
      </x:c>
      <x:c r="E27" s="36" t="str">
        <x:v>목표 동시 세션에서 틱 지연, CPU, 메모리, 대역폭, GC, 오류율이 기준 안에 들어오고 단계별 포화 지점을 기록한다.</x:v>
      </x:c>
      <x:c r="F27" s="36" t="str">
        <x:v>대상 기능이 포함된 릴리스 후보 빌드, 필요한 테스트 계정·룸 설정·로그 접근 권한을 준비한다.</x:v>
      </x:c>
      <x:c r="G27" s="36" t="str">
        <x:v>1. 사전 조건 상태를 구성한다.
2. 표준 설정에서 다음 테스트 대상을 실행한다: 서버 틱·CPU·메모리·대역폭 시험.
3. UI, 서버 상태와 로그·텔레메트리를 확인한다.
4. 필요하면 재입장 또는 재실행하여 재현성을 확인한다.</x:v>
      </x:c>
      <x:c r="H27" s="36" t="str">
        <x:v>목표 동시 세션에서 틱 지연, CPU, 메모리, 대역폭, GC, 오류율이 기준 안에 들어오고 단계별 포화 지점을 기록한다.</x:v>
      </x:c>
      <x:c r="I27" s="36" t="str">
        <x:v>성능</x:v>
      </x:c>
      <x:c r="J27" s="36" t="str">
        <x:v>P0</x:v>
      </x:c>
      <x:c r="K27" s="36" t="str">
        <x:v>서버</x:v>
      </x:c>
      <x:c r="L27" s="36" t="str">
        <x:v>부분</x:v>
      </x:c>
      <x:c r="M27" s="36" t="str">
        <x:v>미실시</x:v>
      </x:c>
      <x:c r="N27" s="36" t="str">
        <x:v>미정</x:v>
      </x:c>
      <x:c r="O27" s="36" t="str">
        <x:v>미정</x:v>
      </x:c>
      <x:c r="P27" s="36"/>
      <x:c r="Q27" s="36"/>
      <x:c r="R27" s="44" t="str">
        <x:v>2026-07-10</x:v>
      </x:c>
      <x:c r="S27" s="36"/>
      <x:c r="T27" s="54"/>
      <x:c r="U27" s="54"/>
      <x:c r="V27" s="53" t="str">
        <x:v>착수 전</x:v>
      </x:c>
    </x:row>
    <x:row r="28" ht="42" customHeight="1">
      <x:c r="A28" s="36" t="str">
        <x:v>TC-QAR-014-02</x:v>
      </x:c>
      <x:c r="B28" s="36" t="str">
        <x:v>QAR-014</x:v>
      </x:c>
      <x:c r="C28" s="36" t="str">
        <x:v>QA·릴리스·운영</x:v>
      </x:c>
      <x:c r="D28" s="36" t="str">
        <x:v>예외·경계 시나리오: 서버 틱·CPU·메모리·대역폭 시험</x:v>
      </x:c>
      <x:c r="E28" s="36" t="str">
        <x:v>허용되지 않은 상태, 잘못된 값, 중복, 만료, 권한 부족, 연결 끊김 입력으로 데이터 손상·정보 유출·클라이언트 상태 분기가 발생하지 않는지 확인한다.</x:v>
      </x:c>
      <x:c r="F28" s="36" t="str">
        <x:v>대상 기능이 포함된 릴리스 후보 빌드와 디버그 입력, 네트워크 열화, 비정상 요청 재현 수단을 준비한다.</x:v>
      </x:c>
      <x:c r="G28" s="36" t="str">
        <x:v>1. 허용되지 않은 페이즈 또는 경계값 조건을 구성한다.
2. 서버 틱·CPU·메모리·대역폭 시험에 대해 중복·무효·지연·연결 끊김을 포함한 요청을 전송한다.
3. 서버 거부, 롤백, 오류 표시와 감사 로그를 확인한다.
4. 모든 클라이언트의 상태가 일치하는지 확인한다.</x:v>
      </x:c>
      <x:c r="H28" s="36" t="str">
        <x:v>요청은 사양에 따라 거부되거나 안전하게 복구되며, 중복 반영, 데이터 손실, 정보 유출 또는 진행 중단이 발생하지 않는다. 오류와 상관관계 ID가 기록된다.</x:v>
      </x:c>
      <x:c r="I28" s="36" t="str">
        <x:v>성능</x:v>
      </x:c>
      <x:c r="J28" s="36" t="str">
        <x:v>P0</x:v>
      </x:c>
      <x:c r="K28" s="36" t="str">
        <x:v>서버</x:v>
      </x:c>
      <x:c r="L28" s="36" t="str">
        <x:v>부분</x:v>
      </x:c>
      <x:c r="M28" s="36" t="str">
        <x:v>미실시</x:v>
      </x:c>
      <x:c r="N28" s="36" t="str">
        <x:v>미정</x:v>
      </x:c>
      <x:c r="O28" s="36" t="str">
        <x:v>미정</x:v>
      </x:c>
      <x:c r="P28" s="36"/>
      <x:c r="Q28" s="36"/>
      <x:c r="R28" s="44" t="str">
        <x:v>2026-07-10</x:v>
      </x:c>
      <x:c r="S28" s="36"/>
      <x:c r="T28" s="54"/>
      <x:c r="U28" s="54"/>
      <x:c r="V28" s="53" t="str">
        <x:v>착수 전</x:v>
      </x:c>
    </x:row>
    <x:row r="29" ht="42" customHeight="1">
      <x:c r="A29" s="36" t="str">
        <x:v>TC-QAR-015-01</x:v>
      </x:c>
      <x:c r="B29" s="36" t="str">
        <x:v>QAR-015</x:v>
      </x:c>
      <x:c r="C29" s="36" t="str">
        <x:v>QA·릴리스·운영</x:v>
      </x:c>
      <x:c r="D29" s="36" t="str">
        <x:v>정상 시나리오: OS·GPU·입력·네트워크·플랫폼 호환성</x:v>
      </x:c>
      <x:c r="E29" s="36" t="str">
        <x:v>지원 범위의 조합을 위험 기반으로 선정해 실행, 렌더링, 입력, 음성, 온라인, 저장, 초대 기능을 검증한다.</x:v>
      </x:c>
      <x:c r="F29" s="36" t="str">
        <x:v>대상 기능이 포함된 릴리스 후보 빌드, 필요한 테스트 계정·룸 설정·로그 접근 권한을 준비한다.</x:v>
      </x:c>
      <x:c r="G29" s="36" t="str">
        <x:v>1. 사전 조건 상태를 구성한다.
2. 표준 설정에서 다음 테스트 대상을 실행한다: OS·GPU·입력·네트워크·플랫폼 호환성.
3. UI, 서버 상태와 로그·텔레메트리를 확인한다.
4. 필요하면 재입장 또는 재실행하여 재현성을 확인한다.</x:v>
      </x:c>
      <x:c r="H29" s="36" t="str">
        <x:v>지원 범위의 조합을 위험 기반으로 선정해 실행, 렌더링, 입력, 음성, 온라인, 저장, 초대 기능을 검증한다.</x:v>
      </x:c>
      <x:c r="I29" s="36" t="str">
        <x:v>호환성</x:v>
      </x:c>
      <x:c r="J29" s="36" t="str">
        <x:v>P0</x:v>
      </x:c>
      <x:c r="K29" s="36" t="str">
        <x:v>전체</x:v>
      </x:c>
      <x:c r="L29" s="36" t="str">
        <x:v>부분</x:v>
      </x:c>
      <x:c r="M29" s="36" t="str">
        <x:v>미실시</x:v>
      </x:c>
      <x:c r="N29" s="36" t="str">
        <x:v>미정</x:v>
      </x:c>
      <x:c r="O29" s="36" t="str">
        <x:v>미정</x:v>
      </x:c>
      <x:c r="P29" s="36"/>
      <x:c r="Q29" s="36"/>
      <x:c r="R29" s="44" t="str">
        <x:v>2026-07-10</x:v>
      </x:c>
      <x:c r="S29" s="36"/>
      <x:c r="T29" s="54"/>
      <x:c r="U29" s="54"/>
      <x:c r="V29" s="53" t="str">
        <x:v>착수 전</x:v>
      </x:c>
    </x:row>
    <x:row r="30" ht="42" customHeight="1">
      <x:c r="A30" s="36" t="str">
        <x:v>TC-QAR-015-02</x:v>
      </x:c>
      <x:c r="B30" s="36" t="str">
        <x:v>QAR-015</x:v>
      </x:c>
      <x:c r="C30" s="36" t="str">
        <x:v>QA·릴리스·운영</x:v>
      </x:c>
      <x:c r="D30" s="36" t="str">
        <x:v>예외·경계 시나리오: OS·GPU·입력·네트워크·플랫폼 호환성</x:v>
      </x:c>
      <x:c r="E30" s="36" t="str">
        <x:v>허용되지 않은 상태, 잘못된 값, 중복, 만료, 권한 부족, 연결 끊김 입력으로 데이터 손상·정보 유출·클라이언트 상태 분기가 발생하지 않는지 확인한다.</x:v>
      </x:c>
      <x:c r="F30" s="36" t="str">
        <x:v>대상 기능이 포함된 릴리스 후보 빌드와 디버그 입력, 네트워크 열화, 비정상 요청 재현 수단을 준비한다.</x:v>
      </x:c>
      <x:c r="G30" s="36" t="str">
        <x:v>1. 허용되지 않은 페이즈 또는 경계값 조건을 구성한다.
2. OS·GPU·입력·네트워크·플랫폼 호환성에 대해 중복·무효·지연·연결 끊김을 포함한 요청을 전송한다.
3. 서버 거부, 롤백, 오류 표시와 감사 로그를 확인한다.
4. 모든 클라이언트의 상태가 일치하는지 확인한다.</x:v>
      </x:c>
      <x:c r="H30" s="36" t="str">
        <x:v>요청은 사양에 따라 거부되거나 안전하게 복구되며, 중복 반영, 데이터 손실, 정보 유출 또는 진행 중단이 발생하지 않는다. 오류와 상관관계 ID가 기록된다.</x:v>
      </x:c>
      <x:c r="I30" s="36" t="str">
        <x:v>호환성</x:v>
      </x:c>
      <x:c r="J30" s="36" t="str">
        <x:v>P0</x:v>
      </x:c>
      <x:c r="K30" s="36" t="str">
        <x:v>전체</x:v>
      </x:c>
      <x:c r="L30" s="36" t="str">
        <x:v>부분</x:v>
      </x:c>
      <x:c r="M30" s="36" t="str">
        <x:v>미실시</x:v>
      </x:c>
      <x:c r="N30" s="36" t="str">
        <x:v>미정</x:v>
      </x:c>
      <x:c r="O30" s="36" t="str">
        <x:v>미정</x:v>
      </x:c>
      <x:c r="P30" s="36"/>
      <x:c r="Q30" s="36"/>
      <x:c r="R30" s="44" t="str">
        <x:v>2026-07-10</x:v>
      </x:c>
      <x:c r="S30" s="36"/>
      <x:c r="T30" s="54"/>
      <x:c r="U30" s="54"/>
      <x:c r="V30" s="53" t="str">
        <x:v>착수 전</x:v>
      </x:c>
    </x:row>
    <x:row r="31" ht="42" customHeight="1">
      <x:c r="A31" s="36" t="str">
        <x:v>TC-QAR-016-01</x:v>
      </x:c>
      <x:c r="B31" s="36" t="str">
        <x:v>QAR-016</x:v>
      </x:c>
      <x:c r="C31" s="36" t="str">
        <x:v>QA·릴리스·운영</x:v>
      </x:c>
      <x:c r="D31" s="36" t="str">
        <x:v>정상 시나리오: 장시간 연속 플레이·반복 세션 시험</x:v>
      </x:c>
      <x:c r="E31" s="36" t="str">
        <x:v>연속 100매치 상당 또는 24시간 동안 메모리 증가, 상태 교차, 보상 중복, 세션 잔류, 크래시가 허용 기준 안에 들어온다.</x:v>
      </x:c>
      <x:c r="F31" s="36" t="str">
        <x:v>대상 기능이 포함된 릴리스 후보 빌드, 필요한 테스트 계정·룸 설정·로그 접근 권한을 준비한다.</x:v>
      </x:c>
      <x:c r="G31" s="36" t="str">
        <x:v>1. 사전 조건 상태를 구성한다.
2. 표준 설정에서 다음 테스트 대상을 실행한다: 장시간 연속 플레이·반복 세션 시험.
3. UI, 서버 상태와 로그·텔레메트리를 확인한다.
4. 필요하면 재입장 또는 재실행하여 재현성을 확인한다.</x:v>
      </x:c>
      <x:c r="H31" s="36" t="str">
        <x:v>연속 100매치 상당 또는 24시간 동안 메모리 증가, 상태 교차, 보상 중복, 세션 잔류, 크래시가 허용 기준 안에 들어온다.</x:v>
      </x:c>
      <x:c r="I31" s="36" t="str">
        <x:v>성능</x:v>
      </x:c>
      <x:c r="J31" s="36" t="str">
        <x:v>P0</x:v>
      </x:c>
      <x:c r="K31" s="36" t="str">
        <x:v>전체</x:v>
      </x:c>
      <x:c r="L31" s="36" t="str">
        <x:v>부분</x:v>
      </x:c>
      <x:c r="M31" s="36" t="str">
        <x:v>미실시</x:v>
      </x:c>
      <x:c r="N31" s="36" t="str">
        <x:v>미정</x:v>
      </x:c>
      <x:c r="O31" s="36" t="str">
        <x:v>미정</x:v>
      </x:c>
      <x:c r="P31" s="36"/>
      <x:c r="Q31" s="36"/>
      <x:c r="R31" s="44" t="str">
        <x:v>2026-07-10</x:v>
      </x:c>
      <x:c r="S31" s="36"/>
      <x:c r="T31" s="54"/>
      <x:c r="U31" s="54"/>
      <x:c r="V31" s="53" t="str">
        <x:v>착수 전</x:v>
      </x:c>
    </x:row>
    <x:row r="32" ht="42" customHeight="1">
      <x:c r="A32" s="36" t="str">
        <x:v>TC-QAR-016-02</x:v>
      </x:c>
      <x:c r="B32" s="36" t="str">
        <x:v>QAR-016</x:v>
      </x:c>
      <x:c r="C32" s="36" t="str">
        <x:v>QA·릴리스·운영</x:v>
      </x:c>
      <x:c r="D32" s="36" t="str">
        <x:v>예외·경계 시나리오: 장시간 연속 플레이·반복 세션 시험</x:v>
      </x:c>
      <x:c r="E32" s="36" t="str">
        <x:v>허용되지 않은 상태, 잘못된 값, 중복, 만료, 권한 부족, 연결 끊김 입력으로 데이터 손상·정보 유출·클라이언트 상태 분기가 발생하지 않는지 확인한다.</x:v>
      </x:c>
      <x:c r="F32" s="36" t="str">
        <x:v>대상 기능이 포함된 릴리스 후보 빌드와 디버그 입력, 네트워크 열화, 비정상 요청 재현 수단을 준비한다.</x:v>
      </x:c>
      <x:c r="G32" s="36" t="str">
        <x:v>1. 허용되지 않은 페이즈 또는 경계값 조건을 구성한다.
2. 장시간 연속 플레이·반복 세션 시험에 대해 중복·무효·지연·연결 끊김을 포함한 요청을 전송한다.
3. 서버 거부, 롤백, 오류 표시와 감사 로그를 확인한다.
4. 모든 클라이언트의 상태가 일치하는지 확인한다.</x:v>
      </x:c>
      <x:c r="H32" s="36" t="str">
        <x:v>요청은 사양에 따라 거부되거나 안전하게 복구되며, 중복 반영, 데이터 손실, 정보 유출 또는 진행 중단이 발생하지 않는다. 오류와 상관관계 ID가 기록된다.</x:v>
      </x:c>
      <x:c r="I32" s="36" t="str">
        <x:v>성능</x:v>
      </x:c>
      <x:c r="J32" s="36" t="str">
        <x:v>P0</x:v>
      </x:c>
      <x:c r="K32" s="36" t="str">
        <x:v>전체</x:v>
      </x:c>
      <x:c r="L32" s="36" t="str">
        <x:v>부분</x:v>
      </x:c>
      <x:c r="M32" s="36" t="str">
        <x:v>미실시</x:v>
      </x:c>
      <x:c r="N32" s="36" t="str">
        <x:v>미정</x:v>
      </x:c>
      <x:c r="O32" s="36" t="str">
        <x:v>미정</x:v>
      </x:c>
      <x:c r="P32" s="36"/>
      <x:c r="Q32" s="36"/>
      <x:c r="R32" s="44" t="str">
        <x:v>2026-07-10</x:v>
      </x:c>
      <x:c r="S32" s="36"/>
      <x:c r="T32" s="54"/>
      <x:c r="U32" s="54"/>
      <x:c r="V32" s="53" t="str">
        <x:v>착수 전</x:v>
      </x:c>
    </x:row>
    <x:row r="33" ht="42" customHeight="1">
      <x:c r="A33" s="36" t="str">
        <x:v>TC-QAR-017-01</x:v>
      </x:c>
      <x:c r="B33" s="36" t="str">
        <x:v>QAR-017</x:v>
      </x:c>
      <x:c r="C33" s="36" t="str">
        <x:v>QA·릴리스·운영</x:v>
      </x:c>
      <x:c r="D33" s="36" t="str">
        <x:v>정상 시나리오: 승률·시간·투표·메모 행동 플레이테스트 계획</x:v>
      </x:c>
      <x:c r="E33" s="36" t="str">
        <x:v>인원, 숙련도, 설정별 표본 수, 가설, 수집 지표, 관찰 항목, 변경 판단 기준을 정의한다.</x:v>
      </x:c>
      <x:c r="F33" s="36" t="str">
        <x:v>대상 기능이 포함된 알파 빌드, 필요한 테스트 계정·룸 설정·로그 접근 권한을 준비한다.</x:v>
      </x:c>
      <x:c r="G33" s="36" t="str">
        <x:v>1. 사전 조건 상태를 구성한다.
2. 표준 설정에서 다음 테스트 대상을 실행한다: 승률·시간·투표·메모 행동 플레이테스트 계획.
3. UI, 서버 상태와 로그·텔레메트리를 확인한다.
4. 필요하면 재입장 또는 재실행하여 재현성을 확인한다.</x:v>
      </x:c>
      <x:c r="H33" s="36" t="str">
        <x:v>인원, 숙련도, 설정별 표본 수, 가설, 수집 지표, 관찰 항목, 변경 판단 기준을 정의한다.</x:v>
      </x:c>
      <x:c r="I33" s="36" t="str">
        <x:v>밸런스</x:v>
      </x:c>
      <x:c r="J33" s="36" t="str">
        <x:v>P0</x:v>
      </x:c>
      <x:c r="K33" s="36" t="str">
        <x:v>전체</x:v>
      </x:c>
      <x:c r="L33" s="36" t="str">
        <x:v>부분</x:v>
      </x:c>
      <x:c r="M33" s="36" t="str">
        <x:v>미실시</x:v>
      </x:c>
      <x:c r="N33" s="36" t="str">
        <x:v>미정</x:v>
      </x:c>
      <x:c r="O33" s="36" t="str">
        <x:v>미정</x:v>
      </x:c>
      <x:c r="P33" s="36"/>
      <x:c r="Q33" s="36"/>
      <x:c r="R33" s="44" t="str">
        <x:v>2026-07-10</x:v>
      </x:c>
      <x:c r="S33" s="36"/>
      <x:c r="T33" s="54"/>
      <x:c r="U33" s="54"/>
      <x:c r="V33" s="53" t="str">
        <x:v>착수 전</x:v>
      </x:c>
    </x:row>
    <x:row r="34" ht="42" customHeight="1">
      <x:c r="A34" s="36" t="str">
        <x:v>TC-QAR-017-02</x:v>
      </x:c>
      <x:c r="B34" s="36" t="str">
        <x:v>QAR-017</x:v>
      </x:c>
      <x:c r="C34" s="36" t="str">
        <x:v>QA·릴리스·운영</x:v>
      </x:c>
      <x:c r="D34" s="36" t="str">
        <x:v>예외·경계 시나리오: 승률·시간·투표·메모 행동 플레이테스트 계획</x:v>
      </x:c>
      <x:c r="E34" s="36" t="str">
        <x:v>허용되지 않은 상태, 잘못된 값, 중복, 만료, 권한 부족, 연결 끊김 입력으로 데이터 손상·정보 유출·클라이언트 상태 분기가 발생하지 않는지 확인한다.</x:v>
      </x:c>
      <x:c r="F34" s="36" t="str">
        <x:v>대상 기능이 포함된 알파 빌드와 디버그 입력, 네트워크 열화, 비정상 요청 재현 수단을 준비한다.</x:v>
      </x:c>
      <x:c r="G34" s="36" t="str">
        <x:v>1. 허용되지 않은 페이즈 또는 경계값 조건을 구성한다.
2. 승률·시간·투표·메모 행동 플레이테스트 계획에 대해 중복·무효·지연·연결 끊김을 포함한 요청을 전송한다.
3. 서버 거부, 롤백, 오류 표시와 감사 로그를 확인한다.
4. 모든 클라이언트의 상태가 일치하는지 확인한다.</x:v>
      </x:c>
      <x:c r="H34" s="36" t="str">
        <x:v>요청은 사양에 따라 거부되거나 안전하게 복구되며, 중복 반영, 데이터 손실, 정보 유출 또는 진행 중단이 발생하지 않는다. 오류와 상관관계 ID가 기록된다.</x:v>
      </x:c>
      <x:c r="I34" s="36" t="str">
        <x:v>밸런스</x:v>
      </x:c>
      <x:c r="J34" s="36" t="str">
        <x:v>P0</x:v>
      </x:c>
      <x:c r="K34" s="36" t="str">
        <x:v>전체</x:v>
      </x:c>
      <x:c r="L34" s="36" t="str">
        <x:v>부분</x:v>
      </x:c>
      <x:c r="M34" s="36" t="str">
        <x:v>미실시</x:v>
      </x:c>
      <x:c r="N34" s="36" t="str">
        <x:v>미정</x:v>
      </x:c>
      <x:c r="O34" s="36" t="str">
        <x:v>미정</x:v>
      </x:c>
      <x:c r="P34" s="36"/>
      <x:c r="Q34" s="36"/>
      <x:c r="R34" s="44" t="str">
        <x:v>2026-07-10</x:v>
      </x:c>
      <x:c r="S34" s="36"/>
      <x:c r="T34" s="54"/>
      <x:c r="U34" s="54"/>
      <x:c r="V34" s="53" t="str">
        <x:v>착수 전</x:v>
      </x:c>
    </x:row>
    <x:row r="35" ht="42" customHeight="1">
      <x:c r="A35" s="36" t="str">
        <x:v>TC-QAR-018-01</x:v>
      </x:c>
      <x:c r="B35" s="36" t="str">
        <x:v>QAR-018</x:v>
      </x:c>
      <x:c r="C35" s="36" t="str">
        <x:v>QA·릴리스·운영</x:v>
      </x:c>
      <x:c r="D35" s="36" t="str">
        <x:v>정상 시나리오: 첫 플레이 이해·대화·밤 판단 사용성 조사</x:v>
      </x:c>
      <x:c r="E35" s="36" t="str">
        <x:v>처음 참가한 사용자가 튜토리얼 후 핵심 규칙을 설명하고 도움 없이 메모 작성, 부착, 밤 투표를 완료할 수 있다.</x:v>
      </x:c>
      <x:c r="F35" s="36" t="str">
        <x:v>대상 기능이 포함된 베타 빌드, 필요한 테스트 계정·룸 설정·로그 접근 권한을 준비한다.</x:v>
      </x:c>
      <x:c r="G35" s="36" t="str">
        <x:v>1. 사전 조건 상태를 구성한다.
2. 표준 설정에서 다음 테스트 대상을 실행한다: 첫 플레이 이해·대화·밤 판단 사용성 조사.
3. UI, 서버 상태와 로그·텔레메트리를 확인한다.
4. 필요하면 재입장 또는 재실행하여 재현성을 확인한다.</x:v>
      </x:c>
      <x:c r="H35" s="36" t="str">
        <x:v>처음 참가한 사용자가 튜토리얼 후 핵심 규칙을 설명하고 도움 없이 메모 작성, 부착, 밤 투표를 완료할 수 있다.</x:v>
      </x:c>
      <x:c r="I35" s="36" t="str">
        <x:v>사용성</x:v>
      </x:c>
      <x:c r="J35" s="36" t="str">
        <x:v>P0</x:v>
      </x:c>
      <x:c r="K35" s="36" t="str">
        <x:v>전체</x:v>
      </x:c>
      <x:c r="L35" s="36" t="str">
        <x:v>부분</x:v>
      </x:c>
      <x:c r="M35" s="36" t="str">
        <x:v>미실시</x:v>
      </x:c>
      <x:c r="N35" s="36" t="str">
        <x:v>미정</x:v>
      </x:c>
      <x:c r="O35" s="36" t="str">
        <x:v>미정</x:v>
      </x:c>
      <x:c r="P35" s="36"/>
      <x:c r="Q35" s="36"/>
      <x:c r="R35" s="44" t="str">
        <x:v>2026-07-10</x:v>
      </x:c>
      <x:c r="S35" s="36"/>
      <x:c r="T35" s="54"/>
      <x:c r="U35" s="54"/>
      <x:c r="V35" s="53" t="str">
        <x:v>착수 전</x:v>
      </x:c>
    </x:row>
    <x:row r="36" ht="42" customHeight="1">
      <x:c r="A36" s="36" t="str">
        <x:v>TC-QAR-018-02</x:v>
      </x:c>
      <x:c r="B36" s="36" t="str">
        <x:v>QAR-018</x:v>
      </x:c>
      <x:c r="C36" s="36" t="str">
        <x:v>QA·릴리스·운영</x:v>
      </x:c>
      <x:c r="D36" s="36" t="str">
        <x:v>예외·경계 시나리오: 첫 플레이 이해·대화·밤 판단 사용성 조사</x:v>
      </x:c>
      <x:c r="E36" s="36" t="str">
        <x:v>허용되지 않은 상태, 잘못된 값, 중복, 만료, 권한 부족, 연결 끊김 입력으로 데이터 손상·정보 유출·클라이언트 상태 분기가 발생하지 않는지 확인한다.</x:v>
      </x:c>
      <x:c r="F36" s="36" t="str">
        <x:v>대상 기능이 포함된 베타 빌드와 디버그 입력, 네트워크 열화, 비정상 요청 재현 수단을 준비한다.</x:v>
      </x:c>
      <x:c r="G36" s="36" t="str">
        <x:v>1. 허용되지 않은 페이즈 또는 경계값 조건을 구성한다.
2. 첫 플레이 이해·대화·밤 판단 사용성 조사에 대해 중복·무효·지연·연결 끊김을 포함한 요청을 전송한다.
3. 서버 거부, 롤백, 오류 표시와 감사 로그를 확인한다.
4. 모든 클라이언트의 상태가 일치하는지 확인한다.</x:v>
      </x:c>
      <x:c r="H36" s="36" t="str">
        <x:v>요청은 사양에 따라 거부되거나 안전하게 복구되며, 중복 반영, 데이터 손실, 정보 유출 또는 진행 중단이 발생하지 않는다. 오류와 상관관계 ID가 기록된다.</x:v>
      </x:c>
      <x:c r="I36" s="36" t="str">
        <x:v>사용성</x:v>
      </x:c>
      <x:c r="J36" s="36" t="str">
        <x:v>P0</x:v>
      </x:c>
      <x:c r="K36" s="36" t="str">
        <x:v>전체</x:v>
      </x:c>
      <x:c r="L36" s="36" t="str">
        <x:v>부분</x:v>
      </x:c>
      <x:c r="M36" s="36" t="str">
        <x:v>미실시</x:v>
      </x:c>
      <x:c r="N36" s="36" t="str">
        <x:v>미정</x:v>
      </x:c>
      <x:c r="O36" s="36" t="str">
        <x:v>미정</x:v>
      </x:c>
      <x:c r="P36" s="36"/>
      <x:c r="Q36" s="36"/>
      <x:c r="R36" s="44" t="str">
        <x:v>2026-07-10</x:v>
      </x:c>
      <x:c r="S36" s="36"/>
      <x:c r="T36" s="54"/>
      <x:c r="U36" s="54"/>
      <x:c r="V36" s="53" t="str">
        <x:v>착수 전</x:v>
      </x:c>
    </x:row>
    <x:row r="37" ht="42" customHeight="1">
      <x:c r="A37" s="36" t="str">
        <x:v>TC-QAR-019-01</x:v>
      </x:c>
      <x:c r="B37" s="36" t="str">
        <x:v>QAR-019</x:v>
      </x:c>
      <x:c r="C37" s="36" t="str">
        <x:v>QA·릴리스·운영</x:v>
      </x:c>
      <x:c r="D37" s="36" t="str">
        <x:v>정상 시나리오: 결함 심각도·우선순위·SLA·트리아지</x:v>
      </x:c>
      <x:c r="E37" s="36" t="str">
        <x:v>차단, 치명, 주요, 경미 결함의 기준, 담당, 재현 정보, 회귀 범위, 수정 기한, 연기 승인을 정의하고 매일 트리아지한다.</x:v>
      </x:c>
      <x:c r="F37" s="36" t="str">
        <x:v>대상 기능이 포함된 MVP 빌드, 필요한 테스트 계정·룸 설정·로그 접근 권한을 준비한다.</x:v>
      </x:c>
      <x:c r="G37" s="36" t="str">
        <x:v>1. 사전 조건 상태를 구성한다.
2. 표준 설정에서 다음 테스트 대상을 실행한다: 결함 심각도·우선순위·SLA·트리아지.
3. UI, 서버 상태와 로그·텔레메트리를 확인한다.
4. 필요하면 재입장 또는 재실행하여 재현성을 확인한다.</x:v>
      </x:c>
      <x:c r="H37" s="36" t="str">
        <x:v>차단, 치명, 주요, 경미 결함의 기준, 담당, 재현 정보, 회귀 범위, 수정 기한, 연기 승인을 정의하고 매일 트리아지한다.</x:v>
      </x:c>
      <x:c r="I37" s="36" t="str">
        <x:v>운영</x:v>
      </x:c>
      <x:c r="J37" s="36" t="str">
        <x:v>P0</x:v>
      </x:c>
      <x:c r="K37" s="36" t="str">
        <x:v>전체</x:v>
      </x:c>
      <x:c r="L37" s="36" t="str">
        <x:v>부분</x:v>
      </x:c>
      <x:c r="M37" s="36" t="str">
        <x:v>미실시</x:v>
      </x:c>
      <x:c r="N37" s="36" t="str">
        <x:v>미정</x:v>
      </x:c>
      <x:c r="O37" s="36" t="str">
        <x:v>미정</x:v>
      </x:c>
      <x:c r="P37" s="36"/>
      <x:c r="Q37" s="36"/>
      <x:c r="R37" s="44" t="str">
        <x:v>2026-07-10</x:v>
      </x:c>
      <x:c r="S37" s="36"/>
      <x:c r="T37" s="54"/>
      <x:c r="U37" s="54"/>
      <x:c r="V37" s="53" t="str">
        <x:v>착수 전</x:v>
      </x:c>
    </x:row>
    <x:row r="38" ht="42" customHeight="1">
      <x:c r="A38" s="36" t="str">
        <x:v>TC-QAR-019-02</x:v>
      </x:c>
      <x:c r="B38" s="36" t="str">
        <x:v>QAR-019</x:v>
      </x:c>
      <x:c r="C38" s="36" t="str">
        <x:v>QA·릴리스·운영</x:v>
      </x:c>
      <x:c r="D38" s="36" t="str">
        <x:v>예외·경계 시나리오: 결함 심각도·우선순위·SLA·트리아지</x:v>
      </x:c>
      <x:c r="E38" s="36" t="str">
        <x:v>허용되지 않은 상태, 잘못된 값, 중복, 만료, 권한 부족, 연결 끊김 입력으로 데이터 손상·정보 유출·클라이언트 상태 분기가 발생하지 않는지 확인한다.</x:v>
      </x:c>
      <x:c r="F38" s="36" t="str">
        <x:v>대상 기능이 포함된 MVP 빌드와 디버그 입력, 네트워크 열화, 비정상 요청 재현 수단을 준비한다.</x:v>
      </x:c>
      <x:c r="G38" s="36" t="str">
        <x:v>1. 허용되지 않은 페이즈 또는 경계값 조건을 구성한다.
2. 결함 심각도·우선순위·SLA·트리아지에 대해 중복·무효·지연·연결 끊김을 포함한 요청을 전송한다.
3. 서버 거부, 롤백, 오류 표시와 감사 로그를 확인한다.
4. 모든 클라이언트의 상태가 일치하는지 확인한다.</x:v>
      </x:c>
      <x:c r="H38" s="36" t="str">
        <x:v>요청은 사양에 따라 거부되거나 안전하게 복구되며, 중복 반영, 데이터 손실, 정보 유출 또는 진행 중단이 발생하지 않는다. 오류와 상관관계 ID가 기록된다.</x:v>
      </x:c>
      <x:c r="I38" s="36" t="str">
        <x:v>운영</x:v>
      </x:c>
      <x:c r="J38" s="36" t="str">
        <x:v>P0</x:v>
      </x:c>
      <x:c r="K38" s="36" t="str">
        <x:v>전체</x:v>
      </x:c>
      <x:c r="L38" s="36" t="str">
        <x:v>부분</x:v>
      </x:c>
      <x:c r="M38" s="36" t="str">
        <x:v>미실시</x:v>
      </x:c>
      <x:c r="N38" s="36" t="str">
        <x:v>미정</x:v>
      </x:c>
      <x:c r="O38" s="36" t="str">
        <x:v>미정</x:v>
      </x:c>
      <x:c r="P38" s="36"/>
      <x:c r="Q38" s="36"/>
      <x:c r="R38" s="44" t="str">
        <x:v>2026-07-10</x:v>
      </x:c>
      <x:c r="S38" s="36"/>
      <x:c r="T38" s="54"/>
      <x:c r="U38" s="54"/>
      <x:c r="V38" s="53" t="str">
        <x:v>착수 전</x:v>
      </x:c>
    </x:row>
    <x:row r="39" ht="42" customHeight="1">
      <x:c r="A39" s="36" t="str">
        <x:v>TC-QAR-020-01</x:v>
      </x:c>
      <x:c r="B39" s="36" t="str">
        <x:v>QAR-020</x:v>
      </x:c>
      <x:c r="C39" s="36" t="str">
        <x:v>QA·릴리스·운영</x:v>
      </x:c>
      <x:c r="D39" s="36" t="str">
        <x:v>정상 시나리오: 다중 세션 부하·봇·네트워크 열화 하네스</x:v>
      </x:c>
      <x:c r="E39" s="36" t="str">
        <x:v>자동 봇이 룸 생성, 시작, 이동, 미니게임, 메모, 투표, 결과 흐름을 수행하고 동시 세션 수와 열화 조건을 설정할 수 있다.</x:v>
      </x:c>
      <x:c r="F39" s="36" t="str">
        <x:v>대상 기능이 포함된 알파 빌드, 필요한 테스트 계정·룸 설정·로그 접근 권한을 준비한다.</x:v>
      </x:c>
      <x:c r="G39" s="36" t="str">
        <x:v>1. 사전 조건 상태를 구성한다.
2. 표준 설정에서 다음 테스트 대상을 실행한다: 다중 세션 부하·봇·네트워크 열화 하네스.
3. UI, 서버 상태와 로그·텔레메트리를 확인한다.
4. 필요하면 재입장 또는 재실행하여 재현성을 확인한다.</x:v>
      </x:c>
      <x:c r="H39" s="36" t="str">
        <x:v>자동 봇이 룸 생성, 시작, 이동, 미니게임, 메모, 투표, 결과 흐름을 수행하고 동시 세션 수와 열화 조건을 설정할 수 있다.</x:v>
      </x:c>
      <x:c r="I39" s="36" t="str">
        <x:v>성능</x:v>
      </x:c>
      <x:c r="J39" s="36" t="str">
        <x:v>P0</x:v>
      </x:c>
      <x:c r="K39" s="36" t="str">
        <x:v>도구</x:v>
      </x:c>
      <x:c r="L39" s="36" t="str">
        <x:v>부분</x:v>
      </x:c>
      <x:c r="M39" s="36" t="str">
        <x:v>미실시</x:v>
      </x:c>
      <x:c r="N39" s="36" t="str">
        <x:v>미정</x:v>
      </x:c>
      <x:c r="O39" s="36" t="str">
        <x:v>미정</x:v>
      </x:c>
      <x:c r="P39" s="36"/>
      <x:c r="Q39" s="36"/>
      <x:c r="R39" s="44" t="str">
        <x:v>2026-07-10</x:v>
      </x:c>
      <x:c r="S39" s="36"/>
      <x:c r="T39" s="54"/>
      <x:c r="U39" s="54"/>
      <x:c r="V39" s="53" t="str">
        <x:v>착수 전</x:v>
      </x:c>
    </x:row>
    <x:row r="40" ht="42" customHeight="1">
      <x:c r="A40" s="36" t="str">
        <x:v>TC-QAR-020-02</x:v>
      </x:c>
      <x:c r="B40" s="36" t="str">
        <x:v>QAR-020</x:v>
      </x:c>
      <x:c r="C40" s="36" t="str">
        <x:v>QA·릴리스·운영</x:v>
      </x:c>
      <x:c r="D40" s="36" t="str">
        <x:v>예외·경계 시나리오: 다중 세션 부하·봇·네트워크 열화 하네스</x:v>
      </x:c>
      <x:c r="E40" s="36" t="str">
        <x:v>허용되지 않은 상태, 잘못된 값, 중복, 만료, 권한 부족, 연결 끊김 입력으로 데이터 손상·정보 유출·클라이언트 상태 분기가 발생하지 않는지 확인한다.</x:v>
      </x:c>
      <x:c r="F40" s="36" t="str">
        <x:v>대상 기능이 포함된 알파 빌드와 디버그 입력, 네트워크 열화, 비정상 요청 재현 수단을 준비한다.</x:v>
      </x:c>
      <x:c r="G40" s="36" t="str">
        <x:v>1. 허용되지 않은 페이즈 또는 경계값 조건을 구성한다.
2. 다중 세션 부하·봇·네트워크 열화 하네스에 대해 중복·무효·지연·연결 끊김을 포함한 요청을 전송한다.
3. 서버 거부, 롤백, 오류 표시와 감사 로그를 확인한다.
4. 모든 클라이언트의 상태가 일치하는지 확인한다.</x:v>
      </x:c>
      <x:c r="H40" s="36" t="str">
        <x:v>요청은 사양에 따라 거부되거나 안전하게 복구되며, 중복 반영, 데이터 손실, 정보 유출 또는 진행 중단이 발생하지 않는다. 오류와 상관관계 ID가 기록된다.</x:v>
      </x:c>
      <x:c r="I40" s="36" t="str">
        <x:v>성능</x:v>
      </x:c>
      <x:c r="J40" s="36" t="str">
        <x:v>P0</x:v>
      </x:c>
      <x:c r="K40" s="36" t="str">
        <x:v>도구</x:v>
      </x:c>
      <x:c r="L40" s="36" t="str">
        <x:v>부분</x:v>
      </x:c>
      <x:c r="M40" s="36" t="str">
        <x:v>미실시</x:v>
      </x:c>
      <x:c r="N40" s="36" t="str">
        <x:v>미정</x:v>
      </x:c>
      <x:c r="O40" s="36" t="str">
        <x:v>미정</x:v>
      </x:c>
      <x:c r="P40" s="36"/>
      <x:c r="Q40" s="36"/>
      <x:c r="R40" s="44" t="str">
        <x:v>2026-07-10</x:v>
      </x:c>
      <x:c r="S40" s="36"/>
      <x:c r="T40" s="54"/>
      <x:c r="U40" s="54"/>
      <x:c r="V40" s="53" t="str">
        <x:v>착수 전</x:v>
      </x:c>
    </x:row>
    <x:row r="41" ht="42" customHeight="1">
      <x:c r="A41" s="36" t="str">
        <x:v>TC-QAR-021-01</x:v>
      </x:c>
      <x:c r="B41" s="36" t="str">
        <x:v>QAR-021</x:v>
      </x:c>
      <x:c r="C41" s="36" t="str">
        <x:v>QA·릴리스·운영</x:v>
      </x:c>
      <x:c r="D41" s="36" t="str">
        <x:v>정상 시나리오: API·서버 규칙·주요 UI 자동 회귀</x:v>
      </x:c>
      <x:c r="E41" s="36" t="str">
        <x:v>승패, 설정 검증, 메모 권한, 투표, 재접속, 오류 코드 자동 시험을 CI에서 실행하고 실패 시 빌드를 중지한다.</x:v>
      </x:c>
      <x:c r="F41" s="36" t="str">
        <x:v>대상 기능이 포함된 알파 빌드, 필요한 테스트 계정·룸 설정·로그 접근 권한을 준비한다.</x:v>
      </x:c>
      <x:c r="G41" s="36" t="str">
        <x:v>1. 사전 조건 상태를 구성한다.
2. 표준 설정에서 다음 테스트 대상을 실행한다: API·서버 규칙·주요 UI 자동 회귀.
3. UI, 서버 상태와 로그·텔레메트리를 확인한다.
4. 필요하면 재입장 또는 재실행하여 재현성을 확인한다.</x:v>
      </x:c>
      <x:c r="H41" s="36" t="str">
        <x:v>승패, 설정 검증, 메모 권한, 투표, 재접속, 오류 코드 자동 시험을 CI에서 실행하고 실패 시 빌드를 중지한다.</x:v>
      </x:c>
      <x:c r="I41" s="36" t="str">
        <x:v>기능</x:v>
      </x:c>
      <x:c r="J41" s="36" t="str">
        <x:v>P0</x:v>
      </x:c>
      <x:c r="K41" s="36" t="str">
        <x:v>도구</x:v>
      </x:c>
      <x:c r="L41" s="36" t="str">
        <x:v>부분</x:v>
      </x:c>
      <x:c r="M41" s="36" t="str">
        <x:v>미실시</x:v>
      </x:c>
      <x:c r="N41" s="36" t="str">
        <x:v>미정</x:v>
      </x:c>
      <x:c r="O41" s="36" t="str">
        <x:v>미정</x:v>
      </x:c>
      <x:c r="P41" s="36"/>
      <x:c r="Q41" s="36"/>
      <x:c r="R41" s="44" t="str">
        <x:v>2026-07-10</x:v>
      </x:c>
      <x:c r="S41" s="36"/>
      <x:c r="T41" s="54"/>
      <x:c r="U41" s="54"/>
      <x:c r="V41" s="53" t="str">
        <x:v>착수 전</x:v>
      </x:c>
    </x:row>
    <x:row r="42" ht="42" customHeight="1">
      <x:c r="A42" s="36" t="str">
        <x:v>TC-QAR-021-02</x:v>
      </x:c>
      <x:c r="B42" s="36" t="str">
        <x:v>QAR-021</x:v>
      </x:c>
      <x:c r="C42" s="36" t="str">
        <x:v>QA·릴리스·운영</x:v>
      </x:c>
      <x:c r="D42" s="36" t="str">
        <x:v>예외·경계 시나리오: API·서버 규칙·주요 UI 자동 회귀</x:v>
      </x:c>
      <x:c r="E42" s="36" t="str">
        <x:v>허용되지 않은 상태, 잘못된 값, 중복, 만료, 권한 부족, 연결 끊김 입력으로 데이터 손상·정보 유출·클라이언트 상태 분기가 발생하지 않는지 확인한다.</x:v>
      </x:c>
      <x:c r="F42" s="36" t="str">
        <x:v>대상 기능이 포함된 알파 빌드와 디버그 입력, 네트워크 열화, 비정상 요청 재현 수단을 준비한다.</x:v>
      </x:c>
      <x:c r="G42" s="36" t="str">
        <x:v>1. 허용되지 않은 페이즈 또는 경계값 조건을 구성한다.
2. API·서버 규칙·주요 UI 자동 회귀에 대해 중복·무효·지연·연결 끊김을 포함한 요청을 전송한다.
3. 서버 거부, 롤백, 오류 표시와 감사 로그를 확인한다.
4. 모든 클라이언트의 상태가 일치하는지 확인한다.</x:v>
      </x:c>
      <x:c r="H42" s="36" t="str">
        <x:v>요청은 사양에 따라 거부되거나 안전하게 복구되며, 중복 반영, 데이터 손실, 정보 유출 또는 진행 중단이 발생하지 않는다. 오류와 상관관계 ID가 기록된다.</x:v>
      </x:c>
      <x:c r="I42" s="36" t="str">
        <x:v>기능</x:v>
      </x:c>
      <x:c r="J42" s="36" t="str">
        <x:v>P0</x:v>
      </x:c>
      <x:c r="K42" s="36" t="str">
        <x:v>도구</x:v>
      </x:c>
      <x:c r="L42" s="36" t="str">
        <x:v>부분</x:v>
      </x:c>
      <x:c r="M42" s="36" t="str">
        <x:v>미실시</x:v>
      </x:c>
      <x:c r="N42" s="36" t="str">
        <x:v>미정</x:v>
      </x:c>
      <x:c r="O42" s="36" t="str">
        <x:v>미정</x:v>
      </x:c>
      <x:c r="P42" s="36"/>
      <x:c r="Q42" s="36"/>
      <x:c r="R42" s="44" t="str">
        <x:v>2026-07-10</x:v>
      </x:c>
      <x:c r="S42" s="36"/>
      <x:c r="T42" s="54"/>
      <x:c r="U42" s="54"/>
      <x:c r="V42" s="53" t="str">
        <x:v>착수 전</x:v>
      </x:c>
    </x:row>
    <x:row r="43" ht="42" customHeight="1">
      <x:c r="A43" s="36" t="str">
        <x:v>TC-QAR-022-01</x:v>
      </x:c>
      <x:c r="B43" s="36" t="str">
        <x:v>QAR-022</x:v>
      </x:c>
      <x:c r="C43" s="36" t="str">
        <x:v>QA·릴리스·운영</x:v>
      </x:c>
      <x:c r="D43" s="36" t="str">
        <x:v>정상 시나리오: 시험 계정·세션·설정·콘텐츠 데이터</x:v>
      </x:c>
      <x:c r="E43" s="36" t="str">
        <x:v>역할, 색상, 보유 메모, 연결 끊김, 제재, 지역, 연령, 외형을 재현하는 비운영 시험 데이터를 안전하게 생성·삭제할 수 있다.</x:v>
      </x:c>
      <x:c r="F43" s="36" t="str">
        <x:v>대상 기능이 포함된 알파 빌드, 필요한 테스트 계정·룸 설정·로그 접근 권한을 준비한다.</x:v>
      </x:c>
      <x:c r="G43" s="36" t="str">
        <x:v>1. 사전 조건 상태를 구성한다.
2. 표준 설정에서 다음 테스트 대상을 실행한다: 시험 계정·세션·설정·콘텐츠 데이터.
3. UI, 서버 상태와 로그·텔레메트리를 확인한다.
4. 필요하면 재입장 또는 재실행하여 재현성을 확인한다.</x:v>
      </x:c>
      <x:c r="H43" s="36" t="str">
        <x:v>역할, 색상, 보유 메모, 연결 끊김, 제재, 지역, 연령, 외형을 재현하는 비운영 시험 데이터를 안전하게 생성·삭제할 수 있다.</x:v>
      </x:c>
      <x:c r="I43" s="36" t="str">
        <x:v>운영</x:v>
      </x:c>
      <x:c r="J43" s="36" t="str">
        <x:v>P1</x:v>
      </x:c>
      <x:c r="K43" s="36" t="str">
        <x:v>도구</x:v>
      </x:c>
      <x:c r="L43" s="36" t="str">
        <x:v>부분</x:v>
      </x:c>
      <x:c r="M43" s="36" t="str">
        <x:v>미실시</x:v>
      </x:c>
      <x:c r="N43" s="36" t="str">
        <x:v>미정</x:v>
      </x:c>
      <x:c r="O43" s="36" t="str">
        <x:v>미정</x:v>
      </x:c>
      <x:c r="P43" s="36"/>
      <x:c r="Q43" s="36"/>
      <x:c r="R43" s="44" t="str">
        <x:v>2026-07-10</x:v>
      </x:c>
      <x:c r="S43" s="36"/>
      <x:c r="T43" s="54"/>
      <x:c r="U43" s="54"/>
      <x:c r="V43" s="53" t="str">
        <x:v>착수 전</x:v>
      </x:c>
    </x:row>
    <x:row r="44" ht="42" customHeight="1">
      <x:c r="A44" s="36" t="str">
        <x:v>TC-QAR-023-01</x:v>
      </x:c>
      <x:c r="B44" s="36" t="str">
        <x:v>QAR-023</x:v>
      </x:c>
      <x:c r="C44" s="36" t="str">
        <x:v>QA·릴리스·운영</x:v>
      </x:c>
      <x:c r="D44" s="36" t="str">
        <x:v>정상 시나리오: MVP·알파·베타·출시 후보·출시 게이트 운영</x:v>
      </x:c>
      <x:c r="E44" s="36" t="str">
        <x:v>각 게이트의 필수 산출물, 수치 기준, 승인자, 예외 승인, 기한, 증빙을 관리하고 미완료 P0가 있으면 준비 완료로 판정하지 않는다.</x:v>
      </x:c>
      <x:c r="F44" s="36" t="str">
        <x:v>대상 기능이 포함된 MVP 빌드, 필요한 테스트 계정·룸 설정·로그 접근 권한을 준비한다.</x:v>
      </x:c>
      <x:c r="G44" s="36" t="str">
        <x:v>1. 사전 조건 상태를 구성한다.
2. 표준 설정에서 다음 테스트 대상을 실행한다: MVP·알파·베타·출시 후보·출시 게이트 운영.
3. UI, 서버 상태와 로그·텔레메트리를 확인한다.
4. 필요하면 재입장 또는 재실행하여 재현성을 확인한다.</x:v>
      </x:c>
      <x:c r="H44" s="36" t="str">
        <x:v>각 게이트의 필수 산출물, 수치 기준, 승인자, 예외 승인, 기한, 증빙을 관리하고 미완료 P0가 있으면 준비 완료로 판정하지 않는다.</x:v>
      </x:c>
      <x:c r="I44" s="36" t="str">
        <x:v>운영</x:v>
      </x:c>
      <x:c r="J44" s="36" t="str">
        <x:v>P0</x:v>
      </x:c>
      <x:c r="K44" s="36" t="str">
        <x:v>전체</x:v>
      </x:c>
      <x:c r="L44" s="36" t="str">
        <x:v>부분</x:v>
      </x:c>
      <x:c r="M44" s="36" t="str">
        <x:v>미실시</x:v>
      </x:c>
      <x:c r="N44" s="36" t="str">
        <x:v>미정</x:v>
      </x:c>
      <x:c r="O44" s="36" t="str">
        <x:v>미정</x:v>
      </x:c>
      <x:c r="P44" s="36"/>
      <x:c r="Q44" s="36"/>
      <x:c r="R44" s="44" t="str">
        <x:v>2026-07-10</x:v>
      </x:c>
      <x:c r="S44" s="36"/>
      <x:c r="T44" s="54"/>
      <x:c r="U44" s="54"/>
      <x:c r="V44" s="53" t="str">
        <x:v>착수 전</x:v>
      </x:c>
    </x:row>
    <x:row r="45" ht="42" customHeight="1">
      <x:c r="A45" s="36" t="str">
        <x:v>TC-QAR-023-02</x:v>
      </x:c>
      <x:c r="B45" s="36" t="str">
        <x:v>QAR-023</x:v>
      </x:c>
      <x:c r="C45" s="36" t="str">
        <x:v>QA·릴리스·운영</x:v>
      </x:c>
      <x:c r="D45" s="36" t="str">
        <x:v>예외·경계 시나리오: MVP·알파·베타·출시 후보·출시 게이트 운영</x:v>
      </x:c>
      <x:c r="E45" s="36" t="str">
        <x:v>허용되지 않은 상태, 잘못된 값, 중복, 만료, 권한 부족, 연결 끊김 입력으로 데이터 손상·정보 유출·클라이언트 상태 분기가 발생하지 않는지 확인한다.</x:v>
      </x:c>
      <x:c r="F45" s="36" t="str">
        <x:v>대상 기능이 포함된 MVP 빌드와 디버그 입력, 네트워크 열화, 비정상 요청 재현 수단을 준비한다.</x:v>
      </x:c>
      <x:c r="G45" s="36" t="str">
        <x:v>1. 허용되지 않은 페이즈 또는 경계값 조건을 구성한다.
2. MVP·알파·베타·출시 후보·출시 게이트 운영에 대해 중복·무효·지연·연결 끊김을 포함한 요청을 전송한다.
3. 서버 거부, 롤백, 오류 표시와 감사 로그를 확인한다.
4. 모든 클라이언트의 상태가 일치하는지 확인한다.</x:v>
      </x:c>
      <x:c r="H45" s="36" t="str">
        <x:v>요청은 사양에 따라 거부되거나 안전하게 복구되며, 중복 반영, 데이터 손실, 정보 유출 또는 진행 중단이 발생하지 않는다. 오류와 상관관계 ID가 기록된다.</x:v>
      </x:c>
      <x:c r="I45" s="36" t="str">
        <x:v>운영</x:v>
      </x:c>
      <x:c r="J45" s="36" t="str">
        <x:v>P0</x:v>
      </x:c>
      <x:c r="K45" s="36" t="str">
        <x:v>전체</x:v>
      </x:c>
      <x:c r="L45" s="36" t="str">
        <x:v>부분</x:v>
      </x:c>
      <x:c r="M45" s="36" t="str">
        <x:v>미실시</x:v>
      </x:c>
      <x:c r="N45" s="36" t="str">
        <x:v>미정</x:v>
      </x:c>
      <x:c r="O45" s="36" t="str">
        <x:v>미정</x:v>
      </x:c>
      <x:c r="P45" s="36"/>
      <x:c r="Q45" s="36"/>
      <x:c r="R45" s="44" t="str">
        <x:v>2026-07-10</x:v>
      </x:c>
      <x:c r="S45" s="36"/>
      <x:c r="T45" s="54"/>
      <x:c r="U45" s="54"/>
      <x:c r="V45" s="53" t="str">
        <x:v>착수 전</x:v>
      </x:c>
    </x:row>
    <x:row r="46" ht="42" customHeight="1">
      <x:c r="A46" s="36" t="str">
        <x:v>TC-QAR-024-01</x:v>
      </x:c>
      <x:c r="B46" s="36" t="str">
        <x:v>QAR-024</x:v>
      </x:c>
      <x:c r="C46" s="36" t="str">
        <x:v>QA·릴리스·운영</x:v>
      </x:c>
      <x:c r="D46" s="36" t="str">
        <x:v>정상 시나리오: 클라이언트·서버·콘텐츠 CI/CD</x:v>
      </x:c>
      <x:c r="E46" s="36" t="str">
        <x:v>재현 가능한 빌드, 단위 시험, 자동 회귀, 서명, 산출물 보관, SBOM·의존성 검사, 환경 배포를 자동화한다.</x:v>
      </x:c>
      <x:c r="F46" s="36" t="str">
        <x:v>대상 기능이 포함된 알파 빌드, 필요한 테스트 계정·룸 설정·로그 접근 권한을 준비한다.</x:v>
      </x:c>
      <x:c r="G46" s="36" t="str">
        <x:v>1. 사전 조건 상태를 구성한다.
2. 표준 설정에서 다음 테스트 대상을 실행한다: 클라이언트·서버·콘텐츠 CI/CD.
3. UI, 서버 상태와 로그·텔레메트리를 확인한다.
4. 필요하면 재입장 또는 재실행하여 재현성을 확인한다.</x:v>
      </x:c>
      <x:c r="H46" s="36" t="str">
        <x:v>재현 가능한 빌드, 단위 시험, 자동 회귀, 서명, 산출물 보관, SBOM·의존성 검사, 환경 배포를 자동화한다.</x:v>
      </x:c>
      <x:c r="I46" s="36" t="str">
        <x:v>운영</x:v>
      </x:c>
      <x:c r="J46" s="36" t="str">
        <x:v>P0</x:v>
      </x:c>
      <x:c r="K46" s="36" t="str">
        <x:v>도구</x:v>
      </x:c>
      <x:c r="L46" s="36" t="str">
        <x:v>부분</x:v>
      </x:c>
      <x:c r="M46" s="36" t="str">
        <x:v>미실시</x:v>
      </x:c>
      <x:c r="N46" s="36" t="str">
        <x:v>미정</x:v>
      </x:c>
      <x:c r="O46" s="36" t="str">
        <x:v>미정</x:v>
      </x:c>
      <x:c r="P46" s="36"/>
      <x:c r="Q46" s="36"/>
      <x:c r="R46" s="44" t="str">
        <x:v>2026-07-10</x:v>
      </x:c>
      <x:c r="S46" s="36"/>
      <x:c r="T46" s="54"/>
      <x:c r="U46" s="54"/>
      <x:c r="V46" s="53" t="str">
        <x:v>착수 전</x:v>
      </x:c>
    </x:row>
    <x:row r="47" ht="42" customHeight="1">
      <x:c r="A47" s="36" t="str">
        <x:v>TC-QAR-024-02</x:v>
      </x:c>
      <x:c r="B47" s="36" t="str">
        <x:v>QAR-024</x:v>
      </x:c>
      <x:c r="C47" s="36" t="str">
        <x:v>QA·릴리스·운영</x:v>
      </x:c>
      <x:c r="D47" s="36" t="str">
        <x:v>예외·경계 시나리오: 클라이언트·서버·콘텐츠 CI/CD</x:v>
      </x:c>
      <x:c r="E47" s="36" t="str">
        <x:v>허용되지 않은 상태, 잘못된 값, 중복, 만료, 권한 부족, 연결 끊김 입력으로 데이터 손상·정보 유출·클라이언트 상태 분기가 발생하지 않는지 확인한다.</x:v>
      </x:c>
      <x:c r="F47" s="36" t="str">
        <x:v>대상 기능이 포함된 알파 빌드와 디버그 입력, 네트워크 열화, 비정상 요청 재현 수단을 준비한다.</x:v>
      </x:c>
      <x:c r="G47" s="36" t="str">
        <x:v>1. 허용되지 않은 페이즈 또는 경계값 조건을 구성한다.
2. 클라이언트·서버·콘텐츠 CI/CD에 대해 중복·무효·지연·연결 끊김을 포함한 요청을 전송한다.
3. 서버 거부, 롤백, 오류 표시와 감사 로그를 확인한다.
4. 모든 클라이언트의 상태가 일치하는지 확인한다.</x:v>
      </x:c>
      <x:c r="H47" s="36" t="str">
        <x:v>요청은 사양에 따라 거부되거나 안전하게 복구되며, 중복 반영, 데이터 손실, 정보 유출 또는 진행 중단이 발생하지 않는다. 오류와 상관관계 ID가 기록된다.</x:v>
      </x:c>
      <x:c r="I47" s="36" t="str">
        <x:v>운영</x:v>
      </x:c>
      <x:c r="J47" s="36" t="str">
        <x:v>P0</x:v>
      </x:c>
      <x:c r="K47" s="36" t="str">
        <x:v>도구</x:v>
      </x:c>
      <x:c r="L47" s="36" t="str">
        <x:v>부분</x:v>
      </x:c>
      <x:c r="M47" s="36" t="str">
        <x:v>미실시</x:v>
      </x:c>
      <x:c r="N47" s="36" t="str">
        <x:v>미정</x:v>
      </x:c>
      <x:c r="O47" s="36" t="str">
        <x:v>미정</x:v>
      </x:c>
      <x:c r="P47" s="36"/>
      <x:c r="Q47" s="36"/>
      <x:c r="R47" s="44" t="str">
        <x:v>2026-07-10</x:v>
      </x:c>
      <x:c r="S47" s="36"/>
      <x:c r="T47" s="54"/>
      <x:c r="U47" s="54"/>
      <x:c r="V47" s="53" t="str">
        <x:v>착수 전</x:v>
      </x:c>
    </x:row>
    <x:row r="48" ht="42" customHeight="1">
      <x:c r="A48" s="36" t="str">
        <x:v>TC-QAR-025-01</x:v>
      </x:c>
      <x:c r="B48" s="36" t="str">
        <x:v>QAR-025</x:v>
      </x:c>
      <x:c r="C48" s="36" t="str">
        <x:v>QA·릴리스·운영</x:v>
      </x:c>
      <x:c r="D48" s="36" t="str">
        <x:v>정상 시나리오: 제품·프로토콜·설정·콘텐츠 버전 표시</x:v>
      </x:c>
      <x:c r="E48" s="36" t="str">
        <x:v>클라이언트, 서버, 프로토콜, 설정, 콘텐츠, 커밋 버전을 UI, 로그, 크래시에 일관되게 표시하고 호환성 판정에 사용한다.</x:v>
      </x:c>
      <x:c r="F48" s="36" t="str">
        <x:v>대상 기능이 포함된 MVP 빌드, 필요한 테스트 계정·룸 설정·로그 접근 권한을 준비한다.</x:v>
      </x:c>
      <x:c r="G48" s="36" t="str">
        <x:v>1. 사전 조건 상태를 구성한다.
2. 표준 설정에서 다음 테스트 대상을 실행한다: 제품·프로토콜·설정·콘텐츠 버전 표시.
3. UI, 서버 상태와 로그·텔레메트리를 확인한다.
4. 필요하면 재입장 또는 재실행하여 재현성을 확인한다.</x:v>
      </x:c>
      <x:c r="H48" s="36" t="str">
        <x:v>클라이언트, 서버, 프로토콜, 설정, 콘텐츠, 커밋 버전을 UI, 로그, 크래시에 일관되게 표시하고 호환성 판정에 사용한다.</x:v>
      </x:c>
      <x:c r="I48" s="36" t="str">
        <x:v>호환성</x:v>
      </x:c>
      <x:c r="J48" s="36" t="str">
        <x:v>P0</x:v>
      </x:c>
      <x:c r="K48" s="36" t="str">
        <x:v>전체</x:v>
      </x:c>
      <x:c r="L48" s="36" t="str">
        <x:v>예</x:v>
      </x:c>
      <x:c r="M48" s="36" t="str">
        <x:v>미실시</x:v>
      </x:c>
      <x:c r="N48" s="36" t="str">
        <x:v>미정</x:v>
      </x:c>
      <x:c r="O48" s="36" t="str">
        <x:v>미정</x:v>
      </x:c>
      <x:c r="P48" s="36"/>
      <x:c r="Q48" s="36"/>
      <x:c r="R48" s="44" t="str">
        <x:v>2026-07-10</x:v>
      </x:c>
      <x:c r="S48" s="36"/>
      <x:c r="T48" s="54"/>
      <x:c r="U48" s="54"/>
      <x:c r="V48" s="53" t="str">
        <x:v>착수 전</x:v>
      </x:c>
    </x:row>
    <x:row r="49" ht="42" customHeight="1">
      <x:c r="A49" s="36" t="str">
        <x:v>TC-QAR-025-02</x:v>
      </x:c>
      <x:c r="B49" s="36" t="str">
        <x:v>QAR-025</x:v>
      </x:c>
      <x:c r="C49" s="36" t="str">
        <x:v>QA·릴리스·운영</x:v>
      </x:c>
      <x:c r="D49" s="36" t="str">
        <x:v>예외·경계 시나리오: 제품·프로토콜·설정·콘텐츠 버전 표시</x:v>
      </x:c>
      <x:c r="E49" s="36" t="str">
        <x:v>허용되지 않은 상태, 잘못된 값, 중복, 만료, 권한 부족, 연결 끊김 입력으로 데이터 손상·정보 유출·클라이언트 상태 분기가 발생하지 않는지 확인한다.</x:v>
      </x:c>
      <x:c r="F49" s="36" t="str">
        <x:v>대상 기능이 포함된 MVP 빌드와 디버그 입력, 네트워크 열화, 비정상 요청 재현 수단을 준비한다.</x:v>
      </x:c>
      <x:c r="G49" s="36" t="str">
        <x:v>1. 허용되지 않은 페이즈 또는 경계값 조건을 구성한다.
2. 제품·프로토콜·설정·콘텐츠 버전 표시에 대해 중복·무효·지연·연결 끊김을 포함한 요청을 전송한다.
3. 서버 거부, 롤백, 오류 표시와 감사 로그를 확인한다.
4. 모든 클라이언트의 상태가 일치하는지 확인한다.</x:v>
      </x:c>
      <x:c r="H49" s="36" t="str">
        <x:v>요청은 사양에 따라 거부되거나 안전하게 복구되며, 중복 반영, 데이터 손실, 정보 유출 또는 진행 중단이 발생하지 않는다. 오류와 상관관계 ID가 기록된다.</x:v>
      </x:c>
      <x:c r="I49" s="36" t="str">
        <x:v>호환성</x:v>
      </x:c>
      <x:c r="J49" s="36" t="str">
        <x:v>P0</x:v>
      </x:c>
      <x:c r="K49" s="36" t="str">
        <x:v>전체</x:v>
      </x:c>
      <x:c r="L49" s="36" t="str">
        <x:v>예</x:v>
      </x:c>
      <x:c r="M49" s="36" t="str">
        <x:v>미실시</x:v>
      </x:c>
      <x:c r="N49" s="36" t="str">
        <x:v>미정</x:v>
      </x:c>
      <x:c r="O49" s="36" t="str">
        <x:v>미정</x:v>
      </x:c>
      <x:c r="P49" s="36"/>
      <x:c r="Q49" s="36"/>
      <x:c r="R49" s="44" t="str">
        <x:v>2026-07-10</x:v>
      </x:c>
      <x:c r="S49" s="36"/>
      <x:c r="T49" s="54"/>
      <x:c r="U49" s="54"/>
      <x:c r="V49" s="53" t="str">
        <x:v>착수 전</x:v>
      </x:c>
    </x:row>
    <x:row r="50" ht="42" customHeight="1">
      <x:c r="A50" s="36" t="str">
        <x:v>TC-QAR-026-01</x:v>
      </x:c>
      <x:c r="B50" s="36" t="str">
        <x:v>QAR-026</x:v>
      </x:c>
      <x:c r="C50" s="36" t="str">
        <x:v>QA·릴리스·운영</x:v>
      </x:c>
      <x:c r="D50" s="36" t="str">
        <x:v>정상 시나리오: 크래시 프리 비율·중대 멈춤 목표</x:v>
      </x:c>
      <x:c r="E50" s="36" t="str">
        <x:v>출시 후보 기간의 크래시 프리 세션·사용자 목표와 중대 멈춤 0건을 정의하고 빌드와 플랫폼별로 모니터링한다.</x:v>
      </x:c>
      <x:c r="F50" s="36" t="str">
        <x:v>대상 기능이 포함된 릴리스 후보 빌드, 필요한 테스트 계정·룸 설정·로그 접근 권한을 준비한다.</x:v>
      </x:c>
      <x:c r="G50" s="36" t="str">
        <x:v>1. 사전 조건 상태를 구성한다.
2. 표준 설정에서 다음 테스트 대상을 실행한다: 크래시 프리 비율·중대 멈춤 목표.
3. UI, 서버 상태와 로그·텔레메트리를 확인한다.
4. 필요하면 재입장 또는 재실행하여 재현성을 확인한다.</x:v>
      </x:c>
      <x:c r="H50" s="36" t="str">
        <x:v>출시 후보 기간의 크래시 프리 세션·사용자 목표와 중대 멈춤 0건을 정의하고 빌드와 플랫폼별로 모니터링한다.</x:v>
      </x:c>
      <x:c r="I50" s="36" t="str">
        <x:v>운영</x:v>
      </x:c>
      <x:c r="J50" s="36" t="str">
        <x:v>P0</x:v>
      </x:c>
      <x:c r="K50" s="36" t="str">
        <x:v>전체</x:v>
      </x:c>
      <x:c r="L50" s="36" t="str">
        <x:v>부분</x:v>
      </x:c>
      <x:c r="M50" s="36" t="str">
        <x:v>미실시</x:v>
      </x:c>
      <x:c r="N50" s="36" t="str">
        <x:v>미정</x:v>
      </x:c>
      <x:c r="O50" s="36" t="str">
        <x:v>미정</x:v>
      </x:c>
      <x:c r="P50" s="36"/>
      <x:c r="Q50" s="36"/>
      <x:c r="R50" s="44" t="str">
        <x:v>2026-07-10</x:v>
      </x:c>
      <x:c r="S50" s="36"/>
      <x:c r="T50" s="54"/>
      <x:c r="U50" s="54"/>
      <x:c r="V50" s="53" t="str">
        <x:v>착수 전</x:v>
      </x:c>
    </x:row>
    <x:row r="51" ht="42" customHeight="1">
      <x:c r="A51" s="36" t="str">
        <x:v>TC-QAR-026-02</x:v>
      </x:c>
      <x:c r="B51" s="36" t="str">
        <x:v>QAR-026</x:v>
      </x:c>
      <x:c r="C51" s="36" t="str">
        <x:v>QA·릴리스·운영</x:v>
      </x:c>
      <x:c r="D51" s="36" t="str">
        <x:v>예외·경계 시나리오: 크래시 프리 비율·중대 멈춤 목표</x:v>
      </x:c>
      <x:c r="E51" s="36" t="str">
        <x:v>허용되지 않은 상태, 잘못된 값, 중복, 만료, 권한 부족, 연결 끊김 입력으로 데이터 손상·정보 유출·클라이언트 상태 분기가 발생하지 않는지 확인한다.</x:v>
      </x:c>
      <x:c r="F51" s="36" t="str">
        <x:v>대상 기능이 포함된 릴리스 후보 빌드와 디버그 입력, 네트워크 열화, 비정상 요청 재현 수단을 준비한다.</x:v>
      </x:c>
      <x:c r="G51" s="36" t="str">
        <x:v>1. 허용되지 않은 페이즈 또는 경계값 조건을 구성한다.
2. 크래시 프리 비율·중대 멈춤 목표에 대해 중복·무효·지연·연결 끊김을 포함한 요청을 전송한다.
3. 서버 거부, 롤백, 오류 표시와 감사 로그를 확인한다.
4. 모든 클라이언트의 상태가 일치하는지 확인한다.</x:v>
      </x:c>
      <x:c r="H51" s="36" t="str">
        <x:v>요청은 사양에 따라 거부되거나 안전하게 복구되며, 중복 반영, 데이터 손실, 정보 유출 또는 진행 중단이 발생하지 않는다. 오류와 상관관계 ID가 기록된다.</x:v>
      </x:c>
      <x:c r="I51" s="36" t="str">
        <x:v>운영</x:v>
      </x:c>
      <x:c r="J51" s="36" t="str">
        <x:v>P0</x:v>
      </x:c>
      <x:c r="K51" s="36" t="str">
        <x:v>전체</x:v>
      </x:c>
      <x:c r="L51" s="36" t="str">
        <x:v>부분</x:v>
      </x:c>
      <x:c r="M51" s="36" t="str">
        <x:v>미실시</x:v>
      </x:c>
      <x:c r="N51" s="36" t="str">
        <x:v>미정</x:v>
      </x:c>
      <x:c r="O51" s="36" t="str">
        <x:v>미정</x:v>
      </x:c>
      <x:c r="P51" s="36"/>
      <x:c r="Q51" s="36"/>
      <x:c r="R51" s="44" t="str">
        <x:v>2026-07-10</x:v>
      </x:c>
      <x:c r="S51" s="36"/>
      <x:c r="T51" s="54"/>
      <x:c r="U51" s="54"/>
      <x:c r="V51" s="53" t="str">
        <x:v>착수 전</x:v>
      </x:c>
    </x:row>
    <x:row r="52" ht="42" customHeight="1">
      <x:c r="A52" s="36" t="str">
        <x:v>TC-QAR-027-01</x:v>
      </x:c>
      <x:c r="B52" s="36" t="str">
        <x:v>QAR-027</x:v>
      </x:c>
      <x:c r="C52" s="36" t="str">
        <x:v>QA·릴리스·운영</x:v>
      </x:c>
      <x:c r="D52" s="36" t="str">
        <x:v>정상 시나리오: 온라인 서비스 SLO·오류 예산</x:v>
      </x:c>
      <x:c r="E52" s="36" t="str">
        <x:v>인증, 룸 생성, 참가, 시작, 매치 지속의 가용성, 지연, 실패율 목표와 초과 시 출시 중단 기준을 정의한다.</x:v>
      </x:c>
      <x:c r="F52" s="36" t="str">
        <x:v>대상 기능이 포함된 릴리스 후보 빌드, 필요한 테스트 계정·룸 설정·로그 접근 권한을 준비한다.</x:v>
      </x:c>
      <x:c r="G52" s="36" t="str">
        <x:v>1. 사전 조건 상태를 구성한다.
2. 표준 설정에서 다음 테스트 대상을 실행한다: 온라인 서비스 SLO·오류 예산.
3. UI, 서버 상태와 로그·텔레메트리를 확인한다.
4. 필요하면 재입장 또는 재실행하여 재현성을 확인한다.</x:v>
      </x:c>
      <x:c r="H52" s="36" t="str">
        <x:v>인증, 룸 생성, 참가, 시작, 매치 지속의 가용성, 지연, 실패율 목표와 초과 시 출시 중단 기준을 정의한다.</x:v>
      </x:c>
      <x:c r="I52" s="36" t="str">
        <x:v>운영</x:v>
      </x:c>
      <x:c r="J52" s="36" t="str">
        <x:v>P0</x:v>
      </x:c>
      <x:c r="K52" s="36" t="str">
        <x:v>백엔드</x:v>
      </x:c>
      <x:c r="L52" s="36" t="str">
        <x:v>부분</x:v>
      </x:c>
      <x:c r="M52" s="36" t="str">
        <x:v>미실시</x:v>
      </x:c>
      <x:c r="N52" s="36" t="str">
        <x:v>미정</x:v>
      </x:c>
      <x:c r="O52" s="36" t="str">
        <x:v>미정</x:v>
      </x:c>
      <x:c r="P52" s="36"/>
      <x:c r="Q52" s="36"/>
      <x:c r="R52" s="44" t="str">
        <x:v>2026-07-10</x:v>
      </x:c>
      <x:c r="S52" s="36"/>
      <x:c r="T52" s="54"/>
      <x:c r="U52" s="54"/>
      <x:c r="V52" s="53" t="str">
        <x:v>착수 전</x:v>
      </x:c>
    </x:row>
    <x:row r="53" ht="42" customHeight="1">
      <x:c r="A53" s="36" t="str">
        <x:v>TC-QAR-027-02</x:v>
      </x:c>
      <x:c r="B53" s="36" t="str">
        <x:v>QAR-027</x:v>
      </x:c>
      <x:c r="C53" s="36" t="str">
        <x:v>QA·릴리스·운영</x:v>
      </x:c>
      <x:c r="D53" s="36" t="str">
        <x:v>예외·경계 시나리오: 온라인 서비스 SLO·오류 예산</x:v>
      </x:c>
      <x:c r="E53" s="36" t="str">
        <x:v>허용되지 않은 상태, 잘못된 값, 중복, 만료, 권한 부족, 연결 끊김 입력으로 데이터 손상·정보 유출·클라이언트 상태 분기가 발생하지 않는지 확인한다.</x:v>
      </x:c>
      <x:c r="F53" s="36" t="str">
        <x:v>대상 기능이 포함된 릴리스 후보 빌드와 디버그 입력, 네트워크 열화, 비정상 요청 재현 수단을 준비한다.</x:v>
      </x:c>
      <x:c r="G53" s="36" t="str">
        <x:v>1. 허용되지 않은 페이즈 또는 경계값 조건을 구성한다.
2. 온라인 서비스 SLO·오류 예산에 대해 중복·무효·지연·연결 끊김을 포함한 요청을 전송한다.
3. 서버 거부, 롤백, 오류 표시와 감사 로그를 확인한다.
4. 모든 클라이언트의 상태가 일치하는지 확인한다.</x:v>
      </x:c>
      <x:c r="H53" s="36" t="str">
        <x:v>요청은 사양에 따라 거부되거나 안전하게 복구되며, 중복 반영, 데이터 손실, 정보 유출 또는 진행 중단이 발생하지 않는다. 오류와 상관관계 ID가 기록된다.</x:v>
      </x:c>
      <x:c r="I53" s="36" t="str">
        <x:v>운영</x:v>
      </x:c>
      <x:c r="J53" s="36" t="str">
        <x:v>P0</x:v>
      </x:c>
      <x:c r="K53" s="36" t="str">
        <x:v>백엔드</x:v>
      </x:c>
      <x:c r="L53" s="36" t="str">
        <x:v>부분</x:v>
      </x:c>
      <x:c r="M53" s="36" t="str">
        <x:v>미실시</x:v>
      </x:c>
      <x:c r="N53" s="36" t="str">
        <x:v>미정</x:v>
      </x:c>
      <x:c r="O53" s="36" t="str">
        <x:v>미정</x:v>
      </x:c>
      <x:c r="P53" s="36"/>
      <x:c r="Q53" s="36"/>
      <x:c r="R53" s="44" t="str">
        <x:v>2026-07-10</x:v>
      </x:c>
      <x:c r="S53" s="36"/>
      <x:c r="T53" s="54"/>
      <x:c r="U53" s="54"/>
      <x:c r="V53" s="53" t="str">
        <x:v>착수 전</x:v>
      </x:c>
    </x:row>
    <x:row r="54" ht="42" customHeight="1">
      <x:c r="A54" s="36" t="str">
        <x:v>TC-QAR-028-01</x:v>
      </x:c>
      <x:c r="B54" s="36" t="str">
        <x:v>QAR-028</x:v>
      </x:c>
      <x:c r="C54" s="36" t="str">
        <x:v>QA·릴리스·운영</x:v>
      </x:c>
      <x:c r="D54" s="36" t="str">
        <x:v>정상 시나리오: 보안·개인정보·위협 모델 검토</x:v>
      </x:c>
      <x:c r="E54" s="36" t="str">
        <x:v>인증, 권한, 비공개 정보, 음성, 신고, 로그, 데이터 보관, 상점을 검토하고 치명·높음 지적 사항을 출시 전에 해결한다.</x:v>
      </x:c>
      <x:c r="F54" s="36" t="str">
        <x:v>대상 기능이 포함된 릴리스 후보 빌드, 필요한 테스트 계정·룸 설정·로그 접근 권한을 준비한다.</x:v>
      </x:c>
      <x:c r="G54" s="36" t="str">
        <x:v>1. 사전 조건 상태를 구성한다.
2. 표준 설정에서 다음 테스트 대상을 실행한다: 보안·개인정보·위협 모델 검토.
3. UI, 서버 상태와 로그·텔레메트리를 확인한다.
4. 필요하면 재입장 또는 재실행하여 재현성을 확인한다.</x:v>
      </x:c>
      <x:c r="H54" s="36" t="str">
        <x:v>인증, 권한, 비공개 정보, 음성, 신고, 로그, 데이터 보관, 상점을 검토하고 치명·높음 지적 사항을 출시 전에 해결한다.</x:v>
      </x:c>
      <x:c r="I54" s="36" t="str">
        <x:v>보안</x:v>
      </x:c>
      <x:c r="J54" s="36" t="str">
        <x:v>P0</x:v>
      </x:c>
      <x:c r="K54" s="36" t="str">
        <x:v>전체</x:v>
      </x:c>
      <x:c r="L54" s="36" t="str">
        <x:v>부분</x:v>
      </x:c>
      <x:c r="M54" s="36" t="str">
        <x:v>미실시</x:v>
      </x:c>
      <x:c r="N54" s="36" t="str">
        <x:v>미정</x:v>
      </x:c>
      <x:c r="O54" s="36" t="str">
        <x:v>미정</x:v>
      </x:c>
      <x:c r="P54" s="36"/>
      <x:c r="Q54" s="36"/>
      <x:c r="R54" s="44" t="str">
        <x:v>2026-07-10</x:v>
      </x:c>
      <x:c r="S54" s="36"/>
      <x:c r="T54" s="54"/>
      <x:c r="U54" s="54"/>
      <x:c r="V54" s="53" t="str">
        <x:v>착수 전</x:v>
      </x:c>
    </x:row>
    <x:row r="55" ht="42" customHeight="1">
      <x:c r="A55" s="36" t="str">
        <x:v>TC-QAR-028-02</x:v>
      </x:c>
      <x:c r="B55" s="36" t="str">
        <x:v>QAR-028</x:v>
      </x:c>
      <x:c r="C55" s="36" t="str">
        <x:v>QA·릴리스·운영</x:v>
      </x:c>
      <x:c r="D55" s="36" t="str">
        <x:v>예외·경계 시나리오: 보안·개인정보·위협 모델 검토</x:v>
      </x:c>
      <x:c r="E55" s="36" t="str">
        <x:v>허용되지 않은 상태, 잘못된 값, 중복, 만료, 권한 부족, 연결 끊김 입력으로 데이터 손상·정보 유출·클라이언트 상태 분기가 발생하지 않는지 확인한다.</x:v>
      </x:c>
      <x:c r="F55" s="36" t="str">
        <x:v>대상 기능이 포함된 릴리스 후보 빌드와 디버그 입력, 네트워크 열화, 비정상 요청 재현 수단을 준비한다.</x:v>
      </x:c>
      <x:c r="G55" s="36" t="str">
        <x:v>1. 허용되지 않은 페이즈 또는 경계값 조건을 구성한다.
2. 보안·개인정보·위협 모델 검토에 대해 중복·무효·지연·연결 끊김을 포함한 요청을 전송한다.
3. 서버 거부, 롤백, 오류 표시와 감사 로그를 확인한다.
4. 모든 클라이언트의 상태가 일치하는지 확인한다.</x:v>
      </x:c>
      <x:c r="H55" s="36" t="str">
        <x:v>요청은 사양에 따라 거부되거나 안전하게 복구되며, 중복 반영, 데이터 손실, 정보 유출 또는 진행 중단이 발생하지 않는다. 오류와 상관관계 ID가 기록된다.</x:v>
      </x:c>
      <x:c r="I55" s="36" t="str">
        <x:v>보안</x:v>
      </x:c>
      <x:c r="J55" s="36" t="str">
        <x:v>P0</x:v>
      </x:c>
      <x:c r="K55" s="36" t="str">
        <x:v>전체</x:v>
      </x:c>
      <x:c r="L55" s="36" t="str">
        <x:v>부분</x:v>
      </x:c>
      <x:c r="M55" s="36" t="str">
        <x:v>미실시</x:v>
      </x:c>
      <x:c r="N55" s="36" t="str">
        <x:v>미정</x:v>
      </x:c>
      <x:c r="O55" s="36" t="str">
        <x:v>미정</x:v>
      </x:c>
      <x:c r="P55" s="36"/>
      <x:c r="Q55" s="36"/>
      <x:c r="R55" s="44" t="str">
        <x:v>2026-07-10</x:v>
      </x:c>
      <x:c r="S55" s="36"/>
      <x:c r="T55" s="54"/>
      <x:c r="U55" s="54"/>
      <x:c r="V55" s="53" t="str">
        <x:v>착수 전</x:v>
      </x:c>
    </x:row>
    <x:row r="56" ht="42" customHeight="1">
      <x:c r="A56" s="36" t="str">
        <x:v>TC-QAR-029-01</x:v>
      </x:c>
      <x:c r="B56" s="36" t="str">
        <x:v>QAR-029</x:v>
      </x:c>
      <x:c r="C56" s="36" t="str">
        <x:v>QA·릴리스·운영</x:v>
      </x:c>
      <x:c r="D56" s="36" t="str">
        <x:v>정상 시나리오: 플랫폼 인증·스토어 제출</x:v>
      </x:c>
      <x:c r="E56" s="36" t="str">
        <x:v>초대, 음성, 보호자 설정, 차단, 저장, 네트워크 끊김, 권리, 개인정보, 스토어 자료 요건을 충족한다.</x:v>
      </x:c>
      <x:c r="F56" s="36" t="str">
        <x:v>대상 기능이 포함된 출시 빌드, 필요한 테스트 계정·룸 설정·로그 접근 권한을 준비한다.</x:v>
      </x:c>
      <x:c r="G56" s="36" t="str">
        <x:v>1. 사전 조건 상태를 구성한다.
2. 표준 설정에서 다음 테스트 대상을 실행한다: 플랫폼 인증·스토어 제출.
3. UI, 서버 상태와 로그·텔레메트리를 확인한다.
4. 필요하면 재입장 또는 재실행하여 재현성을 확인한다.</x:v>
      </x:c>
      <x:c r="H56" s="36" t="str">
        <x:v>초대, 음성, 보호자 설정, 차단, 저장, 네트워크 끊김, 권리, 개인정보, 스토어 자료 요건을 충족한다.</x:v>
      </x:c>
      <x:c r="I56" s="36" t="str">
        <x:v>호환성</x:v>
      </x:c>
      <x:c r="J56" s="36" t="str">
        <x:v>P0</x:v>
      </x:c>
      <x:c r="K56" s="36" t="str">
        <x:v>전체</x:v>
      </x:c>
      <x:c r="L56" s="36" t="str">
        <x:v>부분</x:v>
      </x:c>
      <x:c r="M56" s="36" t="str">
        <x:v>미실시</x:v>
      </x:c>
      <x:c r="N56" s="36" t="str">
        <x:v>미정</x:v>
      </x:c>
      <x:c r="O56" s="36" t="str">
        <x:v>미정</x:v>
      </x:c>
      <x:c r="P56" s="36"/>
      <x:c r="Q56" s="36"/>
      <x:c r="R56" s="44" t="str">
        <x:v>2026-07-10</x:v>
      </x:c>
      <x:c r="S56" s="36"/>
      <x:c r="T56" s="54"/>
      <x:c r="U56" s="54"/>
      <x:c r="V56" s="53" t="str">
        <x:v>착수 전</x:v>
      </x:c>
    </x:row>
    <x:row r="57" ht="42" customHeight="1">
      <x:c r="A57" s="36" t="str">
        <x:v>TC-QAR-029-02</x:v>
      </x:c>
      <x:c r="B57" s="36" t="str">
        <x:v>QAR-029</x:v>
      </x:c>
      <x:c r="C57" s="36" t="str">
        <x:v>QA·릴리스·운영</x:v>
      </x:c>
      <x:c r="D57" s="36" t="str">
        <x:v>예외·경계 시나리오: 플랫폼 인증·스토어 제출</x:v>
      </x:c>
      <x:c r="E57" s="36" t="str">
        <x:v>허용되지 않은 상태, 잘못된 값, 중복, 만료, 권한 부족, 연결 끊김 입력으로 데이터 손상·정보 유출·클라이언트 상태 분기가 발생하지 않는지 확인한다.</x:v>
      </x:c>
      <x:c r="F57" s="36" t="str">
        <x:v>대상 기능이 포함된 출시 빌드와 디버그 입력, 네트워크 열화, 비정상 요청 재현 수단을 준비한다.</x:v>
      </x:c>
      <x:c r="G57" s="36" t="str">
        <x:v>1. 허용되지 않은 페이즈 또는 경계값 조건을 구성한다.
2. 플랫폼 인증·스토어 제출에 대해 중복·무효·지연·연결 끊김을 포함한 요청을 전송한다.
3. 서버 거부, 롤백, 오류 표시와 감사 로그를 확인한다.
4. 모든 클라이언트의 상태가 일치하는지 확인한다.</x:v>
      </x:c>
      <x:c r="H57" s="36" t="str">
        <x:v>요청은 사양에 따라 거부되거나 안전하게 복구되며, 중복 반영, 데이터 손실, 정보 유출 또는 진행 중단이 발생하지 않는다. 오류와 상관관계 ID가 기록된다.</x:v>
      </x:c>
      <x:c r="I57" s="36" t="str">
        <x:v>호환성</x:v>
      </x:c>
      <x:c r="J57" s="36" t="str">
        <x:v>P0</x:v>
      </x:c>
      <x:c r="K57" s="36" t="str">
        <x:v>전체</x:v>
      </x:c>
      <x:c r="L57" s="36" t="str">
        <x:v>부분</x:v>
      </x:c>
      <x:c r="M57" s="36" t="str">
        <x:v>미실시</x:v>
      </x:c>
      <x:c r="N57" s="36" t="str">
        <x:v>미정</x:v>
      </x:c>
      <x:c r="O57" s="36" t="str">
        <x:v>미정</x:v>
      </x:c>
      <x:c r="P57" s="36"/>
      <x:c r="Q57" s="36"/>
      <x:c r="R57" s="44" t="str">
        <x:v>2026-07-10</x:v>
      </x:c>
      <x:c r="S57" s="36"/>
      <x:c r="T57" s="54"/>
      <x:c r="U57" s="54"/>
      <x:c r="V57" s="53" t="str">
        <x:v>착수 전</x:v>
      </x:c>
    </x:row>
    <x:row r="58" ht="42" customHeight="1">
      <x:c r="A58" s="36" t="str">
        <x:v>TC-QAR-030-01</x:v>
      </x:c>
      <x:c r="B58" s="36" t="str">
        <x:v>QAR-030</x:v>
      </x:c>
      <x:c r="C58" s="36" t="str">
        <x:v>QA·릴리스·운영</x:v>
      </x:c>
      <x:c r="D58" s="36" t="str">
        <x:v>정상 시나리오: 장애·신고·제재·설정·롤백 운영 절차서</x:v>
      </x:c>
      <x:c r="E58" s="36" t="str">
        <x:v>당직, 연락망, 조사, 고객 공지, 임시 조치, 복구, 사후 검토 절차를 서비스별로 문서화하고 모의 훈련한다.</x:v>
      </x:c>
      <x:c r="F58" s="36" t="str">
        <x:v>대상 기능이 포함된 출시 빌드, 필요한 테스트 계정·룸 설정·로그 접근 권한을 준비한다.</x:v>
      </x:c>
      <x:c r="G58" s="36" t="str">
        <x:v>1. 사전 조건 상태를 구성한다.
2. 표준 설정에서 다음 테스트 대상을 실행한다: 장애·신고·제재·설정·롤백 운영 절차서.
3. UI, 서버 상태와 로그·텔레메트리를 확인한다.
4. 필요하면 재입장 또는 재실행하여 재현성을 확인한다.</x:v>
      </x:c>
      <x:c r="H58" s="36" t="str">
        <x:v>당직, 연락망, 조사, 고객 공지, 임시 조치, 복구, 사후 검토 절차를 서비스별로 문서화하고 모의 훈련한다.</x:v>
      </x:c>
      <x:c r="I58" s="36" t="str">
        <x:v>운영</x:v>
      </x:c>
      <x:c r="J58" s="36" t="str">
        <x:v>P0</x:v>
      </x:c>
      <x:c r="K58" s="36" t="str">
        <x:v>전체</x:v>
      </x:c>
      <x:c r="L58" s="36" t="str">
        <x:v>부분</x:v>
      </x:c>
      <x:c r="M58" s="36" t="str">
        <x:v>미실시</x:v>
      </x:c>
      <x:c r="N58" s="36" t="str">
        <x:v>미정</x:v>
      </x:c>
      <x:c r="O58" s="36" t="str">
        <x:v>미정</x:v>
      </x:c>
      <x:c r="P58" s="36"/>
      <x:c r="Q58" s="36"/>
      <x:c r="R58" s="44" t="str">
        <x:v>2026-07-10</x:v>
      </x:c>
      <x:c r="S58" s="36"/>
      <x:c r="T58" s="54"/>
      <x:c r="U58" s="54"/>
      <x:c r="V58" s="53" t="str">
        <x:v>착수 전</x:v>
      </x:c>
    </x:row>
    <x:row r="59" ht="42" customHeight="1">
      <x:c r="A59" s="36" t="str">
        <x:v>TC-QAR-030-02</x:v>
      </x:c>
      <x:c r="B59" s="36" t="str">
        <x:v>QAR-030</x:v>
      </x:c>
      <x:c r="C59" s="36" t="str">
        <x:v>QA·릴리스·운영</x:v>
      </x:c>
      <x:c r="D59" s="36" t="str">
        <x:v>예외·경계 시나리오: 장애·신고·제재·설정·롤백 운영 절차서</x:v>
      </x:c>
      <x:c r="E59" s="36" t="str">
        <x:v>허용되지 않은 상태, 잘못된 값, 중복, 만료, 권한 부족, 연결 끊김 입력으로 데이터 손상·정보 유출·클라이언트 상태 분기가 발생하지 않는지 확인한다.</x:v>
      </x:c>
      <x:c r="F59" s="36" t="str">
        <x:v>대상 기능이 포함된 출시 빌드와 디버그 입력, 네트워크 열화, 비정상 요청 재현 수단을 준비한다.</x:v>
      </x:c>
      <x:c r="G59" s="36" t="str">
        <x:v>1. 허용되지 않은 페이즈 또는 경계값 조건을 구성한다.
2. 장애·신고·제재·설정·롤백 운영 절차서에 대해 중복·무효·지연·연결 끊김을 포함한 요청을 전송한다.
3. 서버 거부, 롤백, 오류 표시와 감사 로그를 확인한다.
4. 모든 클라이언트의 상태가 일치하는지 확인한다.</x:v>
      </x:c>
      <x:c r="H59" s="36" t="str">
        <x:v>요청은 사양에 따라 거부되거나 안전하게 복구되며, 중복 반영, 데이터 손실, 정보 유출 또는 진행 중단이 발생하지 않는다. 오류와 상관관계 ID가 기록된다.</x:v>
      </x:c>
      <x:c r="I59" s="36" t="str">
        <x:v>운영</x:v>
      </x:c>
      <x:c r="J59" s="36" t="str">
        <x:v>P0</x:v>
      </x:c>
      <x:c r="K59" s="36" t="str">
        <x:v>전체</x:v>
      </x:c>
      <x:c r="L59" s="36" t="str">
        <x:v>부분</x:v>
      </x:c>
      <x:c r="M59" s="36" t="str">
        <x:v>미실시</x:v>
      </x:c>
      <x:c r="N59" s="36" t="str">
        <x:v>미정</x:v>
      </x:c>
      <x:c r="O59" s="36" t="str">
        <x:v>미정</x:v>
      </x:c>
      <x:c r="P59" s="36"/>
      <x:c r="Q59" s="36"/>
      <x:c r="R59" s="44" t="str">
        <x:v>2026-07-10</x:v>
      </x:c>
      <x:c r="S59" s="36"/>
      <x:c r="T59" s="54"/>
      <x:c r="U59" s="54"/>
      <x:c r="V59" s="53" t="str">
        <x:v>착수 전</x:v>
      </x:c>
    </x:row>
    <x:row r="60" ht="42" customHeight="1">
      <x:c r="A60" s="36" t="str">
        <x:v>TC-QAR-031-01</x:v>
      </x:c>
      <x:c r="B60" s="36" t="str">
        <x:v>QAR-031</x:v>
      </x:c>
      <x:c r="C60" s="36" t="str">
        <x:v>QA·릴리스·운영</x:v>
      </x:c>
      <x:c r="D60" s="36" t="str">
        <x:v>정상 시나리오: 클라이언트·서버·설정·콘텐츠 롤백</x:v>
      </x:c>
      <x:c r="E60" s="36" t="str">
        <x:v>호환 범위를 유지하면서 각 계층을 개별 복구할 수 있는 절차와 중단 조건을 정의하고 스테이징에서 복구 훈련을 완료한다.</x:v>
      </x:c>
      <x:c r="F60" s="36" t="str">
        <x:v>대상 기능이 포함된 릴리스 후보 빌드, 필요한 테스트 계정·룸 설정·로그 접근 권한을 준비한다.</x:v>
      </x:c>
      <x:c r="G60" s="36" t="str">
        <x:v>1. 사전 조건 상태를 구성한다.
2. 표준 설정에서 다음 테스트 대상을 실행한다: 클라이언트·서버·설정·콘텐츠 롤백.
3. UI, 서버 상태와 로그·텔레메트리를 확인한다.
4. 필요하면 재입장 또는 재실행하여 재현성을 확인한다.</x:v>
      </x:c>
      <x:c r="H60" s="36" t="str">
        <x:v>호환 범위를 유지하면서 각 계층을 개별 복구할 수 있는 절차와 중단 조건을 정의하고 스테이징에서 복구 훈련을 완료한다.</x:v>
      </x:c>
      <x:c r="I60" s="36" t="str">
        <x:v>운영</x:v>
      </x:c>
      <x:c r="J60" s="36" t="str">
        <x:v>P0</x:v>
      </x:c>
      <x:c r="K60" s="36" t="str">
        <x:v>전체</x:v>
      </x:c>
      <x:c r="L60" s="36" t="str">
        <x:v>부분</x:v>
      </x:c>
      <x:c r="M60" s="36" t="str">
        <x:v>미실시</x:v>
      </x:c>
      <x:c r="N60" s="36" t="str">
        <x:v>미정</x:v>
      </x:c>
      <x:c r="O60" s="36" t="str">
        <x:v>미정</x:v>
      </x:c>
      <x:c r="P60" s="36"/>
      <x:c r="Q60" s="36"/>
      <x:c r="R60" s="44" t="str">
        <x:v>2026-07-10</x:v>
      </x:c>
      <x:c r="S60" s="36"/>
      <x:c r="T60" s="54"/>
      <x:c r="U60" s="54"/>
      <x:c r="V60" s="53" t="str">
        <x:v>착수 전</x:v>
      </x:c>
    </x:row>
    <x:row r="61" ht="42" customHeight="1">
      <x:c r="A61" s="36" t="str">
        <x:v>TC-QAR-031-02</x:v>
      </x:c>
      <x:c r="B61" s="36" t="str">
        <x:v>QAR-031</x:v>
      </x:c>
      <x:c r="C61" s="36" t="str">
        <x:v>QA·릴리스·운영</x:v>
      </x:c>
      <x:c r="D61" s="36" t="str">
        <x:v>예외·경계 시나리오: 클라이언트·서버·설정·콘텐츠 롤백</x:v>
      </x:c>
      <x:c r="E61" s="36" t="str">
        <x:v>허용되지 않은 상태, 잘못된 값, 중복, 만료, 권한 부족, 연결 끊김 입력으로 데이터 손상·정보 유출·클라이언트 상태 분기가 발생하지 않는지 확인한다.</x:v>
      </x:c>
      <x:c r="F61" s="36" t="str">
        <x:v>대상 기능이 포함된 릴리스 후보 빌드와 디버그 입력, 네트워크 열화, 비정상 요청 재현 수단을 준비한다.</x:v>
      </x:c>
      <x:c r="G61" s="36" t="str">
        <x:v>1. 허용되지 않은 페이즈 또는 경계값 조건을 구성한다.
2. 클라이언트·서버·설정·콘텐츠 롤백에 대해 중복·무효·지연·연결 끊김을 포함한 요청을 전송한다.
3. 서버 거부, 롤백, 오류 표시와 감사 로그를 확인한다.
4. 모든 클라이언트의 상태가 일치하는지 확인한다.</x:v>
      </x:c>
      <x:c r="H61" s="36" t="str">
        <x:v>요청은 사양에 따라 거부되거나 안전하게 복구되며, 중복 반영, 데이터 손실, 정보 유출 또는 진행 중단이 발생하지 않는다. 오류와 상관관계 ID가 기록된다.</x:v>
      </x:c>
      <x:c r="I61" s="36" t="str">
        <x:v>운영</x:v>
      </x:c>
      <x:c r="J61" s="36" t="str">
        <x:v>P0</x:v>
      </x:c>
      <x:c r="K61" s="36" t="str">
        <x:v>전체</x:v>
      </x:c>
      <x:c r="L61" s="36" t="str">
        <x:v>부분</x:v>
      </x:c>
      <x:c r="M61" s="36" t="str">
        <x:v>미실시</x:v>
      </x:c>
      <x:c r="N61" s="36" t="str">
        <x:v>미정</x:v>
      </x:c>
      <x:c r="O61" s="36" t="str">
        <x:v>미정</x:v>
      </x:c>
      <x:c r="P61" s="36"/>
      <x:c r="Q61" s="36"/>
      <x:c r="R61" s="44" t="str">
        <x:v>2026-07-10</x:v>
      </x:c>
      <x:c r="S61" s="36"/>
      <x:c r="T61" s="54"/>
      <x:c r="U61" s="54"/>
      <x:c r="V61" s="53" t="str">
        <x:v>착수 전</x:v>
      </x:c>
    </x:row>
    <x:row r="62" ht="42" customHeight="1">
      <x:c r="A62" s="36" t="str">
        <x:v>TC-QAR-032-01</x:v>
      </x:c>
      <x:c r="B62" s="36" t="str">
        <x:v>QAR-032</x:v>
      </x:c>
      <x:c r="C62" s="36" t="str">
        <x:v>QA·릴리스·운영</x:v>
      </x:c>
      <x:c r="D62" s="36" t="str">
        <x:v>정상 시나리오: 출시 후보 빌드 동결·최종 회귀</x:v>
      </x:c>
      <x:c r="E62" s="36" t="str">
        <x:v>코드와 콘텐츠 동결 후 전체 P0 회귀, 플랫폼 인증, 성능, 보안, 스토어, 운영 절차서를 확인하고 승인자가 서명한다.</x:v>
      </x:c>
      <x:c r="F62" s="36" t="str">
        <x:v>대상 기능이 포함된 릴리스 후보 빌드, 필요한 테스트 계정·룸 설정·로그 접근 권한을 준비한다.</x:v>
      </x:c>
      <x:c r="G62" s="36" t="str">
        <x:v>1. 사전 조건 상태를 구성한다.
2. 표준 설정에서 다음 테스트 대상을 실행한다: 출시 후보 빌드 동결·최종 회귀.
3. UI, 서버 상태와 로그·텔레메트리를 확인한다.
4. 필요하면 재입장 또는 재실행하여 재현성을 확인한다.</x:v>
      </x:c>
      <x:c r="H62" s="36" t="str">
        <x:v>코드와 콘텐츠 동결 후 전체 P0 회귀, 플랫폼 인증, 성능, 보안, 스토어, 운영 절차서를 확인하고 승인자가 서명한다.</x:v>
      </x:c>
      <x:c r="I62" s="36" t="str">
        <x:v>운영</x:v>
      </x:c>
      <x:c r="J62" s="36" t="str">
        <x:v>P0</x:v>
      </x:c>
      <x:c r="K62" s="36" t="str">
        <x:v>전체</x:v>
      </x:c>
      <x:c r="L62" s="36" t="str">
        <x:v>부분</x:v>
      </x:c>
      <x:c r="M62" s="36" t="str">
        <x:v>미실시</x:v>
      </x:c>
      <x:c r="N62" s="36" t="str">
        <x:v>미정</x:v>
      </x:c>
      <x:c r="O62" s="36" t="str">
        <x:v>미정</x:v>
      </x:c>
      <x:c r="P62" s="36"/>
      <x:c r="Q62" s="36"/>
      <x:c r="R62" s="44" t="str">
        <x:v>2026-07-10</x:v>
      </x:c>
      <x:c r="S62" s="36"/>
      <x:c r="T62" s="54"/>
      <x:c r="U62" s="54"/>
      <x:c r="V62" s="53" t="str">
        <x:v>착수 전</x:v>
      </x:c>
    </x:row>
    <x:row r="63" ht="42" customHeight="1">
      <x:c r="A63" s="36" t="str">
        <x:v>TC-QAR-032-02</x:v>
      </x:c>
      <x:c r="B63" s="36" t="str">
        <x:v>QAR-032</x:v>
      </x:c>
      <x:c r="C63" s="36" t="str">
        <x:v>QA·릴리스·운영</x:v>
      </x:c>
      <x:c r="D63" s="36" t="str">
        <x:v>예외·경계 시나리오: 출시 후보 빌드 동결·최종 회귀</x:v>
      </x:c>
      <x:c r="E63" s="36" t="str">
        <x:v>허용되지 않은 상태, 잘못된 값, 중복, 만료, 권한 부족, 연결 끊김 입력으로 데이터 손상·정보 유출·클라이언트 상태 분기가 발생하지 않는지 확인한다.</x:v>
      </x:c>
      <x:c r="F63" s="36" t="str">
        <x:v>대상 기능이 포함된 릴리스 후보 빌드와 디버그 입력, 네트워크 열화, 비정상 요청 재현 수단을 준비한다.</x:v>
      </x:c>
      <x:c r="G63" s="36" t="str">
        <x:v>1. 허용되지 않은 페이즈 또는 경계값 조건을 구성한다.
2. 출시 후보 빌드 동결·최종 회귀에 대해 중복·무효·지연·연결 끊김을 포함한 요청을 전송한다.
3. 서버 거부, 롤백, 오류 표시와 감사 로그를 확인한다.
4. 모든 클라이언트의 상태가 일치하는지 확인한다.</x:v>
      </x:c>
      <x:c r="H63" s="36" t="str">
        <x:v>요청은 사양에 따라 거부되거나 안전하게 복구되며, 중복 반영, 데이터 손실, 정보 유출 또는 진행 중단이 발생하지 않는다. 오류와 상관관계 ID가 기록된다.</x:v>
      </x:c>
      <x:c r="I63" s="36" t="str">
        <x:v>운영</x:v>
      </x:c>
      <x:c r="J63" s="36" t="str">
        <x:v>P0</x:v>
      </x:c>
      <x:c r="K63" s="36" t="str">
        <x:v>전체</x:v>
      </x:c>
      <x:c r="L63" s="36" t="str">
        <x:v>부분</x:v>
      </x:c>
      <x:c r="M63" s="36" t="str">
        <x:v>미실시</x:v>
      </x:c>
      <x:c r="N63" s="36" t="str">
        <x:v>미정</x:v>
      </x:c>
      <x:c r="O63" s="36" t="str">
        <x:v>미정</x:v>
      </x:c>
      <x:c r="P63" s="36"/>
      <x:c r="Q63" s="36"/>
      <x:c r="R63" s="44" t="str">
        <x:v>2026-07-10</x:v>
      </x:c>
      <x:c r="S63" s="36"/>
      <x:c r="T63" s="54"/>
      <x:c r="U63" s="54"/>
      <x:c r="V63" s="53" t="str">
        <x:v>착수 전</x:v>
      </x:c>
    </x:row>
    <x:row r="64" ht="42" customHeight="1">
      <x:c r="A64" s="36" t="str">
        <x:v>TC-QAR-033-01</x:v>
      </x:c>
      <x:c r="B64" s="36" t="str">
        <x:v>QAR-033</x:v>
      </x:c>
      <x:c r="C64" s="36" t="str">
        <x:v>QA·릴리스·운영</x:v>
      </x:c>
      <x:c r="D64" s="36" t="str">
        <x:v>정상 시나리오: 비공개·공개 베타 계획</x:v>
      </x:c>
      <x:c r="E64" s="36" t="str">
        <x:v>대상 지역·인원, 배포, NDA, 피드백, 신고, 데이터 동의, 지원, 중단 기준, 종료 시 데이터 삭제를 정의한다.</x:v>
      </x:c>
      <x:c r="F64" s="36" t="str">
        <x:v>대상 기능이 포함된 베타 빌드, 필요한 테스트 계정·룸 설정·로그 접근 권한을 준비한다.</x:v>
      </x:c>
      <x:c r="G64" s="36" t="str">
        <x:v>1. 사전 조건 상태를 구성한다.
2. 표준 설정에서 다음 테스트 대상을 실행한다: 비공개·공개 베타 계획.
3. UI, 서버 상태와 로그·텔레메트리를 확인한다.
4. 필요하면 재입장 또는 재실행하여 재현성을 확인한다.</x:v>
      </x:c>
      <x:c r="H64" s="36" t="str">
        <x:v>대상 지역·인원, 배포, NDA, 피드백, 신고, 데이터 동의, 지원, 중단 기준, 종료 시 데이터 삭제를 정의한다.</x:v>
      </x:c>
      <x:c r="I64" s="36" t="str">
        <x:v>운영</x:v>
      </x:c>
      <x:c r="J64" s="36" t="str">
        <x:v>P1</x:v>
      </x:c>
      <x:c r="K64" s="36" t="str">
        <x:v>전체</x:v>
      </x:c>
      <x:c r="L64" s="36" t="str">
        <x:v>부분</x:v>
      </x:c>
      <x:c r="M64" s="36" t="str">
        <x:v>미실시</x:v>
      </x:c>
      <x:c r="N64" s="36" t="str">
        <x:v>미정</x:v>
      </x:c>
      <x:c r="O64" s="36" t="str">
        <x:v>미정</x:v>
      </x:c>
      <x:c r="P64" s="36"/>
      <x:c r="Q64" s="36"/>
      <x:c r="R64" s="44" t="str">
        <x:v>2026-07-10</x:v>
      </x:c>
      <x:c r="S64" s="36"/>
      <x:c r="T64" s="54"/>
      <x:c r="U64" s="54"/>
      <x:c r="V64" s="53" t="str">
        <x:v>착수 전</x:v>
      </x:c>
    </x:row>
    <x:row r="65" ht="42" customHeight="1">
      <x:c r="A65" s="36" t="str">
        <x:v>TC-QAR-034-01</x:v>
      </x:c>
      <x:c r="B65" s="36" t="str">
        <x:v>QAR-034</x:v>
      </x:c>
      <x:c r="C65" s="36" t="str">
        <x:v>QA·릴리스·운영</x:v>
      </x:c>
      <x:c r="D65" s="36" t="str">
        <x:v>정상 시나리오: 출시 모니터링 대시보드·상황실</x:v>
      </x:c>
      <x:c r="E65" s="36" t="str">
        <x:v>인증, 룸, 시작 성공률, 연결 종료, 크래시, SLO, 신고, 승률, 게임 시간을 실시간 모니터링하고 책임자와 판단 임계값을 정의한다.</x:v>
      </x:c>
      <x:c r="F65" s="36" t="str">
        <x:v>대상 기능이 포함된 출시 빌드, 필요한 테스트 계정·룸 설정·로그 접근 권한을 준비한다.</x:v>
      </x:c>
      <x:c r="G65" s="36" t="str">
        <x:v>1. 사전 조건 상태를 구성한다.
2. 표준 설정에서 다음 테스트 대상을 실행한다: 출시 모니터링 대시보드·상황실.
3. UI, 서버 상태와 로그·텔레메트리를 확인한다.
4. 필요하면 재입장 또는 재실행하여 재현성을 확인한다.</x:v>
      </x:c>
      <x:c r="H65" s="36" t="str">
        <x:v>인증, 룸, 시작 성공률, 연결 종료, 크래시, SLO, 신고, 승률, 게임 시간을 실시간 모니터링하고 책임자와 판단 임계값을 정의한다.</x:v>
      </x:c>
      <x:c r="I65" s="36" t="str">
        <x:v>운영</x:v>
      </x:c>
      <x:c r="J65" s="36" t="str">
        <x:v>P0</x:v>
      </x:c>
      <x:c r="K65" s="36" t="str">
        <x:v>전체</x:v>
      </x:c>
      <x:c r="L65" s="36" t="str">
        <x:v>부분</x:v>
      </x:c>
      <x:c r="M65" s="36" t="str">
        <x:v>미실시</x:v>
      </x:c>
      <x:c r="N65" s="36" t="str">
        <x:v>미정</x:v>
      </x:c>
      <x:c r="O65" s="36" t="str">
        <x:v>미정</x:v>
      </x:c>
      <x:c r="P65" s="36"/>
      <x:c r="Q65" s="36"/>
      <x:c r="R65" s="44" t="str">
        <x:v>2026-07-10</x:v>
      </x:c>
      <x:c r="S65" s="36"/>
      <x:c r="T65" s="54"/>
      <x:c r="U65" s="54"/>
      <x:c r="V65" s="53" t="str">
        <x:v>착수 전</x:v>
      </x:c>
    </x:row>
    <x:row r="66" ht="42" customHeight="1">
      <x:c r="A66" s="36" t="str">
        <x:v>TC-QAR-034-02</x:v>
      </x:c>
      <x:c r="B66" s="36" t="str">
        <x:v>QAR-034</x:v>
      </x:c>
      <x:c r="C66" s="36" t="str">
        <x:v>QA·릴리스·운영</x:v>
      </x:c>
      <x:c r="D66" s="36" t="str">
        <x:v>예외·경계 시나리오: 출시 모니터링 대시보드·상황실</x:v>
      </x:c>
      <x:c r="E66" s="36" t="str">
        <x:v>허용되지 않은 상태, 잘못된 값, 중복, 만료, 권한 부족, 연결 끊김 입력으로 데이터 손상·정보 유출·클라이언트 상태 분기가 발생하지 않는지 확인한다.</x:v>
      </x:c>
      <x:c r="F66" s="36" t="str">
        <x:v>대상 기능이 포함된 출시 빌드와 디버그 입력, 네트워크 열화, 비정상 요청 재현 수단을 준비한다.</x:v>
      </x:c>
      <x:c r="G66" s="36" t="str">
        <x:v>1. 허용되지 않은 페이즈 또는 경계값 조건을 구성한다.
2. 출시 모니터링 대시보드·상황실에 대해 중복·무효·지연·연결 끊김을 포함한 요청을 전송한다.
3. 서버 거부, 롤백, 오류 표시와 감사 로그를 확인한다.
4. 모든 클라이언트의 상태가 일치하는지 확인한다.</x:v>
      </x:c>
      <x:c r="H66" s="36" t="str">
        <x:v>요청은 사양에 따라 거부되거나 안전하게 복구되며, 중복 반영, 데이터 손실, 정보 유출 또는 진행 중단이 발생하지 않는다. 오류와 상관관계 ID가 기록된다.</x:v>
      </x:c>
      <x:c r="I66" s="36" t="str">
        <x:v>운영</x:v>
      </x:c>
      <x:c r="J66" s="36" t="str">
        <x:v>P0</x:v>
      </x:c>
      <x:c r="K66" s="36" t="str">
        <x:v>전체</x:v>
      </x:c>
      <x:c r="L66" s="36" t="str">
        <x:v>부분</x:v>
      </x:c>
      <x:c r="M66" s="36" t="str">
        <x:v>미실시</x:v>
      </x:c>
      <x:c r="N66" s="36" t="str">
        <x:v>미정</x:v>
      </x:c>
      <x:c r="O66" s="36" t="str">
        <x:v>미정</x:v>
      </x:c>
      <x:c r="P66" s="36"/>
      <x:c r="Q66" s="36"/>
      <x:c r="R66" s="44" t="str">
        <x:v>2026-07-10</x:v>
      </x:c>
      <x:c r="S66" s="36"/>
      <x:c r="T66" s="54"/>
      <x:c r="U66" s="54"/>
      <x:c r="V66" s="53" t="str">
        <x:v>착수 전</x:v>
      </x:c>
    </x:row>
    <x:row r="67" ht="42" customHeight="1">
      <x:c r="A67" s="36" t="str">
        <x:v>TC-QAR-035-01</x:v>
      </x:c>
      <x:c r="B67" s="36" t="str">
        <x:v>QAR-035</x:v>
      </x:c>
      <x:c r="C67" s="36" t="str">
        <x:v>QA·릴리스·운영</x:v>
      </x:c>
      <x:c r="D67" s="36" t="str">
        <x:v>정상 시나리오: 중대 장애 대응·사후 검토</x:v>
      </x:c>
      <x:c r="E67" s="36" t="str">
        <x:v>심각도, 지휘 체계, 기술 대응, 공지, 규제 보고, 증거 보존, 복구, 사후 검토, 재발 방지 절차를 모의 훈련한다.</x:v>
      </x:c>
      <x:c r="F67" s="36" t="str">
        <x:v>대상 기능이 포함된 출시 빌드, 필요한 테스트 계정·룸 설정·로그 접근 권한을 준비한다.</x:v>
      </x:c>
      <x:c r="G67" s="36" t="str">
        <x:v>1. 사전 조건 상태를 구성한다.
2. 표준 설정에서 다음 테스트 대상을 실행한다: 중대 장애 대응·사후 검토.
3. UI, 서버 상태와 로그·텔레메트리를 확인한다.
4. 필요하면 재입장 또는 재실행하여 재현성을 확인한다.</x:v>
      </x:c>
      <x:c r="H67" s="36" t="str">
        <x:v>심각도, 지휘 체계, 기술 대응, 공지, 규제 보고, 증거 보존, 복구, 사후 검토, 재발 방지 절차를 모의 훈련한다.</x:v>
      </x:c>
      <x:c r="I67" s="36" t="str">
        <x:v>운영</x:v>
      </x:c>
      <x:c r="J67" s="36" t="str">
        <x:v>P0</x:v>
      </x:c>
      <x:c r="K67" s="36" t="str">
        <x:v>전체</x:v>
      </x:c>
      <x:c r="L67" s="36" t="str">
        <x:v>부분</x:v>
      </x:c>
      <x:c r="M67" s="36" t="str">
        <x:v>미실시</x:v>
      </x:c>
      <x:c r="N67" s="36" t="str">
        <x:v>미정</x:v>
      </x:c>
      <x:c r="O67" s="36" t="str">
        <x:v>미정</x:v>
      </x:c>
      <x:c r="P67" s="36"/>
      <x:c r="Q67" s="36"/>
      <x:c r="R67" s="44" t="str">
        <x:v>2026-07-10</x:v>
      </x:c>
      <x:c r="S67" s="36"/>
      <x:c r="T67" s="54"/>
      <x:c r="U67" s="54"/>
      <x:c r="V67" s="53" t="str">
        <x:v>착수 전</x:v>
      </x:c>
    </x:row>
    <x:row r="68" ht="42" customHeight="1">
      <x:c r="A68" s="36" t="str">
        <x:v>TC-QAR-035-02</x:v>
      </x:c>
      <x:c r="B68" s="36" t="str">
        <x:v>QAR-035</x:v>
      </x:c>
      <x:c r="C68" s="36" t="str">
        <x:v>QA·릴리스·운영</x:v>
      </x:c>
      <x:c r="D68" s="36" t="str">
        <x:v>예외·경계 시나리오: 중대 장애 대응·사후 검토</x:v>
      </x:c>
      <x:c r="E68" s="36" t="str">
        <x:v>허용되지 않은 상태, 잘못된 값, 중복, 만료, 권한 부족, 연결 끊김 입력으로 데이터 손상·정보 유출·클라이언트 상태 분기가 발생하지 않는지 확인한다.</x:v>
      </x:c>
      <x:c r="F68" s="36" t="str">
        <x:v>대상 기능이 포함된 출시 빌드와 디버그 입력, 네트워크 열화, 비정상 요청 재현 수단을 준비한다.</x:v>
      </x:c>
      <x:c r="G68" s="36" t="str">
        <x:v>1. 허용되지 않은 페이즈 또는 경계값 조건을 구성한다.
2. 중대 장애 대응·사후 검토에 대해 중복·무효·지연·연결 끊김을 포함한 요청을 전송한다.
3. 서버 거부, 롤백, 오류 표시와 감사 로그를 확인한다.
4. 모든 클라이언트의 상태가 일치하는지 확인한다.</x:v>
      </x:c>
      <x:c r="H68" s="36" t="str">
        <x:v>요청은 사양에 따라 거부되거나 안전하게 복구되며, 중복 반영, 데이터 손실, 정보 유출 또는 진행 중단이 발생하지 않는다. 오류와 상관관계 ID가 기록된다.</x:v>
      </x:c>
      <x:c r="I68" s="36" t="str">
        <x:v>운영</x:v>
      </x:c>
      <x:c r="J68" s="36" t="str">
        <x:v>P0</x:v>
      </x:c>
      <x:c r="K68" s="36" t="str">
        <x:v>전체</x:v>
      </x:c>
      <x:c r="L68" s="36" t="str">
        <x:v>부분</x:v>
      </x:c>
      <x:c r="M68" s="36" t="str">
        <x:v>미실시</x:v>
      </x:c>
      <x:c r="N68" s="36" t="str">
        <x:v>미정</x:v>
      </x:c>
      <x:c r="O68" s="36" t="str">
        <x:v>미정</x:v>
      </x:c>
      <x:c r="P68" s="36"/>
      <x:c r="Q68" s="36"/>
      <x:c r="R68" s="44" t="str">
        <x:v>2026-07-10</x:v>
      </x:c>
      <x:c r="S68" s="36"/>
      <x:c r="T68" s="54"/>
      <x:c r="U68" s="54"/>
      <x:c r="V68" s="53" t="str">
        <x:v>착수 전</x:v>
      </x:c>
    </x:row>
    <x:row r="69" ht="42" customHeight="1">
      <x:c r="A69" s="36" t="str">
        <x:v>TC-QAR-036-01</x:v>
      </x:c>
      <x:c r="B69" s="36" t="str">
        <x:v>QAR-036</x:v>
      </x:c>
      <x:c r="C69" s="36" t="str">
        <x:v>QA·릴리스·운영</x:v>
      </x:c>
      <x:c r="D69" s="36" t="str">
        <x:v>정상 시나리오: 코드·콘텐츠·설정 동결·예외 승인</x:v>
      </x:c>
      <x:c r="E69" s="36" t="str">
        <x:v>출시 후보 이후 변경은 위험, 영향 범위, 시험, 롤백, 승인자를 필수로 기록하고 버전과 변경 요청 ID에 연결한다.</x:v>
      </x:c>
      <x:c r="F69" s="36" t="str">
        <x:v>대상 기능이 포함된 릴리스 후보 빌드, 필요한 테스트 계정·룸 설정·로그 접근 권한을 준비한다.</x:v>
      </x:c>
      <x:c r="G69" s="36" t="str">
        <x:v>1. 사전 조건 상태를 구성한다.
2. 표준 설정에서 다음 테스트 대상을 실행한다: 코드·콘텐츠·설정 동결·예외 승인.
3. UI, 서버 상태와 로그·텔레메트리를 확인한다.
4. 필요하면 재입장 또는 재실행하여 재현성을 확인한다.</x:v>
      </x:c>
      <x:c r="H69" s="36" t="str">
        <x:v>출시 후보 이후 변경은 위험, 영향 범위, 시험, 롤백, 승인자를 필수로 기록하고 버전과 변경 요청 ID에 연결한다.</x:v>
      </x:c>
      <x:c r="I69" s="36" t="str">
        <x:v>운영</x:v>
      </x:c>
      <x:c r="J69" s="36" t="str">
        <x:v>P0</x:v>
      </x:c>
      <x:c r="K69" s="36" t="str">
        <x:v>전체</x:v>
      </x:c>
      <x:c r="L69" s="36" t="str">
        <x:v>부분</x:v>
      </x:c>
      <x:c r="M69" s="36" t="str">
        <x:v>미실시</x:v>
      </x:c>
      <x:c r="N69" s="36" t="str">
        <x:v>미정</x:v>
      </x:c>
      <x:c r="O69" s="36" t="str">
        <x:v>미정</x:v>
      </x:c>
      <x:c r="P69" s="36"/>
      <x:c r="Q69" s="36"/>
      <x:c r="R69" s="44" t="str">
        <x:v>2026-07-10</x:v>
      </x:c>
      <x:c r="S69" s="36"/>
      <x:c r="T69" s="54"/>
      <x:c r="U69" s="54"/>
      <x:c r="V69" s="53" t="str">
        <x:v>착수 전</x:v>
      </x:c>
    </x:row>
    <x:row r="70" ht="42" customHeight="1">
      <x:c r="A70" s="36" t="str">
        <x:v>TC-QAR-036-02</x:v>
      </x:c>
      <x:c r="B70" s="36" t="str">
        <x:v>QAR-036</x:v>
      </x:c>
      <x:c r="C70" s="36" t="str">
        <x:v>QA·릴리스·운영</x:v>
      </x:c>
      <x:c r="D70" s="36" t="str">
        <x:v>예외·경계 시나리오: 코드·콘텐츠·설정 동결·예외 승인</x:v>
      </x:c>
      <x:c r="E70" s="36" t="str">
        <x:v>허용되지 않은 상태, 잘못된 값, 중복, 만료, 권한 부족, 연결 끊김 입력으로 데이터 손상·정보 유출·클라이언트 상태 분기가 발생하지 않는지 확인한다.</x:v>
      </x:c>
      <x:c r="F70" s="36" t="str">
        <x:v>대상 기능이 포함된 릴리스 후보 빌드와 디버그 입력, 네트워크 열화, 비정상 요청 재현 수단을 준비한다.</x:v>
      </x:c>
      <x:c r="G70" s="36" t="str">
        <x:v>1. 허용되지 않은 페이즈 또는 경계값 조건을 구성한다.
2. 코드·콘텐츠·설정 동결·예외 승인에 대해 중복·무효·지연·연결 끊김을 포함한 요청을 전송한다.
3. 서버 거부, 롤백, 오류 표시와 감사 로그를 확인한다.
4. 모든 클라이언트의 상태가 일치하는지 확인한다.</x:v>
      </x:c>
      <x:c r="H70" s="36" t="str">
        <x:v>요청은 사양에 따라 거부되거나 안전하게 복구되며, 중복 반영, 데이터 손실, 정보 유출 또는 진행 중단이 발생하지 않는다. 오류와 상관관계 ID가 기록된다.</x:v>
      </x:c>
      <x:c r="I70" s="36" t="str">
        <x:v>운영</x:v>
      </x:c>
      <x:c r="J70" s="36" t="str">
        <x:v>P0</x:v>
      </x:c>
      <x:c r="K70" s="36" t="str">
        <x:v>전체</x:v>
      </x:c>
      <x:c r="L70" s="36" t="str">
        <x:v>부분</x:v>
      </x:c>
      <x:c r="M70" s="36" t="str">
        <x:v>미실시</x:v>
      </x:c>
      <x:c r="N70" s="36" t="str">
        <x:v>미정</x:v>
      </x:c>
      <x:c r="O70" s="36" t="str">
        <x:v>미정</x:v>
      </x:c>
      <x:c r="P70" s="36"/>
      <x:c r="Q70" s="36"/>
      <x:c r="R70" s="44" t="str">
        <x:v>2026-07-10</x:v>
      </x:c>
      <x:c r="S70" s="36"/>
      <x:c r="T70" s="54"/>
      <x:c r="U70" s="54"/>
      <x:c r="V70" s="53" t="str">
        <x:v>착수 전</x:v>
      </x:c>
    </x:row>
    <x:row r="71" ht="42" customHeight="1">
      <x:c r="A71" s="36" t="str">
        <x:v>TC-QAR-037-01</x:v>
      </x:c>
      <x:c r="B71" s="36" t="str">
        <x:v>QAR-037</x:v>
      </x:c>
      <x:c r="C71" s="36" t="str">
        <x:v>QA·릴리스·운영</x:v>
      </x:c>
      <x:c r="D71" s="36" t="str">
        <x:v>정상 시나리오: 현지화 최종 언어·규정 확인</x:v>
      </x:c>
      <x:c r="E71" s="36" t="str">
        <x:v>스토어 문구, 법무 문구, 동의, 오류, 튜토리얼, 금칙어, 플랫폼 용어를 최종 버전에서 확인한다.</x:v>
      </x:c>
      <x:c r="F71" s="36" t="str">
        <x:v>대상 기능이 포함된 출시 빌드, 필요한 테스트 계정·룸 설정·로그 접근 권한을 준비한다.</x:v>
      </x:c>
      <x:c r="G71" s="36" t="str">
        <x:v>1. 사전 조건 상태를 구성한다.
2. 표준 설정에서 다음 테스트 대상을 실행한다: 현지화 최종 언어·규정 확인.
3. UI, 서버 상태와 로그·텔레메트리를 확인한다.
4. 필요하면 재입장 또는 재실행하여 재현성을 확인한다.</x:v>
      </x:c>
      <x:c r="H71" s="36" t="str">
        <x:v>스토어 문구, 법무 문구, 동의, 오류, 튜토리얼, 금칙어, 플랫폼 용어를 최종 버전에서 확인한다.</x:v>
      </x:c>
      <x:c r="I71" s="36" t="str">
        <x:v>현지화</x:v>
      </x:c>
      <x:c r="J71" s="36" t="str">
        <x:v>P1</x:v>
      </x:c>
      <x:c r="K71" s="36" t="str">
        <x:v>전체</x:v>
      </x:c>
      <x:c r="L71" s="36" t="str">
        <x:v>부분</x:v>
      </x:c>
      <x:c r="M71" s="36" t="str">
        <x:v>미실시</x:v>
      </x:c>
      <x:c r="N71" s="36" t="str">
        <x:v>미정</x:v>
      </x:c>
      <x:c r="O71" s="36" t="str">
        <x:v>미정</x:v>
      </x:c>
      <x:c r="P71" s="36"/>
      <x:c r="Q71" s="36"/>
      <x:c r="R71" s="44" t="str">
        <x:v>2026-07-10</x:v>
      </x:c>
      <x:c r="S71" s="36"/>
      <x:c r="T71" s="54"/>
      <x:c r="U71" s="54"/>
      <x:c r="V71" s="53" t="str">
        <x:v>착수 전</x:v>
      </x:c>
    </x:row>
    <x:row r="72" ht="42" customHeight="1">
      <x:c r="A72" s="36" t="str">
        <x:v>TC-QAR-038-01</x:v>
      </x:c>
      <x:c r="B72" s="36" t="str">
        <x:v>QAR-038</x:v>
      </x:c>
      <x:c r="C72" s="36" t="str">
        <x:v>QA·릴리스·운영</x:v>
      </x:c>
      <x:c r="D72" s="36" t="str">
        <x:v>정상 시나리오: 출시 최종 승인 기록</x:v>
      </x:c>
      <x:c r="E72" s="36" t="str">
        <x:v>제작, 제품, 엔지니어링, QA, 보안·개인정보, 운영, 플랫폼 부문의 승인과 미해결 예외를 하나의 기록에 남긴다.</x:v>
      </x:c>
      <x:c r="F72" s="36" t="str">
        <x:v>대상 기능이 포함된 출시 빌드, 필요한 테스트 계정·룸 설정·로그 접근 권한을 준비한다.</x:v>
      </x:c>
      <x:c r="G72" s="36" t="str">
        <x:v>1. 사전 조건 상태를 구성한다.
2. 표준 설정에서 다음 테스트 대상을 실행한다: 출시 최종 승인 기록.
3. UI, 서버 상태와 로그·텔레메트리를 확인한다.
4. 필요하면 재입장 또는 재실행하여 재현성을 확인한다.</x:v>
      </x:c>
      <x:c r="H72" s="36" t="str">
        <x:v>제작, 제품, 엔지니어링, QA, 보안·개인정보, 운영, 플랫폼 부문의 승인과 미해결 예외를 하나의 기록에 남긴다.</x:v>
      </x:c>
      <x:c r="I72" s="36" t="str">
        <x:v>운영</x:v>
      </x:c>
      <x:c r="J72" s="36" t="str">
        <x:v>P0</x:v>
      </x:c>
      <x:c r="K72" s="36" t="str">
        <x:v>전체</x:v>
      </x:c>
      <x:c r="L72" s="36" t="str">
        <x:v>부분</x:v>
      </x:c>
      <x:c r="M72" s="36" t="str">
        <x:v>미실시</x:v>
      </x:c>
      <x:c r="N72" s="36" t="str">
        <x:v>미정</x:v>
      </x:c>
      <x:c r="O72" s="36" t="str">
        <x:v>미정</x:v>
      </x:c>
      <x:c r="P72" s="36"/>
      <x:c r="Q72" s="36"/>
      <x:c r="R72" s="44" t="str">
        <x:v>2026-07-10</x:v>
      </x:c>
      <x:c r="S72" s="36"/>
      <x:c r="T72" s="54"/>
      <x:c r="U72" s="54"/>
      <x:c r="V72" s="53" t="str">
        <x:v>착수 전</x:v>
      </x:c>
    </x:row>
    <x:row r="73" ht="42" customHeight="1">
      <x:c r="A73" s="36" t="str">
        <x:v>TC-QAR-038-02</x:v>
      </x:c>
      <x:c r="B73" s="36" t="str">
        <x:v>QAR-038</x:v>
      </x:c>
      <x:c r="C73" s="36" t="str">
        <x:v>QA·릴리스·운영</x:v>
      </x:c>
      <x:c r="D73" s="36" t="str">
        <x:v>예외·경계 시나리오: 출시 최종 승인 기록</x:v>
      </x:c>
      <x:c r="E73" s="36" t="str">
        <x:v>허용되지 않은 상태, 잘못된 값, 중복, 만료, 권한 부족, 연결 끊김 입력으로 데이터 손상·정보 유출·클라이언트 상태 분기가 발생하지 않는지 확인한다.</x:v>
      </x:c>
      <x:c r="F73" s="36" t="str">
        <x:v>대상 기능이 포함된 출시 빌드와 디버그 입력, 네트워크 열화, 비정상 요청 재현 수단을 준비한다.</x:v>
      </x:c>
      <x:c r="G73" s="36" t="str">
        <x:v>1. 허용되지 않은 페이즈 또는 경계값 조건을 구성한다.
2. 출시 최종 승인 기록에 대해 중복·무효·지연·연결 끊김을 포함한 요청을 전송한다.
3. 서버 거부, 롤백, 오류 표시와 감사 로그를 확인한다.
4. 모든 클라이언트의 상태가 일치하는지 확인한다.</x:v>
      </x:c>
      <x:c r="H73" s="36" t="str">
        <x:v>요청은 사양에 따라 거부되거나 안전하게 복구되며, 중복 반영, 데이터 손실, 정보 유출 또는 진행 중단이 발생하지 않는다. 오류와 상관관계 ID가 기록된다.</x:v>
      </x:c>
      <x:c r="I73" s="36" t="str">
        <x:v>운영</x:v>
      </x:c>
      <x:c r="J73" s="36" t="str">
        <x:v>P0</x:v>
      </x:c>
      <x:c r="K73" s="36" t="str">
        <x:v>전체</x:v>
      </x:c>
      <x:c r="L73" s="36" t="str">
        <x:v>부분</x:v>
      </x:c>
      <x:c r="M73" s="36" t="str">
        <x:v>미실시</x:v>
      </x:c>
      <x:c r="N73" s="36" t="str">
        <x:v>미정</x:v>
      </x:c>
      <x:c r="O73" s="36" t="str">
        <x:v>미정</x:v>
      </x:c>
      <x:c r="P73" s="36"/>
      <x:c r="Q73" s="36"/>
      <x:c r="R73" s="44" t="str">
        <x:v>2026-07-10</x:v>
      </x:c>
      <x:c r="S73" s="36"/>
      <x:c r="T73" s="54"/>
      <x:c r="U73" s="54"/>
      <x:c r="V73" s="53" t="str">
        <x:v>착수 전</x:v>
      </x:c>
    </x:row>
  </x:sheetData>
  <x:conditionalFormatting sqref="M2:M73">
    <x:cfRule type="expression" dxfId="10" priority="1">
      <x:formula>M2="완료"</x:formula>
    </x:cfRule>
    <x:cfRule type="expression" dxfId="11" priority="2">
      <x:formula>M2="통과"</x:formula>
    </x:cfRule>
    <x:cfRule type="expression" dxfId="12" priority="3">
      <x:formula>M2="차단"</x:formula>
    </x:cfRule>
    <x:cfRule type="expression" dxfId="13" priority="4">
      <x:formula>M2="실패"</x:formula>
    </x:cfRule>
    <x:cfRule type="expression" dxfId="14" priority="5">
      <x:formula>M2="구현 중"</x:formula>
    </x:cfRule>
    <x:cfRule type="expression" dxfId="15" priority="6">
      <x:formula>M2="QA 진행 중"</x:formula>
    </x:cfRule>
  </x:conditionalFormatting>
  <x:conditionalFormatting sqref="J2:J73">
    <x:cfRule type="expression" dxfId="16" priority="7">
      <x:formula>J2="P0"</x:formula>
    </x:cfRule>
    <x:cfRule type="expression" dxfId="17" priority="8">
      <x:formula>J2="P1"</x:formula>
    </x:cfRule>
  </x:conditionalFormatting>
  <x:conditionalFormatting sqref="V2:V73">
    <x:cfRule type="expression" dxfId="33" priority="9">
      <x:formula>V2="착수 전"</x:formula>
    </x:cfRule>
    <x:cfRule type="expression" dxfId="34" priority="10">
      <x:formula>V2="작업 중"</x:formula>
    </x:cfRule>
    <x:cfRule type="expression" dxfId="35" priority="11">
      <x:formula>V2="완료"</x:formula>
    </x:cfRule>
  </x:conditionalFormatting>
  <x:dataValidations count="6">
    <x:dataValidation type="list" sqref="I2:I73">
      <x:formula1>"기능,통합,경계값,네트워크,보안,성능,호환성,사용성,접근성,현지화,밸런스,운영,안전,부하"</x:formula1>
    </x:dataValidation>
    <x:dataValidation type="list" sqref="J2:J73">
      <x:formula1>"P0,P1,P2,P3"</x:formula1>
    </x:dataValidation>
    <x:dataValidation type="list" sqref="L2:L73">
      <x:formula1>"예,아니요,부분"</x:formula1>
    </x:dataValidation>
    <x:dataValidation type="list" sqref="M2:M73">
      <x:formula1>"미실시,진행 중,통과,실패,차단,대상 제외"</x:formula1>
    </x:dataValidation>
    <x:dataValidation type="list" sqref="K2:K73">
      <x:formula1>"전체,PC,콘솔,모바일,서버,백엔드,도구,웹·관리자"</x:formula1>
    </x:dataValidation>
    <x:dataValidation type="list" sqref="V2:V73">
      <x:formula1>"착수 전,작업 중,완료"</x:formula1>
    </x:dataValidation>
  </x:dataValidations>
  <x:pageMargins left="0.7" right="0.7" top="0.75" bottom="0.75" header="0.3" footer="0.3"/>
  <x:tableParts count="1">
    <x:tablePart xmlns:r="http://schemas.openxmlformats.org/officeDocument/2006/relationships" r:id="R326d9c99162e486c"/>
  </x:tableParts>
</x:worksheet>
</file>

<file path=xl/worksheets/sheet8.xml><?xml version="1.0" encoding="utf-8"?>
<x:worksheet xmlns:x="http://schemas.openxmlformats.org/spreadsheetml/2006/main">
  <x:sheetFormatPr defaultRowHeight="15"/>
  <x:cols>
    <x:col min="1" max="1" width="13" hidden="0" customWidth="1"/>
    <x:col min="2" max="2" width="24" hidden="0" customWidth="1"/>
    <x:col min="3" max="3" width="18" hidden="0" customWidth="1"/>
    <x:col min="4" max="4" width="48" hidden="0" customWidth="1"/>
    <x:col min="5" max="5" width="36" hidden="0" customWidth="1"/>
    <x:col min="6" max="6" width="36" hidden="0" customWidth="1"/>
    <x:col min="7" max="7" width="12" hidden="0" customWidth="1"/>
    <x:col min="8" max="8" width="12" hidden="0" customWidth="1"/>
    <x:col min="9" max="9" width="10" hidden="0" customWidth="1"/>
    <x:col min="10" max="10" width="20" hidden="0" customWidth="1"/>
    <x:col min="11" max="11" width="48" hidden="0" customWidth="1"/>
    <x:col min="12" max="12" width="48" hidden="0" customWidth="1"/>
    <x:col min="13" max="13" width="14" hidden="0" customWidth="1"/>
    <x:col min="14" max="14" width="24" hidden="0" customWidth="1"/>
    <x:col min="15" max="15" width="13" hidden="0" customWidth="1"/>
    <x:col min="16" max="16" width="28" hidden="0" customWidth="1"/>
  </x:cols>
  <x:sheetData>
    <x:row r="1" ht="30" customHeight="1">
      <x:c r="A1" s="40" t="str">
        <x:v>위험 ID</x:v>
      </x:c>
      <x:c r="B1" s="40" t="str">
        <x:v>부문</x:v>
      </x:c>
      <x:c r="C1" s="40" t="str">
        <x:v>분류</x:v>
      </x:c>
      <x:c r="D1" s="40" t="str">
        <x:v>위험 내용</x:v>
      </x:c>
      <x:c r="E1" s="40" t="str">
        <x:v>발생 조건</x:v>
      </x:c>
      <x:c r="F1" s="40" t="str">
        <x:v>영향</x:v>
      </x:c>
      <x:c r="G1" s="40" t="str">
        <x:v>발생 확률</x:v>
      </x:c>
      <x:c r="H1" s="40" t="str">
        <x:v>영향도</x:v>
      </x:c>
      <x:c r="I1" s="40" t="str">
        <x:v>점수</x:v>
      </x:c>
      <x:c r="J1" s="40" t="str">
        <x:v>담당자</x:v>
      </x:c>
      <x:c r="K1" s="40" t="str">
        <x:v>예방 조치</x:v>
      </x:c>
      <x:c r="L1" s="40" t="str">
        <x:v>비상 대책</x:v>
      </x:c>
      <x:c r="M1" s="40" t="str">
        <x:v>상태</x:v>
      </x:c>
      <x:c r="N1" s="40" t="str">
        <x:v>관련 ID</x:v>
      </x:c>
      <x:c r="O1" s="40" t="str">
        <x:v>검토일</x:v>
      </x:c>
      <x:c r="P1" s="40" t="str">
        <x:v>비고</x:v>
      </x:c>
    </x:row>
    <x:row r="2" ht="42" customHeight="1">
      <x:c r="A2" s="36" t="str">
        <x:v>R-QAR-01</x:v>
      </x:c>
      <x:c r="B2" s="36" t="str">
        <x:v>QA·릴리스·운영</x:v>
      </x:c>
      <x:c r="C2" s="36" t="str">
        <x:v>일정</x:v>
      </x:c>
      <x:c r="D2" s="36" t="str">
        <x:v>네트워크, 음성, 플랫폼 인증 시험이 후반으로 밀릴 수 있다.</x:v>
      </x:c>
      <x:c r="E2" s="36" t="str">
        <x:v>시험 환경과 실제 기기 부족</x:v>
      </x:c>
      <x:c r="F2" s="36" t="str">
        <x:v>출시 후보 일정 지연</x:v>
      </x:c>
      <x:c r="G2" s="36" t="str">
        <x:v>높음</x:v>
      </x:c>
      <x:c r="H2" s="36" t="str">
        <x:v>높음</x:v>
      </x:c>
      <x:c r="I2" s="36" t="n">
        <x:f>IF(G2="높음",3,IF(G2="중간",2,1))*IF(H2="높음",3,IF(H2="중간",2,1))</x:f>
        <x:v>9</x:v>
      </x:c>
      <x:c r="J2" s="36" t="str">
        <x:v>QA 디렉터</x:v>
      </x:c>
      <x:c r="K2" s="36" t="str">
        <x:v>알파부터 조합 시험을 실행하고 필요한 장비를 확보한다.</x:v>
      </x:c>
      <x:c r="L2" s="36" t="str">
        <x:v>출시 범위와 우선순위를 재조정한다.</x:v>
      </x:c>
      <x:c r="M2" s="36" t="str">
        <x:v>미대응</x:v>
      </x:c>
      <x:c r="N2" s="36" t="str">
        <x:v>QAR-007,QAR-012,QAR-015</x:v>
      </x:c>
      <x:c r="O2" s="44" t="str">
        <x:v>미정</x:v>
      </x:c>
      <x:c r="P2" s="36"/>
    </x:row>
    <x:row r="3" ht="42" customHeight="1">
      <x:c r="A3" s="36" t="str">
        <x:v>R-QAR-02</x:v>
      </x:c>
      <x:c r="B3" s="36" t="str">
        <x:v>QA·릴리스·운영</x:v>
      </x:c>
      <x:c r="C3" s="36" t="str">
        <x:v>품질</x:v>
      </x:c>
      <x:c r="D3" s="36" t="str">
        <x:v>P0 결함이 예외 승인으로 출시까지 남을 수 있다.</x:v>
      </x:c>
      <x:c r="E3" s="36" t="str">
        <x:v>게이트 책임과 승인 기준 불명확</x:v>
      </x:c>
      <x:c r="F3" s="36" t="str">
        <x:v>출시 장애</x:v>
      </x:c>
      <x:c r="G3" s="36" t="str">
        <x:v>중간</x:v>
      </x:c>
      <x:c r="H3" s="36" t="str">
        <x:v>높음</x:v>
      </x:c>
      <x:c r="I3" s="36" t="n">
        <x:f>IF(G3="높음",3,IF(G3="중간",2,1))*IF(H3="높음",3,IF(H3="중간",2,1))</x:f>
        <x:v>6</x:v>
      </x:c>
      <x:c r="J3" s="36" t="str">
        <x:v>총괄 프로듀서</x:v>
      </x:c>
      <x:c r="K3" s="36" t="str">
        <x:v>예외 승인자, 기한, 롤백 계획을 필수화한다.</x:v>
      </x:c>
      <x:c r="L3" s="36" t="str">
        <x:v>출시를 연기한다.</x:v>
      </x:c>
      <x:c r="M3" s="36" t="str">
        <x:v>미대응</x:v>
      </x:c>
      <x:c r="N3" s="36" t="str">
        <x:v>QAR-023,QAR-032,QAR-038</x:v>
      </x:c>
      <x:c r="O3" s="44" t="str">
        <x:v>미정</x:v>
      </x:c>
      <x:c r="P3" s="36"/>
    </x:row>
    <x:row r="4" ht="42" customHeight="1">
      <x:c r="A4" s="36" t="str">
        <x:v>R-QAR-03</x:v>
      </x:c>
      <x:c r="B4" s="36" t="str">
        <x:v>QA·릴리스·운영</x:v>
      </x:c>
      <x:c r="C4" s="36" t="str">
        <x:v>관측성</x:v>
      </x:c>
      <x:c r="D4" s="36" t="str">
        <x:v>장애 발생 시 매치 ID와 상관관계 ID로 추적하지 못할 수 있다.</x:v>
      </x:c>
      <x:c r="E4" s="36" t="str">
        <x:v>로그와 버전 표시 부족</x:v>
      </x:c>
      <x:c r="F4" s="36" t="str">
        <x:v>복구 지연</x:v>
      </x:c>
      <x:c r="G4" s="36" t="str">
        <x:v>중간</x:v>
      </x:c>
      <x:c r="H4" s="36" t="str">
        <x:v>높음</x:v>
      </x:c>
      <x:c r="I4" s="36" t="n">
        <x:f>IF(G4="높음",3,IF(G4="중간",2,1))*IF(H4="높음",3,IF(H4="중간",2,1))</x:f>
        <x:v>6</x:v>
      </x:c>
      <x:c r="J4" s="36" t="str">
        <x:v>릴리스 관리자</x:v>
      </x:c>
      <x:c r="K4" s="36" t="str">
        <x:v>버전, ID, 로그를 출시 게이트로 관리한다.</x:v>
      </x:c>
      <x:c r="L4" s="36" t="str">
        <x:v>진단 빌드와 임시 모니터링을 추가한다.</x:v>
      </x:c>
      <x:c r="M4" s="36" t="str">
        <x:v>미대응</x:v>
      </x:c>
      <x:c r="N4" s="36" t="str">
        <x:v>QAR-025,BED-018,BED-023</x:v>
      </x:c>
      <x:c r="O4" s="44" t="str">
        <x:v>미정</x:v>
      </x:c>
      <x:c r="P4" s="36"/>
    </x:row>
    <x:row r="5" ht="42" customHeight="1">
      <x:c r="A5" s="36" t="str">
        <x:v>R-QAR-04</x:v>
      </x:c>
      <x:c r="B5" s="36" t="str">
        <x:v>QA·릴리스·운영</x:v>
      </x:c>
      <x:c r="C5" s="36" t="str">
        <x:v>밸런스</x:v>
      </x:c>
      <x:c r="D5" s="36" t="str">
        <x:v>표본 부족으로 승률과 게임 시간을 잘못 판단할 수 있다.</x:v>
      </x:c>
      <x:c r="E5" s="36" t="str">
        <x:v>플레이테스트 설계 부족</x:v>
      </x:c>
      <x:c r="F5" s="36" t="str">
        <x:v>제품 평가 하락</x:v>
      </x:c>
      <x:c r="G5" s="36" t="str">
        <x:v>중간</x:v>
      </x:c>
      <x:c r="H5" s="36" t="str">
        <x:v>중간</x:v>
      </x:c>
      <x:c r="I5" s="36" t="n">
        <x:f>IF(G5="높음",3,IF(G5="중간",2,1))*IF(H5="높음",3,IF(H5="중간",2,1))</x:f>
        <x:v>4</x:v>
      </x:c>
      <x:c r="J5" s="36" t="str">
        <x:v>게임 디렉터</x:v>
      </x:c>
      <x:c r="K5" s="36" t="str">
        <x:v>가설과 필요 표본 수를 사전에 정의한다.</x:v>
      </x:c>
      <x:c r="L5" s="36" t="str">
        <x:v>단계 배포와 원격 조정을 사용한다.</x:v>
      </x:c>
      <x:c r="M5" s="36" t="str">
        <x:v>미대응</x:v>
      </x:c>
      <x:c r="N5" s="36" t="str">
        <x:v>QAR-017,QAR-033</x:v>
      </x:c>
      <x:c r="O5" s="44" t="str">
        <x:v>미정</x:v>
      </x:c>
      <x:c r="P5" s="36"/>
    </x:row>
  </x:sheetData>
  <x:conditionalFormatting sqref="M2:M5">
    <x:cfRule type="expression" dxfId="18" priority="1">
      <x:formula>M2="완료"</x:formula>
    </x:cfRule>
    <x:cfRule type="expression" dxfId="19" priority="2">
      <x:formula>M2="통과"</x:formula>
    </x:cfRule>
    <x:cfRule type="expression" dxfId="20" priority="3">
      <x:formula>M2="차단"</x:formula>
    </x:cfRule>
    <x:cfRule type="expression" dxfId="21" priority="4">
      <x:formula>M2="실패"</x:formula>
    </x:cfRule>
    <x:cfRule type="expression" dxfId="22" priority="5">
      <x:formula>M2="구현 중"</x:formula>
    </x:cfRule>
    <x:cfRule type="expression" dxfId="23" priority="6">
      <x:formula>M2="QA 진행 중"</x:formula>
    </x:cfRule>
  </x:conditionalFormatting>
  <x:conditionalFormatting sqref="I2:I5">
    <x:cfRule type="colorScale" priority="7">
      <x:colorScale>
        <x:cfvo type="min"/>
        <x:cfvo type="percentile" val="50"/>
        <x:cfvo type="max"/>
        <x:color rgb="FFE2F0D9"/>
        <x:color rgb="FFFFF2CC"/>
        <x:color rgb="FFF4CCCC"/>
      </x:colorScale>
    </x:cfRule>
  </x:conditionalFormatting>
  <x:dataValidations count="3">
    <x:dataValidation type="list" sqref="G2:G5">
      <x:formula1>"높음,중간,낮음"</x:formula1>
    </x:dataValidation>
    <x:dataValidation type="list" sqref="H2:H5">
      <x:formula1>"높음,중간,낮음"</x:formula1>
    </x:dataValidation>
    <x:dataValidation type="list" sqref="M2:M5">
      <x:formula1>"미대응,대응 중,모니터링 중,수용,해결,종료"</x:formula1>
    </x:dataValidation>
  </x:dataValidations>
  <x:pageMargins left="0.7" right="0.7" top="0.75" bottom="0.75" header="0.3" footer="0.3"/>
  <x:tableParts count="1">
    <x:tablePart xmlns:r="http://schemas.openxmlformats.org/officeDocument/2006/relationships" r:id="Rca6ccd5db4014db4"/>
  </x:tableParts>
</x:worksheet>
</file>

<file path=xl/worksheets/sheet9.xml><?xml version="1.0" encoding="utf-8"?>
<x:worksheet xmlns:x="http://schemas.openxmlformats.org/spreadsheetml/2006/main">
  <x:sheetFormatPr defaultRowHeight="15"/>
  <x:cols>
    <x:col min="1" max="1" width="15" hidden="0" customWidth="1"/>
    <x:col min="2" max="2" width="24" hidden="0" customWidth="1"/>
    <x:col min="3" max="3" width="24" hidden="0" customWidth="1"/>
    <x:col min="4" max="4" width="48" hidden="0" customWidth="1"/>
    <x:col min="5" max="5" width="54" hidden="0" customWidth="1"/>
    <x:col min="6" max="6" width="42" hidden="0" customWidth="1"/>
    <x:col min="7" max="7" width="42" hidden="0" customWidth="1"/>
    <x:col min="8" max="8" width="14" hidden="0" customWidth="1"/>
    <x:col min="9" max="9" width="20" hidden="0" customWidth="1"/>
    <x:col min="10" max="10" width="13" hidden="0" customWidth="1"/>
    <x:col min="11" max="11" width="24" hidden="0" customWidth="1"/>
    <x:col min="12" max="12" width="48" hidden="0" customWidth="1"/>
    <x:col min="13" max="13" width="13" hidden="0" customWidth="1"/>
  </x:cols>
  <x:sheetData>
    <x:row r="1" ht="30" customHeight="1">
      <x:c r="A1" s="40" t="str">
        <x:v>의사결정 ID</x:v>
      </x:c>
      <x:c r="B1" s="40" t="str">
        <x:v>부문</x:v>
      </x:c>
      <x:c r="C1" s="40" t="str">
        <x:v>논점</x:v>
      </x:c>
      <x:c r="D1" s="40" t="str">
        <x:v>결정 질문</x:v>
      </x:c>
      <x:c r="E1" s="40" t="str">
        <x:v>선택지</x:v>
      </x:c>
      <x:c r="F1" s="40" t="str">
        <x:v>권고안</x:v>
      </x:c>
      <x:c r="G1" s="40" t="str">
        <x:v>최종 결정</x:v>
      </x:c>
      <x:c r="H1" s="40" t="str">
        <x:v>상태</x:v>
      </x:c>
      <x:c r="I1" s="40" t="str">
        <x:v>결정권자</x:v>
      </x:c>
      <x:c r="J1" s="40" t="str">
        <x:v>기한</x:v>
      </x:c>
      <x:c r="K1" s="40" t="str">
        <x:v>관련 ID</x:v>
      </x:c>
      <x:c r="L1" s="40" t="str">
        <x:v>판단 근거·증빙</x:v>
      </x:c>
      <x:c r="M1" s="40" t="str">
        <x:v>최종 갱신일</x:v>
      </x:c>
    </x:row>
    <x:row r="2" ht="42" customHeight="1">
      <x:c r="A2" s="36" t="str">
        <x:v>D-QAR-01</x:v>
      </x:c>
      <x:c r="B2" s="36" t="str">
        <x:v>QA·릴리스·운영</x:v>
      </x:c>
      <x:c r="C2" s="36" t="str">
        <x:v>품질 수치 목표</x:v>
      </x:c>
      <x:c r="D2" s="36" t="str">
        <x:v>크래시 프리 비율과 서비스 SLO를 어떤 수치로 설정할 것인가?</x:v>
      </x:c>
      <x:c r="E2" s="36" t="str">
        <x:v>A: 사내 공통 기준 / B: 플랫폼별 기준</x:v>
      </x:c>
      <x:c r="F2" s="36" t="str">
        <x:v>출시 후보 시작 전에 최소 목표와 출시 중단 임계값을 승인한다.</x:v>
      </x:c>
      <x:c r="G2" s="36" t="str">
        <x:v>미정</x:v>
      </x:c>
      <x:c r="H2" s="36" t="str">
        <x:v>미정</x:v>
      </x:c>
      <x:c r="I2" s="36" t="str">
        <x:v>총괄 프로듀서</x:v>
      </x:c>
      <x:c r="J2" s="44" t="str">
        <x:v>2026-08-14</x:v>
      </x:c>
      <x:c r="K2" s="36" t="str">
        <x:v>QAR-026,QAR-027</x:v>
      </x:c>
      <x:c r="L2" s="36" t="str">
        <x:v>측정 가능한 출시 게이트로 운영한다.</x:v>
      </x:c>
      <x:c r="M2" s="44" t="str">
        <x:v>2026-07-10</x:v>
      </x:c>
    </x:row>
    <x:row r="3" ht="42" customHeight="1">
      <x:c r="A3" s="36" t="str">
        <x:v>D-QAR-02</x:v>
      </x:c>
      <x:c r="B3" s="36" t="str">
        <x:v>QA·릴리스·운영</x:v>
      </x:c>
      <x:c r="C3" s="36" t="str">
        <x:v>외부 베타 범위</x:v>
      </x:c>
      <x:c r="D3" s="36" t="str">
        <x:v>외부 시험의 규모와 지역을 어떻게 운영할 것인가?</x:v>
      </x:c>
      <x:c r="E3" s="36" t="str">
        <x:v>A: 비공개 베타 / B: 공개 베타</x:v>
      </x:c>
      <x:c r="F3" s="36" t="str">
        <x:v>비공개 베타부터 시작하고 안정화 후 확대한다.</x:v>
      </x:c>
      <x:c r="G3" s="36" t="str">
        <x:v>미정</x:v>
      </x:c>
      <x:c r="H3" s="36" t="str">
        <x:v>미정</x:v>
      </x:c>
      <x:c r="I3" s="36" t="str">
        <x:v>퍼블리싱 리드</x:v>
      </x:c>
      <x:c r="J3" s="44" t="str">
        <x:v>2026-08-28</x:v>
      </x:c>
      <x:c r="K3" s="36" t="str">
        <x:v>QAR-033</x:v>
      </x:c>
      <x:c r="L3" s="36" t="str">
        <x:v>음성, 신고, 고객 지원 부하를 단계적으로 검증한다.</x:v>
      </x:c>
      <x:c r="M3" s="44" t="str">
        <x:v>2026-07-10</x:v>
      </x:c>
    </x:row>
  </x:sheetData>
  <x:conditionalFormatting sqref="H2:H3">
    <x:cfRule type="expression" dxfId="24" priority="1">
      <x:formula>H2="완료"</x:formula>
    </x:cfRule>
    <x:cfRule type="expression" dxfId="25" priority="2">
      <x:formula>H2="통과"</x:formula>
    </x:cfRule>
    <x:cfRule type="expression" dxfId="26" priority="3">
      <x:formula>H2="차단"</x:formula>
    </x:cfRule>
    <x:cfRule type="expression" dxfId="27" priority="4">
      <x:formula>H2="실패"</x:formula>
    </x:cfRule>
    <x:cfRule type="expression" dxfId="28" priority="5">
      <x:formula>H2="구현 중"</x:formula>
    </x:cfRule>
    <x:cfRule type="expression" dxfId="29" priority="6">
      <x:formula>H2="QA 진행 중"</x:formula>
    </x:cfRule>
  </x:conditionalFormatting>
  <x:dataValidations count="1">
    <x:dataValidation type="list" sqref="H2:H3">
      <x:formula1>"미정,검토 중,승인,기각,보류"</x:formula1>
    </x:dataValidation>
  </x:dataValidations>
  <x:pageMargins left="0.7" right="0.7" top="0.75" bottom="0.75" header="0.3" footer="0.3"/>
  <x:tableParts count="1">
    <x:tablePart xmlns:r="http://schemas.openxmlformats.org/officeDocument/2006/relationships" r:id="R2e80cc74ec834ac9"/>
  </x:tableParts>
</x:worksheet>
</file>

<file path=xl/worksheets/sheet10.xml><?xml version="1.0" encoding="utf-8"?>
<x:worksheet xmlns:x="http://schemas.openxmlformats.org/spreadsheetml/2006/main">
  <x:sheetFormatPr defaultRowHeight="15"/>
  <x:cols>
    <x:col min="1" max="1" width="23" hidden="0" customWidth="1"/>
    <x:col min="2" max="2" width="23" hidden="0" customWidth="1"/>
    <x:col min="3" max="3" width="23" hidden="0" customWidth="1"/>
    <x:col min="4" max="4" width="23" hidden="0" customWidth="1"/>
    <x:col min="5" max="5" width="23" hidden="0" customWidth="1"/>
    <x:col min="6" max="6" width="23" hidden="0" customWidth="1"/>
    <x:col min="7" max="7" width="23" hidden="0" customWidth="1"/>
    <x:col min="8" max="8" width="23" hidden="0" customWidth="1"/>
    <x:col min="9" max="9" width="23" hidden="0" customWidth="1"/>
    <x:col min="10" max="10" width="23" hidden="0" customWidth="1"/>
    <x:col min="11" max="11" width="23" hidden="0" customWidth="1"/>
    <x:col min="12" max="12" width="23" hidden="0" customWidth="1"/>
    <x:col min="13" max="13" width="23" hidden="0" customWidth="1"/>
  </x:cols>
  <x:sheetData>
    <x:row r="1">
      <x:c r="A1" s="33" t="str">
        <x:v>상태</x:v>
      </x:c>
      <x:c r="B1" s="33" t="str">
        <x:v>우선순위</x:v>
      </x:c>
      <x:c r="C1" s="33" t="str">
        <x:v>범위</x:v>
      </x:c>
      <x:c r="D1" s="33" t="str">
        <x:v>게이트</x:v>
      </x:c>
      <x:c r="E1" s="33" t="str">
        <x:v>위험도</x:v>
      </x:c>
      <x:c r="F1" s="33" t="str">
        <x:v>예상 규모</x:v>
      </x:c>
      <x:c r="G1" s="33" t="str">
        <x:v>QA 유형</x:v>
      </x:c>
      <x:c r="H1" s="33" t="str">
        <x:v>플랫폼</x:v>
      </x:c>
      <x:c r="I1" s="33" t="str">
        <x:v>권한 주체</x:v>
      </x:c>
      <x:c r="J1" s="33" t="str">
        <x:v>저장 범위</x:v>
      </x:c>
      <x:c r="K1" s="33" t="str">
        <x:v>QA 상태</x:v>
      </x:c>
      <x:c r="L1" s="33" t="str">
        <x:v>의사결정 상태</x:v>
      </x:c>
      <x:c r="M1" s="33" t="str">
        <x:v>위험 상태</x:v>
      </x:c>
    </x:row>
    <x:row r="2">
      <x:c r="A2" t="str">
        <x:v>미착수</x:v>
      </x:c>
      <x:c r="B2" t="str">
        <x:v>P0</x:v>
      </x:c>
      <x:c r="C2" t="str">
        <x:v>MVP</x:v>
      </x:c>
      <x:c r="D2" t="str">
        <x:v>필수</x:v>
      </x:c>
      <x:c r="E2" t="str">
        <x:v>높음</x:v>
      </x:c>
      <x:c r="F2" t="str">
        <x:v>XS</x:v>
      </x:c>
      <x:c r="G2" t="str">
        <x:v>기능</x:v>
      </x:c>
      <x:c r="H2" t="str">
        <x:v>전체</x:v>
      </x:c>
      <x:c r="I2" t="str">
        <x:v>서버 권한</x:v>
      </x:c>
      <x:c r="J2" t="str">
        <x:v>없음</x:v>
      </x:c>
      <x:c r="K2" t="str">
        <x:v>미실시</x:v>
      </x:c>
      <x:c r="L2" t="str">
        <x:v>미정</x:v>
      </x:c>
      <x:c r="M2" t="str">
        <x:v>미대응</x:v>
      </x:c>
    </x:row>
    <x:row r="3">
      <x:c r="A3" t="str">
        <x:v>사양 확인 중</x:v>
      </x:c>
      <x:c r="B3" t="str">
        <x:v>P1</x:v>
      </x:c>
      <x:c r="C3" t="str">
        <x:v>알파</x:v>
      </x:c>
      <x:c r="D3" t="str">
        <x:v>조건부</x:v>
      </x:c>
      <x:c r="E3" t="str">
        <x:v>중간</x:v>
      </x:c>
      <x:c r="F3" t="str">
        <x:v>S</x:v>
      </x:c>
      <x:c r="G3" t="str">
        <x:v>통합</x:v>
      </x:c>
      <x:c r="H3" t="str">
        <x:v>PC</x:v>
      </x:c>
      <x:c r="I3" t="str">
        <x:v>클라이언트 예측·서버 검증</x:v>
      </x:c>
      <x:c r="J3" t="str">
        <x:v>세션</x:v>
      </x:c>
      <x:c r="K3" t="str">
        <x:v>진행 중</x:v>
      </x:c>
      <x:c r="L3" t="str">
        <x:v>검토 중</x:v>
      </x:c>
      <x:c r="M3" t="str">
        <x:v>대응 중</x:v>
      </x:c>
    </x:row>
    <x:row r="4">
      <x:c r="A4" t="str">
        <x:v>구현 중</x:v>
      </x:c>
      <x:c r="B4" t="str">
        <x:v>P2</x:v>
      </x:c>
      <x:c r="C4" t="str">
        <x:v>베타</x:v>
      </x:c>
      <x:c r="D4" t="str">
        <x:v>권장</x:v>
      </x:c>
      <x:c r="E4" t="str">
        <x:v>낮음</x:v>
      </x:c>
      <x:c r="F4" t="str">
        <x:v>M</x:v>
      </x:c>
      <x:c r="G4" t="str">
        <x:v>경계값</x:v>
      </x:c>
      <x:c r="H4" t="str">
        <x:v>콘솔</x:v>
      </x:c>
      <x:c r="I4" t="str">
        <x:v>클라이언트 로컬</x:v>
      </x:c>
      <x:c r="J4" t="str">
        <x:v>매치</x:v>
      </x:c>
      <x:c r="K4" t="str">
        <x:v>통과</x:v>
      </x:c>
      <x:c r="L4" t="str">
        <x:v>승인됨</x:v>
      </x:c>
      <x:c r="M4" t="str">
        <x:v>모니터링</x:v>
      </x:c>
    </x:row>
    <x:row r="5">
      <x:c r="A5" t="str">
        <x:v>코드 리뷰</x:v>
      </x:c>
      <x:c r="B5" t="str">
        <x:v>P3</x:v>
      </x:c>
      <x:c r="C5" t="str">
        <x:v>릴리스 후보</x:v>
      </x:c>
      <x:c r="D5" t="str">
        <x:v>대상 제외</x:v>
      </x:c>
      <x:c r="E5"/>
      <x:c r="F5" t="str">
        <x:v>L</x:v>
      </x:c>
      <x:c r="G5" t="str">
        <x:v>네트워크</x:v>
      </x:c>
      <x:c r="H5" t="str">
        <x:v>모바일</x:v>
      </x:c>
      <x:c r="I5" t="str">
        <x:v>백엔드 권한</x:v>
      </x:c>
      <x:c r="J5" t="str">
        <x:v>계정</x:v>
      </x:c>
      <x:c r="K5" t="str">
        <x:v>실패</x:v>
      </x:c>
      <x:c r="L5" t="str">
        <x:v>반려</x:v>
      </x:c>
      <x:c r="M5" t="str">
        <x:v>수용</x:v>
      </x:c>
    </x:row>
    <x:row r="6">
      <x:c r="A6" t="str">
        <x:v>QA 진행 중</x:v>
      </x:c>
      <x:c r="B6"/>
      <x:c r="C6" t="str">
        <x:v>출시</x:v>
      </x:c>
      <x:c r="D6"/>
      <x:c r="E6"/>
      <x:c r="F6" t="str">
        <x:v>XL</x:v>
      </x:c>
      <x:c r="G6" t="str">
        <x:v>보안</x:v>
      </x:c>
      <x:c r="H6" t="str">
        <x:v>서버</x:v>
      </x:c>
      <x:c r="I6" t="str">
        <x:v>호스트 권한</x:v>
      </x:c>
      <x:c r="J6" t="str">
        <x:v>단말 로컬</x:v>
      </x:c>
      <x:c r="K6" t="str">
        <x:v>차단</x:v>
      </x:c>
      <x:c r="L6" t="str">
        <x:v>보류</x:v>
      </x:c>
      <x:c r="M6" t="str">
        <x:v>해소</x:v>
      </x:c>
    </x:row>
    <x:row r="7">
      <x:c r="A7" t="str">
        <x:v>차단</x:v>
      </x:c>
      <x:c r="B7"/>
      <x:c r="C7" t="str">
        <x:v>출시 후</x:v>
      </x:c>
      <x:c r="D7"/>
      <x:c r="E7"/>
      <x:c r="F7" t="str">
        <x:v>분할 필요</x:v>
      </x:c>
      <x:c r="G7" t="str">
        <x:v>성능</x:v>
      </x:c>
      <x:c r="H7" t="str">
        <x:v>백엔드</x:v>
      </x:c>
      <x:c r="I7" t="str">
        <x:v>콘텐츠 데이터</x:v>
      </x:c>
      <x:c r="J7" t="str">
        <x:v>백엔드</x:v>
      </x:c>
      <x:c r="K7" t="str">
        <x:v>대상 제외</x:v>
      </x:c>
      <x:c r="L7"/>
      <x:c r="M7" t="str">
        <x:v>종료</x:v>
      </x:c>
    </x:row>
    <x:row r="8">
      <x:c r="A8" t="str">
        <x:v>완료</x:v>
      </x:c>
      <x:c r="B8"/>
      <x:c r="C8" t="str">
        <x:v>대상 제외</x:v>
      </x:c>
      <x:c r="D8"/>
      <x:c r="E8"/>
      <x:c r="F8"/>
      <x:c r="G8" t="str">
        <x:v>호환성</x:v>
      </x:c>
      <x:c r="H8" t="str">
        <x:v>도구</x:v>
      </x:c>
      <x:c r="I8" t="str">
        <x:v>해당 없음</x:v>
      </x:c>
      <x:c r="J8" t="str">
        <x:v>감사 로그</x:v>
      </x:c>
      <x:c r="K8"/>
      <x:c r="L8"/>
      <x:c r="M8"/>
    </x:row>
    <x:row r="9">
      <x:c r="A9" t="str">
        <x:v>보류</x:v>
      </x:c>
      <x:c r="B9"/>
      <x:c r="C9"/>
      <x:c r="D9"/>
      <x:c r="E9"/>
      <x:c r="F9"/>
      <x:c r="G9" t="str">
        <x:v>사용성</x:v>
      </x:c>
      <x:c r="H9" t="str">
        <x:v>웹·관리자</x:v>
      </x:c>
      <x:c r="I9"/>
      <x:c r="J9"/>
      <x:c r="K9"/>
      <x:c r="L9"/>
      <x:c r="M9"/>
    </x:row>
    <x:row r="10">
      <x:c r="A10"/>
      <x:c r="B10"/>
      <x:c r="C10"/>
      <x:c r="D10"/>
      <x:c r="E10"/>
      <x:c r="F10"/>
      <x:c r="G10" t="str">
        <x:v>접근성</x:v>
      </x:c>
      <x:c r="H10"/>
      <x:c r="I10"/>
      <x:c r="J10"/>
      <x:c r="K10"/>
      <x:c r="L10"/>
      <x:c r="M10"/>
    </x:row>
    <x:row r="11">
      <x:c r="A11"/>
      <x:c r="B11"/>
      <x:c r="C11"/>
      <x:c r="D11"/>
      <x:c r="E11"/>
      <x:c r="F11"/>
      <x:c r="G11" t="str">
        <x:v>현지화</x:v>
      </x:c>
      <x:c r="H11"/>
      <x:c r="I11"/>
      <x:c r="J11"/>
      <x:c r="K11"/>
      <x:c r="L11"/>
      <x:c r="M11"/>
    </x:row>
    <x:row r="12">
      <x:c r="A12"/>
      <x:c r="B12"/>
      <x:c r="C12"/>
      <x:c r="D12"/>
      <x:c r="E12"/>
      <x:c r="F12"/>
      <x:c r="G12" t="str">
        <x:v>밸런스</x:v>
      </x:c>
      <x:c r="H12"/>
      <x:c r="I12"/>
      <x:c r="J12"/>
      <x:c r="K12"/>
      <x:c r="L12"/>
      <x:c r="M12"/>
    </x:row>
    <x:row r="13">
      <x:c r="A13"/>
      <x:c r="B13"/>
      <x:c r="C13"/>
      <x:c r="D13"/>
      <x:c r="E13"/>
      <x:c r="F13"/>
      <x:c r="G13" t="str">
        <x:v>운영</x:v>
      </x:c>
      <x:c r="H13"/>
      <x:c r="I13"/>
      <x:c r="J13"/>
      <x:c r="K13"/>
      <x:c r="L13"/>
      <x:c r="M13"/>
    </x:row>
  </x:sheetData>
  <x:pageMargins left="0.7" right="0.7" top="0.75" bottom="0.75" header="0.3" footer="0.3"/>
</x:worksheet>
</file>