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9a325955f64412e" /></Relationships>
</file>

<file path=xl/workbook.xml><?xml version="1.0" encoding="utf-8"?>
<x:workbook xmlns:x="http://schemas.openxmlformats.org/spreadsheetml/2006/main">
  <x:sheets>
    <x:sheet xmlns:r="http://schemas.openxmlformats.org/officeDocument/2006/relationships" name="00_개요" sheetId="1" r:id="R13cf8b5cdf8445ed"/>
    <x:sheet xmlns:r="http://schemas.openxmlformats.org/officeDocument/2006/relationships" name="01_백로그" sheetId="2" r:id="R3031fb30b22b4cc3"/>
    <x:sheet xmlns:r="http://schemas.openxmlformats.org/officeDocument/2006/relationships" name="02_데이터_모델" sheetId="3" r:id="Rb44a6d9cf662490b"/>
    <x:sheet xmlns:r="http://schemas.openxmlformats.org/officeDocument/2006/relationships" name="03_API_카탈로그" sheetId="4" r:id="R750f5d0861ca4338"/>
    <x:sheet xmlns:r="http://schemas.openxmlformats.org/officeDocument/2006/relationships" name="04_보존_정책" sheetId="5" r:id="R442f5359320148ac"/>
    <x:sheet xmlns:r="http://schemas.openxmlformats.org/officeDocument/2006/relationships" name="80_QA_케이스" sheetId="6" r:id="Rc0c8fbaafe08481e"/>
    <x:sheet xmlns:r="http://schemas.openxmlformats.org/officeDocument/2006/relationships" name="90_리스크" sheetId="7" r:id="R23d38db1e4f34f1b"/>
    <x:sheet xmlns:r="http://schemas.openxmlformats.org/officeDocument/2006/relationships" name="91_의사결정" sheetId="8" r:id="R22f83a3a76a34a31"/>
    <x:sheet xmlns:r="http://schemas.openxmlformats.org/officeDocument/2006/relationships" name="99_목록" sheetId="9" r:id="R894a1df6edbc4a9e"/>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yyyy-mm-dd"/>
  </x:numFmts>
  <x:fonts count="4">
    <x:font>
      <x:sz val="11"/>
      <x:name val="Carlito"/>
    </x:font>
    <x:font>
      <x:b/>
      <x:sz val="16"/>
      <x:color rgb="FFFFFFFF"/>
      <x:name val="Carlito"/>
    </x:font>
    <x:font>
      <x:i/>
      <x:sz val="11"/>
      <x:color rgb="FF1F1F1F"/>
      <x:name val="Carlito"/>
    </x:font>
    <x:font>
      <x:b/>
      <x:sz val="11"/>
      <x:color rgb="FFFFFFFF"/>
      <x:name val="Carlito"/>
    </x:font>
  </x:fonts>
  <x:fills count="5">
    <x:fill>
      <x:patternFill patternType="none"/>
    </x:fill>
    <x:fill>
      <x:patternFill patternType="gray125"/>
    </x:fill>
    <x:fill>
      <x:patternFill patternType="solid">
        <x:fgColor rgb="FFA5A5A5"/>
      </x:patternFill>
    </x:fill>
    <x:fill>
      <x:patternFill patternType="solid">
        <x:fgColor rgb="FFD9EAF7"/>
      </x:patternFill>
    </x:fill>
    <x:fill>
      <x:patternFill patternType="solid">
        <x:fgColor rgb="FF17365D"/>
      </x:patternFill>
    </x:fill>
  </x:fills>
  <x:borders count="2">
    <x:border/>
    <x:border/>
  </x:borders>
  <x:cellStyleXfs count="1">
    <x:xf numFmtId="0" fontId="0" fillId="0" borderId="0"/>
  </x:cellStyleXfs>
  <x:cellXfs count="5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horizontal="center"/>
    </x:xf>
    <x:xf numFmtId="200" fontId="0" fillId="0" borderId="0" xfId="0" applyNumberFormat="1" applyFont="1" applyFill="1" applyBorder="1"/>
    <x:xf numFmtId="200" fontId="0" fillId="0" borderId="1" xfId="0" applyNumberFormat="1" applyFont="1" applyFill="1" applyBorder="1"/>
    <x:xf numFmtId="0" fontId="3" fillId="4" borderId="0" xfId="0" applyNumberFormat="1" applyFont="1" applyFill="1" applyBorder="1" applyAlignment="1">
      <x:alignment horizontal="center" wrapText="1"/>
    </x:xf>
    <x:xf numFmtId="0" fontId="0" fillId="0" borderId="0" xfId="0" applyNumberFormat="1" applyFont="1" applyFill="1" applyBorder="1" applyAlignment="1">
      <x:alignment wrapText="1"/>
    </x:xf>
    <x:xf numFmtId="200" fontId="0" fillId="0" borderId="0"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0" fillId="0" borderId="1" xfId="0" applyNumberFormat="1" applyFont="1" applyFill="1" applyBorder="1" applyAlignment="1">
      <x:alignment wrapText="1"/>
    </x:xf>
    <x:xf numFmtId="200" fontId="0" fillId="0" borderId="1" xfId="0" applyNumberFormat="1" applyFont="1" applyFill="1" applyBorder="1" applyAlignment="1">
      <x:alignment wrapText="1"/>
    </x:xf>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1" xfId="0" applyNumberFormat="1" applyFont="1" applyFill="1" applyBorder="1"/>
    <x:xf numFmtId="0" fontId="3" fillId="2" borderId="1" xfId="0" applyNumberFormat="1" applyFont="1" applyFill="1" applyBorder="1" applyAlignment="1">
      <x:alignment horizontal="center"/>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3" fillId="2" borderId="1"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201" fontId="0" fillId="0" borderId="0" xfId="0" applyNumberFormat="1" applyFont="1" applyFill="1" applyBorder="1" applyAlignment="1">
      <x:alignment vertical="top" wrapText="1"/>
    </x:xf>
    <x:xf numFmtId="201"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0" fillId="0" borderId="0" xfId="0" applyNumberFormat="1" applyFont="1" applyFill="1" applyBorder="1"/>
    <x:xf numFmtId="0" fontId="3" fillId="2" borderId="0" xfId="0" applyNumberFormat="1" applyFont="1" applyFill="1" applyBorder="1" applyAlignment="1">
      <x:alignment horizontal="center" vertical="top" wrapText="1"/>
    </x:xf>
    <x:xf numFmtId="201" fontId="0" fillId="0" borderId="0" xfId="0" applyNumberFormat="1" applyFont="1" applyFill="1" applyBorder="1"/>
    <x:xf numFmtId="0" fontId="0" fillId="0" borderId="0" xfId="0" applyNumberFormat="1" applyFont="1" applyFill="1" applyBorder="1" applyAlignment="1">
      <x:alignment horizontal="center"/>
    </x:xf>
    <x:xf numFmtId="201" fontId="0" fillId="0" borderId="0" xfId="0" applyNumberFormat="1" applyFont="1" applyFill="1" applyBorder="1" applyAlignment="1">
      <x:alignment horizontal="center"/>
    </x:xf>
    <x:xf numFmtId="0" fontId="0" fillId="0" borderId="0" xfId="0" applyNumberFormat="1" applyFont="1" applyFill="1" applyBorder="1" applyAlignment="1">
      <x:alignment horizontal="center" vertical="center"/>
    </x:xf>
    <x:xf numFmtId="201" fontId="0" fillId="0" borderId="0" xfId="0" applyNumberFormat="1" applyFont="1" applyFill="1" applyBorder="1" applyAlignment="1">
      <x:alignment horizontal="center" vertical="center"/>
    </x:xf>
  </x:cellXfs>
  <x:cellStyles count="1">
    <x:cellStyle name="Normal" xfId="0"/>
  </x:cellStyles>
  <x:dxfs count="36">
    <x:dxf>
      <x:font>
        <x:b/>
        <x:color rgb="FF375623"/>
      </x:font>
      <x:fill>
        <x:patternFill>
          <x:bgColor rgb="FFE2F0D9"/>
        </x:patternFill>
      </x:fill>
    </x:dxf>
    <x:dxf>
      <x:font>
        <x:b/>
        <x:color rgb="FF375623"/>
      </x:font>
      <x:fill>
        <x:patternFill>
          <x:bgColor rgb="FFE2F0D9"/>
        </x:patternFill>
      </x:fill>
    </x:dxf>
    <x:dxf>
      <x:font>
        <x:b/>
        <x:color rgb="FF990000"/>
      </x:font>
      <x:fill>
        <x:patternFill>
          <x:bgColor rgb="FFF4CCCC"/>
        </x:patternFill>
      </x:fill>
    </x:dxf>
    <x:dxf>
      <x:font>
        <x:b/>
        <x:color rgb="FF990000"/>
      </x:font>
      <x:fill>
        <x:patternFill>
          <x:bgColor rgb="FFF4CCCC"/>
        </x:patternFill>
      </x:fill>
    </x:dxf>
    <x:dxf>
      <x:fill>
        <x:patternFill>
          <x:bgColor rgb="FFFFF2CC"/>
        </x:patternFill>
      </x:fill>
    </x:dxf>
    <x:dxf>
      <x:fill>
        <x:patternFill>
          <x:bgColor rgb="FFD9EAF7"/>
        </x:patternFill>
      </x:fill>
    </x:dxf>
    <x:dxf>
      <x:font>
        <x:b/>
        <x:color rgb="FF9C0006"/>
      </x:font>
      <x:fill>
        <x:patternFill>
          <x:bgColor rgb="FFFCE4D6"/>
        </x:patternFill>
      </x:fill>
    </x:dxf>
    <x:dxf>
      <x:fill>
        <x:patternFill>
          <x:bgColor rgb="FFFFF2CC"/>
        </x:patternFill>
      </x:fill>
    </x:dxf>
    <x:dxf>
      <x:font>
        <x:b/>
        <x:color rgb="FF990000"/>
      </x:font>
      <x:fill>
        <x:patternFill>
          <x:bgColor rgb="FFF4CCCC"/>
        </x:patternFill>
      </x:fill>
    </x:dxf>
    <x:dxf>
      <x:fill>
        <x:patternFill>
          <x:bgColor rgb="FFFFF2CC"/>
        </x:patternFill>
      </x:fill>
    </x:dxf>
    <x:dxf>
      <x:font>
        <x:b/>
        <x:color rgb="FF375623"/>
      </x:font>
      <x:fill>
        <x:patternFill>
          <x:bgColor rgb="FFE2F0D9"/>
        </x:patternFill>
      </x:fill>
    </x:dxf>
    <x:dxf>
      <x:font>
        <x:b/>
        <x:color rgb="FF375623"/>
      </x:font>
      <x:fill>
        <x:patternFill>
          <x:bgColor rgb="FFE2F0D9"/>
        </x:patternFill>
      </x:fill>
    </x:dxf>
    <x:dxf>
      <x:font>
        <x:b/>
        <x:color rgb="FF990000"/>
      </x:font>
      <x:fill>
        <x:patternFill>
          <x:bgColor rgb="FFF4CCCC"/>
        </x:patternFill>
      </x:fill>
    </x:dxf>
    <x:dxf>
      <x:font>
        <x:b/>
        <x:color rgb="FF990000"/>
      </x:font>
      <x:fill>
        <x:patternFill>
          <x:bgColor rgb="FFF4CCCC"/>
        </x:patternFill>
      </x:fill>
    </x:dxf>
    <x:dxf>
      <x:fill>
        <x:patternFill>
          <x:bgColor rgb="FFFFF2CC"/>
        </x:patternFill>
      </x:fill>
    </x:dxf>
    <x:dxf>
      <x:fill>
        <x:patternFill>
          <x:bgColor rgb="FFD9EAF7"/>
        </x:patternFill>
      </x:fill>
    </x:dxf>
    <x:dxf>
      <x:font>
        <x:b/>
        <x:color rgb="FF9C0006"/>
      </x:font>
      <x:fill>
        <x:patternFill>
          <x:bgColor rgb="FFFCE4D6"/>
        </x:patternFill>
      </x:fill>
    </x:dxf>
    <x:dxf>
      <x:fill>
        <x:patternFill>
          <x:bgColor rgb="FFFFF2CC"/>
        </x:patternFill>
      </x:fill>
    </x:dxf>
    <x:dxf>
      <x:font>
        <x:b/>
        <x:color rgb="FF375623"/>
      </x:font>
      <x:fill>
        <x:patternFill>
          <x:bgColor rgb="FFE2F0D9"/>
        </x:patternFill>
      </x:fill>
    </x:dxf>
    <x:dxf>
      <x:font>
        <x:b/>
        <x:color rgb="FF375623"/>
      </x:font>
      <x:fill>
        <x:patternFill>
          <x:bgColor rgb="FFE2F0D9"/>
        </x:patternFill>
      </x:fill>
    </x:dxf>
    <x:dxf>
      <x:font>
        <x:b/>
        <x:color rgb="FF990000"/>
      </x:font>
      <x:fill>
        <x:patternFill>
          <x:bgColor rgb="FFF4CCCC"/>
        </x:patternFill>
      </x:fill>
    </x:dxf>
    <x:dxf>
      <x:font>
        <x:b/>
        <x:color rgb="FF990000"/>
      </x:font>
      <x:fill>
        <x:patternFill>
          <x:bgColor rgb="FFF4CCCC"/>
        </x:patternFill>
      </x:fill>
    </x:dxf>
    <x:dxf>
      <x:fill>
        <x:patternFill>
          <x:bgColor rgb="FFFFF2CC"/>
        </x:patternFill>
      </x:fill>
    </x:dxf>
    <x:dxf>
      <x:fill>
        <x:patternFill>
          <x:bgColor rgb="FFD9EAF7"/>
        </x:patternFill>
      </x:fill>
    </x:dxf>
    <x:dxf>
      <x:font>
        <x:b/>
        <x:color rgb="FF375623"/>
      </x:font>
      <x:fill>
        <x:patternFill>
          <x:bgColor rgb="FFE2F0D9"/>
        </x:patternFill>
      </x:fill>
    </x:dxf>
    <x:dxf>
      <x:font>
        <x:b/>
        <x:color rgb="FF375623"/>
      </x:font>
      <x:fill>
        <x:patternFill>
          <x:bgColor rgb="FFE2F0D9"/>
        </x:patternFill>
      </x:fill>
    </x:dxf>
    <x:dxf>
      <x:font>
        <x:b/>
        <x:color rgb="FF990000"/>
      </x:font>
      <x:fill>
        <x:patternFill>
          <x:bgColor rgb="FFF4CCCC"/>
        </x:patternFill>
      </x:fill>
    </x:dxf>
    <x:dxf>
      <x:font>
        <x:b/>
        <x:color rgb="FF990000"/>
      </x:font>
      <x:fill>
        <x:patternFill>
          <x:bgColor rgb="FFF4CCCC"/>
        </x:patternFill>
      </x:fill>
    </x:dxf>
    <x:dxf>
      <x:fill>
        <x:patternFill>
          <x:bgColor rgb="FFFFF2CC"/>
        </x:patternFill>
      </x:fill>
    </x:dxf>
    <x:dxf>
      <x:fill>
        <x:patternFill>
          <x:bgColor rgb="FFD9EAF7"/>
        </x:patternFill>
      </x:fill>
    </x:dxf>
    <x:dxf>
      <x:font>
        <x:color rgb="FF374151"/>
      </x:font>
      <x:fill>
        <x:patternFill patternType="solid">
          <x:bgColor rgb="FFE5E7EB"/>
        </x:patternFill>
      </x:fill>
    </x:dxf>
    <x:dxf>
      <x:font>
        <x:color rgb="FF92400E"/>
      </x:font>
      <x:fill>
        <x:patternFill patternType="solid">
          <x:bgColor rgb="FFFEF3C7"/>
        </x:patternFill>
      </x:fill>
    </x:dxf>
    <x:dxf>
      <x:font>
        <x:color rgb="FF166534"/>
      </x:font>
      <x:fill>
        <x:patternFill patternType="solid">
          <x:bgColor rgb="FFDCFCE7"/>
        </x:patternFill>
      </x:fill>
    </x:dxf>
    <x:dxf>
      <x:font>
        <x:color rgb="FF374151"/>
      </x:font>
      <x:fill>
        <x:patternFill patternType="solid">
          <x:bgColor rgb="FFE5E7EB"/>
        </x:patternFill>
      </x:fill>
    </x:dxf>
    <x:dxf>
      <x:font>
        <x:color rgb="FF92400E"/>
      </x:font>
      <x:fill>
        <x:patternFill patternType="solid">
          <x:bgColor rgb="FFFEF3C7"/>
        </x:patternFill>
      </x:fill>
    </x:dxf>
    <x:dxf>
      <x:font>
        <x:color rgb="FF166534"/>
      </x:font>
      <x:fill>
        <x:patternFill patternType="solid">
          <x:bgColor rgb="FFDCFC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0c82c481c1f4915" /><Relationship Type="http://schemas.openxmlformats.org/officeDocument/2006/relationships/theme" Target="/xl/theme/theme1.xml" Id="R7a37afe49e2144af" /><Relationship Type="http://schemas.openxmlformats.org/officeDocument/2006/relationships/sharedStrings" Target="/xl/sharedStrings.xml" Id="R1216e592033d4a7e" /><Relationship Type="http://schemas.openxmlformats.org/officeDocument/2006/relationships/worksheet" Target="/xl/worksheets/sheet1.xml" Id="R13cf8b5cdf8445ed" /><Relationship Type="http://schemas.openxmlformats.org/officeDocument/2006/relationships/worksheet" Target="/xl/worksheets/sheet2.xml" Id="R3031fb30b22b4cc3" /><Relationship Type="http://schemas.openxmlformats.org/officeDocument/2006/relationships/worksheet" Target="/xl/worksheets/sheet3.xml" Id="Rb44a6d9cf662490b" /><Relationship Type="http://schemas.openxmlformats.org/officeDocument/2006/relationships/worksheet" Target="/xl/worksheets/sheet4.xml" Id="R750f5d0861ca4338" /><Relationship Type="http://schemas.openxmlformats.org/officeDocument/2006/relationships/worksheet" Target="/xl/worksheets/sheet5.xml" Id="R442f5359320148ac" /><Relationship Type="http://schemas.openxmlformats.org/officeDocument/2006/relationships/worksheet" Target="/xl/worksheets/sheet6.xml" Id="Rc0c8fbaafe08481e" /><Relationship Type="http://schemas.openxmlformats.org/officeDocument/2006/relationships/worksheet" Target="/xl/worksheets/sheet7.xml" Id="R23d38db1e4f34f1b" /><Relationship Type="http://schemas.openxmlformats.org/officeDocument/2006/relationships/worksheet" Target="/xl/worksheets/sheet8.xml" Id="R22f83a3a76a34a31" /><Relationship Type="http://schemas.openxmlformats.org/officeDocument/2006/relationships/worksheet" Target="/xl/worksheets/sheet9.xml" Id="R894a1df6edbc4a9e" /></Relationships>
</file>

<file path=xl/drawings/_rels/drawing1.xml.rels>&#65279;<?xml version="1.0" encoding="utf-8"?><Relationships xmlns="http://schemas.openxmlformats.org/package/2006/relationships"><Relationship Type="http://schemas.openxmlformats.org/officeDocument/2006/relationships/chart" Target="/xl/drawings/charts/chart1.xml" Id="Rbda011aeadfb47b5"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작업 상태 분포</a:t>
            </a:r>
          </a:p>
        </c:rich>
      </c:tx>
      <c:overlay val="0"/>
    </c:title>
    <c:autoTitleDeleted val="0"/>
    <c:plotArea>
      <c:layout/>
      <c:barChart>
        <c:barDir val="col"/>
        <c:varyColors val="0"/>
        <c:ser>
          <c:idx val="0"/>
          <c:order val="0"/>
          <c:tx>
            <c:v>건수</c:v>
          </c:tx>
          <c:cat>
            <c:strRef>
              <c:f>'00_개요'!$E$5:$E$12</c:f>
              <c:strCache>
                <c:ptCount val="0"/>
              </c:strCache>
            </c:strRef>
          </c:cat>
          <c:val>
            <c:numRef>
              <c:f>'00_개요'!$F$5:$F$12</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3</xdr:row>
      <xdr:rowOff>0</xdr:rowOff>
    </xdr:from>
    <xdr:to>
      <xdr:col>16</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da011aeadfb47b5"/>
        </a:graphicData>
      </a:graphic>
    </xdr:graphicFrame>
    <xdr:clientData/>
  </xdr:twoCellAnchor>
</xdr:wsDr>
</file>

<file path=xl/tables/table1.xml><?xml version="1.0" encoding="utf-8"?>
<x:table xmlns:x="http://schemas.openxmlformats.org/spreadsheetml/2006/main" id="8" name="BacklogTable" displayName="BacklogTable" ref="A1:AJ31" headerRowCount="1">
  <x:tableColumns count="36">
    <x:tableColumn id="1" name="ID"/>
    <x:tableColumn id="2" name="부문"/>
    <x:tableColumn id="3" name="에픽"/>
    <x:tableColumn id="4" name="기능 그룹"/>
    <x:tableColumn id="5" name="구현 항목"/>
    <x:tableColumn id="6" name="목적·설명"/>
    <x:tableColumn id="7" name="수용 기준"/>
    <x:tableColumn id="8" name="완료 정의"/>
    <x:tableColumn id="9" name="범위"/>
    <x:tableColumn id="10" name="우선순위"/>
    <x:tableColumn id="11" name="릴리스 게이트"/>
    <x:tableColumn id="12" name="게이트 분류"/>
    <x:tableColumn id="13" name="마일스톤"/>
    <x:tableColumn id="14" name="담당 부문"/>
    <x:tableColumn id="15" name="담당자명"/>
    <x:tableColumn id="16" name="검토자"/>
    <x:tableColumn id="17" name="대상 플랫폼"/>
    <x:tableColumn id="18" name="권한·실행 주체"/>
    <x:tableColumn id="19" name="영속화"/>
    <x:tableColumn id="20" name="예상 규모"/>
    <x:tableColumn id="21" name="상태"/>
    <x:tableColumn id="22" name="진행률"/>
    <x:tableColumn id="23" name="스프린트"/>
    <x:tableColumn id="24" name="기한"/>
    <x:tableColumn id="25" name="의존 ID"/>
    <x:tableColumn id="26" name="위험도"/>
    <x:tableColumn id="27" name="QA 유형"/>
    <x:tableColumn id="28" name="테스트 케이스 ID"/>
    <x:tableColumn id="29" name="외부 추적 도구 키"/>
    <x:tableColumn id="30" name="근거"/>
    <x:tableColumn id="31" name="증빙 링크"/>
    <x:tableColumn id="32" name="최종 갱신일"/>
    <x:tableColumn id="33" name="비고"/>
    <x:tableColumn id="34" name="시작일"/>
    <x:tableColumn id="35" name="종료일"/>
    <x:tableColumn id="36" name="진행상황"/>
  </x:tableColumns>
  <x:tableStyleInfo name="TableStyleMedium2" showRowStripes="1"/>
</x:table>
</file>

<file path=xl/tables/table2.xml><?xml version="1.0" encoding="utf-8"?>
<x:table xmlns:x="http://schemas.openxmlformats.org/spreadsheetml/2006/main" id="2" name="BEDSpec1" displayName="BEDSpec1" ref="A1:H8" headerRowCount="1">
  <x:tableColumns count="8">
    <x:tableColumn id="1" name="엔터티"/>
    <x:tableColumn id="2" name="기본 키"/>
    <x:tableColumn id="3" name="주요 속성"/>
    <x:tableColumn id="4" name="개인정보 수준"/>
    <x:tableColumn id="5" name="보관 기간"/>
    <x:tableColumn id="6" name="담당"/>
    <x:tableColumn id="7" name="기준 원본"/>
    <x:tableColumn id="8" name="관련 ID"/>
  </x:tableColumns>
  <x:tableStyleInfo name="TableStyleMedium2" showRowStripes="1"/>
</x:table>
</file>

<file path=xl/tables/table3.xml><?xml version="1.0" encoding="utf-8"?>
<x:table xmlns:x="http://schemas.openxmlformats.org/spreadsheetml/2006/main" id="3" name="BEDSpec2" displayName="BEDSpec2" ref="A1:J8" headerRowCount="1">
  <x:tableColumns count="10">
    <x:tableColumn id="1" name="API"/>
    <x:tableColumn id="2" name="메서드"/>
    <x:tableColumn id="3" name="인증"/>
    <x:tableColumn id="4" name="멱등 키"/>
    <x:tableColumn id="5" name="요청 제한"/>
    <x:tableColumn id="6" name="요청"/>
    <x:tableColumn id="7" name="응답"/>
    <x:tableColumn id="8" name="오류"/>
    <x:tableColumn id="9" name="담당"/>
    <x:tableColumn id="10" name="관련 ID"/>
  </x:tableColumns>
  <x:tableStyleInfo name="TableStyleMedium2" showRowStripes="1"/>
</x:table>
</file>

<file path=xl/tables/table4.xml><?xml version="1.0" encoding="utf-8"?>
<x:table xmlns:x="http://schemas.openxmlformats.org/spreadsheetml/2006/main" id="4" name="BEDSpec3" displayName="BEDSpec3" ref="A1:H7" headerRowCount="1">
  <x:tableColumns count="8">
    <x:tableColumn id="1" name="데이터 분류"/>
    <x:tableColumn id="2" name="예시"/>
    <x:tableColumn id="3" name="목적"/>
    <x:tableColumn id="4" name="기본 보관 기간"/>
    <x:tableColumn id="5" name="접근 권한"/>
    <x:tableColumn id="6" name="삭제 처리"/>
    <x:tableColumn id="7" name="암호화"/>
    <x:tableColumn id="8" name="승인"/>
  </x:tableColumns>
  <x:tableStyleInfo name="TableStyleMedium2" showRowStripes="1"/>
</x:table>
</file>

<file path=xl/tables/table5.xml><?xml version="1.0" encoding="utf-8"?>
<x:table xmlns:x="http://schemas.openxmlformats.org/spreadsheetml/2006/main" id="9" name="QACasesTable" displayName="QACasesTable" ref="A1:V55" headerRowCount="1">
  <x:tableColumns count="22">
    <x:tableColumn id="1" name="테스트 ID"/>
    <x:tableColumn id="2" name="관련 ID"/>
    <x:tableColumn id="3" name="부문"/>
    <x:tableColumn id="4" name="제목"/>
    <x:tableColumn id="5" name="목적"/>
    <x:tableColumn id="6" name="사전 조건"/>
    <x:tableColumn id="7" name="절차"/>
    <x:tableColumn id="8" name="예상 결과"/>
    <x:tableColumn id="9" name="QA 유형"/>
    <x:tableColumn id="10" name="우선순위"/>
    <x:tableColumn id="11" name="대상 플랫폼"/>
    <x:tableColumn id="12" name="자동화 후보"/>
    <x:tableColumn id="13" name="상태"/>
    <x:tableColumn id="14" name="담당자명"/>
    <x:tableColumn id="15" name="대상 빌드"/>
    <x:tableColumn id="16" name="증빙 링크"/>
    <x:tableColumn id="17" name="결함 키"/>
    <x:tableColumn id="18" name="최종 갱신일"/>
    <x:tableColumn id="19" name="비고"/>
    <x:tableColumn id="20" name="시작일"/>
    <x:tableColumn id="21" name="종료일"/>
    <x:tableColumn id="22" name="진행상황"/>
  </x:tableColumns>
  <x:tableStyleInfo name="TableStyleMedium2" showRowStripes="1"/>
</x:table>
</file>

<file path=xl/tables/table6.xml><?xml version="1.0" encoding="utf-8"?>
<x:table xmlns:x="http://schemas.openxmlformats.org/spreadsheetml/2006/main" id="6" name="RiskTable" displayName="RiskTable" ref="A1:P5" headerRowCount="1">
  <x:tableColumns count="16">
    <x:tableColumn id="1" name="위험 ID"/>
    <x:tableColumn id="2" name="부문"/>
    <x:tableColumn id="3" name="분류"/>
    <x:tableColumn id="4" name="위험 내용"/>
    <x:tableColumn id="5" name="발생 조건"/>
    <x:tableColumn id="6" name="영향"/>
    <x:tableColumn id="7" name="발생 확률"/>
    <x:tableColumn id="8" name="영향도"/>
    <x:tableColumn id="9" name="점수"/>
    <x:tableColumn id="10" name="담당자"/>
    <x:tableColumn id="11" name="예방 조치"/>
    <x:tableColumn id="12" name="비상 대책"/>
    <x:tableColumn id="13" name="상태"/>
    <x:tableColumn id="14" name="관련 ID"/>
    <x:tableColumn id="15" name="검토일"/>
    <x:tableColumn id="16" name="비고"/>
  </x:tableColumns>
  <x:tableStyleInfo name="TableStyleMedium2" showRowStripes="1"/>
</x:table>
</file>

<file path=xl/tables/table7.xml><?xml version="1.0" encoding="utf-8"?>
<x:table xmlns:x="http://schemas.openxmlformats.org/spreadsheetml/2006/main" id="7" name="DecisionTable" displayName="DecisionTable" ref="A1:M3" headerRowCount="1">
  <x:tableColumns count="13">
    <x:tableColumn id="1" name="의사결정 ID"/>
    <x:tableColumn id="2" name="부문"/>
    <x:tableColumn id="3" name="논점"/>
    <x:tableColumn id="4" name="결정 질문"/>
    <x:tableColumn id="5" name="선택지"/>
    <x:tableColumn id="6" name="권고안"/>
    <x:tableColumn id="7" name="최종 결정"/>
    <x:tableColumn id="8" name="상태"/>
    <x:tableColumn id="9" name="결정권자"/>
    <x:tableColumn id="10" name="기한"/>
    <x:tableColumn id="11" name="관련 ID"/>
    <x:tableColumn id="12" name="판단 근거·증빙"/>
    <x:tableColumn id="13" name="최종 갱신일"/>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51668f73d6724447" /></Relationships>
</file>

<file path=xl/worksheets/_rels/sheet2.xml.rels>&#65279;<?xml version="1.0" encoding="utf-8"?><Relationships xmlns="http://schemas.openxmlformats.org/package/2006/relationships"><Relationship Type="http://schemas.openxmlformats.org/officeDocument/2006/relationships/table" Target="/xl/tables/table1.xml" Id="R42275de1964749fa" /></Relationships>
</file>

<file path=xl/worksheets/_rels/sheet3.xml.rels>&#65279;<?xml version="1.0" encoding="utf-8"?><Relationships xmlns="http://schemas.openxmlformats.org/package/2006/relationships"><Relationship Type="http://schemas.openxmlformats.org/officeDocument/2006/relationships/table" Target="/xl/tables/table2.xml" Id="R69dfbf8d8045493f" /></Relationships>
</file>

<file path=xl/worksheets/_rels/sheet4.xml.rels>&#65279;<?xml version="1.0" encoding="utf-8"?><Relationships xmlns="http://schemas.openxmlformats.org/package/2006/relationships"><Relationship Type="http://schemas.openxmlformats.org/officeDocument/2006/relationships/table" Target="/xl/tables/table3.xml" Id="R1bb393911a3f4348" /></Relationships>
</file>

<file path=xl/worksheets/_rels/sheet5.xml.rels>&#65279;<?xml version="1.0" encoding="utf-8"?><Relationships xmlns="http://schemas.openxmlformats.org/package/2006/relationships"><Relationship Type="http://schemas.openxmlformats.org/officeDocument/2006/relationships/table" Target="/xl/tables/table4.xml" Id="R7d11d313e9f7457d" /></Relationships>
</file>

<file path=xl/worksheets/_rels/sheet6.xml.rels>&#65279;<?xml version="1.0" encoding="utf-8"?><Relationships xmlns="http://schemas.openxmlformats.org/package/2006/relationships"><Relationship Type="http://schemas.openxmlformats.org/officeDocument/2006/relationships/table" Target="/xl/tables/table5.xml" Id="R6415b0bdd8d049b0" /></Relationships>
</file>

<file path=xl/worksheets/_rels/sheet7.xml.rels>&#65279;<?xml version="1.0" encoding="utf-8"?><Relationships xmlns="http://schemas.openxmlformats.org/package/2006/relationships"><Relationship Type="http://schemas.openxmlformats.org/officeDocument/2006/relationships/table" Target="/xl/tables/table6.xml" Id="Rccced48f2d95478e" /></Relationships>
</file>

<file path=xl/worksheets/_rels/sheet8.xml.rels>&#65279;<?xml version="1.0" encoding="utf-8"?><Relationships xmlns="http://schemas.openxmlformats.org/package/2006/relationships"><Relationship Type="http://schemas.openxmlformats.org/officeDocument/2006/relationships/table" Target="/xl/tables/table7.xml" Id="R38d848cf01574e93" /></Relationships>
</file>

<file path=xl/worksheets/sheet1.xml><?xml version="1.0" encoding="utf-8"?>
<x:worksheet xmlns:x="http://schemas.openxmlformats.org/spreadsheetml/2006/main">
  <x:sheetFormatPr defaultRowHeight="15"/>
  <x:cols>
    <x:col min="1" max="1" width="29" hidden="0" customWidth="1"/>
    <x:col min="2" max="2" width="23" hidden="0" customWidth="1"/>
    <x:col min="3" max="3" width="34" hidden="0" customWidth="1"/>
    <x:col min="4" max="4" width="23" hidden="0" customWidth="1"/>
    <x:col min="5" max="5" width="25" hidden="0" customWidth="1"/>
    <x:col min="6" max="6" width="25" hidden="0" customWidth="1"/>
    <x:col min="7" max="7" width="25" hidden="0" customWidth="1"/>
    <x:col min="8" max="8" width="31" hidden="0" customWidth="1"/>
  </x:cols>
  <x:sheetData>
    <x:row r="1" ht="34" customHeight="1">
      <x:c r="A1" s="5" t="str">
        <x:v>백엔드·데이터·모더레이션 구현 관리대장</x:v>
      </x:c>
      <x:c r="B1" s="5"/>
      <x:c r="C1" s="5"/>
      <x:c r="D1" s="5"/>
      <x:c r="E1" s="5"/>
      <x:c r="F1" s="5"/>
      <x:c r="G1" s="5"/>
      <x:c r="H1" s="5"/>
    </x:row>
    <x:row r="2" ht="28" customHeight="1">
      <x:c r="A2" s="13" t="str">
        <x:v>버전 2.0-ko / 갱신일 2026-07-10 / 담당 부문: 백엔드 엔지니어링</x:v>
      </x:c>
      <x:c r="B2" s="13"/>
      <x:c r="C2" s="13"/>
      <x:c r="D2" s="13"/>
      <x:c r="E2" s="13"/>
      <x:c r="F2" s="13"/>
      <x:c r="G2" s="13"/>
      <x:c r="H2" s="13"/>
    </x:row>
    <x:row r="3">
      <x:c r="A3"/>
      <x:c r="B3"/>
      <x:c r="C3"/>
      <x:c r="D3"/>
      <x:c r="E3"/>
      <x:c r="F3"/>
      <x:c r="G3"/>
      <x:c r="H3"/>
    </x:row>
    <x:row r="4">
      <x:c r="A4" s="26" t="str">
        <x:v>핵심 지표</x:v>
      </x:c>
      <x:c r="B4" s="26" t="str">
        <x:v>값</x:v>
      </x:c>
      <x:c r="C4" s="26" t="str">
        <x:v>판정·설명</x:v>
      </x:c>
      <x:c r="D4" s="26"/>
      <x:c r="E4" s="26" t="str">
        <x:v>상태</x:v>
      </x:c>
      <x:c r="F4" s="26" t="str">
        <x:v>건수</x:v>
      </x:c>
      <x:c r="G4" s="26" t="str">
        <x:v>비율</x:v>
      </x:c>
      <x:c r="H4" s="26"/>
    </x:row>
    <x:row r="5">
      <x:c r="A5" s="27" t="str">
        <x:v>전체 작업</x:v>
      </x:c>
      <x:c r="B5" s="27" t="n">
        <x:f>COUNTA('01_백로그'!A2:A31)</x:f>
        <x:v>30</x:v>
      </x:c>
      <x:c r="C5" s="27" t="str">
        <x:v>백로그 전체 수</x:v>
      </x:c>
      <x:c r="D5" s="27"/>
      <x:c r="E5" s="27" t="str">
        <x:v>미착수</x:v>
      </x:c>
      <x:c r="F5" s="27" t="n">
        <x:f>COUNTIF('01_백로그'!U2:U31,E5)</x:f>
        <x:v>30</x:v>
      </x:c>
      <x:c r="G5" s="28" t="n">
        <x:f>IFERROR(F5/$B$5,0)</x:f>
        <x:v>1</x:v>
      </x:c>
      <x:c r="H5" s="27"/>
    </x:row>
    <x:row r="6">
      <x:c r="A6" s="27" t="str">
        <x:v>MVP 작업</x:v>
      </x:c>
      <x:c r="B6" s="27" t="n">
        <x:f>COUNTIF('01_백로그'!I2:I31,"MVP")</x:f>
        <x:v>4</x:v>
      </x:c>
      <x:c r="C6" s="27" t="str">
        <x:v>MVP 범위</x:v>
      </x:c>
      <x:c r="D6" s="27"/>
      <x:c r="E6" s="27" t="str">
        <x:v>사양 확인 중</x:v>
      </x:c>
      <x:c r="F6" s="27" t="n">
        <x:f>COUNTIF('01_백로그'!U2:U31,E6)</x:f>
        <x:v>0</x:v>
      </x:c>
      <x:c r="G6" s="28" t="n">
        <x:f>IFERROR(F6/$B$5,0)</x:f>
        <x:v>0</x:v>
      </x:c>
      <x:c r="H6" s="27"/>
    </x:row>
    <x:row r="7">
      <x:c r="A7" s="27" t="str">
        <x:v>P0 미완료</x:v>
      </x:c>
      <x:c r="B7" s="27" t="n">
        <x:f>COUNTIFS('01_백로그'!J2:J31,"P0",'01_백로그'!U2:U31,"&lt;&gt;완료")</x:f>
        <x:v>24</x:v>
      </x:c>
      <x:c r="C7" s="27" t="str">
        <x:v>P0이며 완료되지 않은 항목</x:v>
      </x:c>
      <x:c r="D7" s="27"/>
      <x:c r="E7" s="27" t="str">
        <x:v>구현 중</x:v>
      </x:c>
      <x:c r="F7" s="27" t="n">
        <x:f>COUNTIF('01_백로그'!U2:U31,E7)</x:f>
        <x:v>0</x:v>
      </x:c>
      <x:c r="G7" s="28" t="n">
        <x:f>IFERROR(F7/$B$5,0)</x:f>
        <x:v>0</x:v>
      </x:c>
      <x:c r="H7" s="27"/>
    </x:row>
    <x:row r="8">
      <x:c r="A8" s="27" t="str">
        <x:v>차단</x:v>
      </x:c>
      <x:c r="B8" s="27" t="n">
        <x:f>COUNTIF('01_백로그'!U2:U31,"차단")</x:f>
        <x:v>0</x:v>
      </x:c>
      <x:c r="C8" s="27" t="str">
        <x:v>현재 진행을 막는 항목</x:v>
      </x:c>
      <x:c r="D8" s="27"/>
      <x:c r="E8" s="27" t="str">
        <x:v>코드 리뷰</x:v>
      </x:c>
      <x:c r="F8" s="27" t="n">
        <x:f>COUNTIF('01_백로그'!U2:U31,E8)</x:f>
        <x:v>0</x:v>
      </x:c>
      <x:c r="G8" s="28" t="n">
        <x:f>IFERROR(F8/$B$5,0)</x:f>
        <x:v>0</x:v>
      </x:c>
      <x:c r="H8" s="27"/>
    </x:row>
    <x:row r="9">
      <x:c r="A9" s="27" t="str">
        <x:v>완료</x:v>
      </x:c>
      <x:c r="B9" s="27" t="n">
        <x:f>COUNTIF('01_백로그'!U2:U31,"완료")</x:f>
        <x:v>0</x:v>
      </x:c>
      <x:c r="C9" s="27" t="str">
        <x:v>완료 정의·QA·증빙 충족</x:v>
      </x:c>
      <x:c r="D9" s="27"/>
      <x:c r="E9" s="27" t="str">
        <x:v>QA 진행 중</x:v>
      </x:c>
      <x:c r="F9" s="27" t="n">
        <x:f>COUNTIF('01_백로그'!U2:U31,E9)</x:f>
        <x:v>0</x:v>
      </x:c>
      <x:c r="G9" s="28" t="n">
        <x:f>IFERROR(F9/$B$5,0)</x:f>
        <x:v>0</x:v>
      </x:c>
      <x:c r="H9" s="27"/>
    </x:row>
    <x:row r="10">
      <x:c r="A10" s="27" t="str">
        <x:v>평균 진행률</x:v>
      </x:c>
      <x:c r="B10" s="28" t="n">
        <x:f>IFERROR(AVERAGE('01_백로그'!V2:V31),0)</x:f>
        <x:v>0</x:v>
      </x:c>
      <x:c r="C10" s="27" t="str">
        <x:v>상태별 진행률 환산 평균</x:v>
      </x:c>
      <x:c r="D10" s="27"/>
      <x:c r="E10" s="27" t="str">
        <x:v>차단</x:v>
      </x:c>
      <x:c r="F10" s="27" t="n">
        <x:f>COUNTIF('01_백로그'!U2:U31,E10)</x:f>
        <x:v>0</x:v>
      </x:c>
      <x:c r="G10" s="28" t="n">
        <x:f>IFERROR(F10/$B$5,0)</x:f>
        <x:v>0</x:v>
      </x:c>
      <x:c r="H10" s="27"/>
    </x:row>
    <x:row r="11">
      <x:c r="A11" s="27" t="str">
        <x:v>QA 합격률</x:v>
      </x:c>
      <x:c r="B11" s="28" t="n">
        <x:f>IFERROR(COUNTIF('80_QA_케이스'!M2:M55,"합격")/COUNTIF('80_QA_케이스'!M2:M55,"&lt;&gt;대상 제외"),0)</x:f>
        <x:v>0</x:v>
      </x:c>
      <x:c r="C11" s="27" t="str">
        <x:v>대상 QA 중 통과 비율</x:v>
      </x:c>
      <x:c r="D11" s="27"/>
      <x:c r="E11" s="27" t="str">
        <x:v>완료</x:v>
      </x:c>
      <x:c r="F11" s="27" t="n">
        <x:f>COUNTIF('01_백로그'!U2:U31,E11)</x:f>
        <x:v>0</x:v>
      </x:c>
      <x:c r="G11" s="28" t="n">
        <x:f>IFERROR(F11/$B$5,0)</x:f>
        <x:v>0</x:v>
      </x:c>
      <x:c r="H11" s="27"/>
    </x:row>
    <x:row r="12">
      <x:c r="A12" s="27" t="str">
        <x:v>릴리스 판정</x:v>
      </x:c>
      <x:c r="B12" s="27" t="str">
        <x:f>IF(AND(B7=0,B8=0),"준비 완료","준비 안 됨")</x:f>
        <x:v>준비 안 됨</x:v>
      </x:c>
      <x:c r="C12" s="27" t="str">
        <x:v>P0·차단·게이트 종합 판단</x:v>
      </x:c>
      <x:c r="D12" s="27"/>
      <x:c r="E12" s="27" t="str">
        <x:v>보류</x:v>
      </x:c>
      <x:c r="F12" s="27" t="n">
        <x:f>COUNTIF('01_백로그'!U2:U31,E12)</x:f>
        <x:v>0</x:v>
      </x:c>
      <x:c r="G12" s="28" t="n">
        <x:f>IFERROR(F12/$B$5,0)</x:f>
        <x:v>0</x:v>
      </x:c>
      <x:c r="H12" s="27"/>
    </x:row>
    <x:row r="13">
      <x:c r="A13"/>
      <x:c r="B13"/>
      <x:c r="C13"/>
      <x:c r="D13"/>
      <x:c r="E13"/>
      <x:c r="F13"/>
      <x:c r="G13"/>
      <x:c r="H13"/>
    </x:row>
    <x:row r="14">
      <x:c r="A14" s="49" t="str">
        <x:v>운영 규칙</x:v>
      </x:c>
      <x:c r="B14" s="49" t="str">
        <x:v>갱신 주기</x:v>
      </x:c>
      <x:c r="C14" s="49" t="str">
        <x:v>기준 원본</x:v>
      </x:c>
      <x:c r="D14" s="49" t="str">
        <x:v>완료 판정</x:v>
      </x:c>
      <x:c r="E14" s="49" t="str">
        <x:v>의존관계</x:v>
      </x:c>
      <x:c r="F14" s="49" t="str">
        <x:v>변경관리</x:v>
      </x:c>
      <x:c r="G14" s="49" t="str">
        <x:v>증빙</x:v>
      </x:c>
      <x:c r="H14" s="49" t="str">
        <x:v>보안</x:v>
      </x:c>
    </x:row>
    <x:row r="15" ht="72" customHeight="1">
      <x:c r="A15" s="36" t="str">
        <x:v>ID는 변경하지 않음</x:v>
      </x:c>
      <x:c r="B15" s="36" t="str">
        <x:v>최소 주 2회</x:v>
      </x:c>
      <x:c r="C15" s="36" t="str">
        <x:v>외부 이슈 추적 도구 이전 후 해당 도구</x:v>
      </x:c>
      <x:c r="D15" s="36" t="str">
        <x:v>완료 정의 + QA + 증빙</x:v>
      </x:c>
      <x:c r="E15" s="36" t="str">
        <x:v>관련 ID 기재</x:v>
      </x:c>
      <x:c r="F15" s="36" t="str">
        <x:v>변경 요청·의사결정 경유</x:v>
      </x:c>
      <x:c r="G15" s="36" t="str">
        <x:v>URL·빌드·실행 기록</x:v>
      </x:c>
      <x:c r="H15" s="36" t="str">
        <x:v>비공개 정보 첨부 금지</x:v>
      </x:c>
    </x:row>
    <x:row r="16" ht="72" customHeight="1">
      <x:c r="A16" s="36" t="str">
        <x:v>담당자·기한은 스프린트 계획에서 확정</x:v>
      </x:c>
      <x:c r="B16" s="36" t="str">
        <x:v>게이트 전에는 매일</x:v>
      </x:c>
      <x:c r="C16" s="36" t="str">
        <x:v>Excel은 검토용 스냅샷</x:v>
      </x:c>
      <x:c r="D16" s="36" t="str">
        <x:v>미해결 P0·P1 없음</x:v>
      </x:c>
      <x:c r="E16" s="36" t="str">
        <x:v>부문 간 의존은 통합 파일에서 관리</x:v>
      </x:c>
      <x:c r="F16" s="36" t="str">
        <x:v>예외는 담당자·기한 필수</x:v>
      </x:c>
      <x:c r="G16" s="36" t="str">
        <x:v>로그는 상관관계 ID 포함</x:v>
      </x:c>
      <x:c r="H16" s="36" t="str">
        <x:v>역할·음성·개인정보 마스킹</x:v>
      </x:c>
    </x:row>
  </x:sheetData>
  <x:mergeCells>
    <x:mergeCell ref="A1:H1"/>
    <x:mergeCell ref="A2:H2"/>
  </x:mergeCells>
  <x:pageMargins left="0.7" right="0.7" top="0.75" bottom="0.75" header="0.3" footer="0.3"/>
  <x:drawing xmlns:r="http://schemas.openxmlformats.org/officeDocument/2006/relationships" r:id="R51668f73d6724447"/>
</x:worksheet>
</file>

<file path=xl/worksheets/sheet2.xml><?xml version="1.0" encoding="utf-8"?>
<x:worksheet xmlns:x="http://schemas.openxmlformats.org/spreadsheetml/2006/main">
  <x:sheetFormatPr defaultRowHeight="15"/>
  <x:cols>
    <x:col min="1" max="1" width="12" hidden="0" customWidth="1"/>
    <x:col min="2" max="2" width="24" hidden="0" customWidth="1"/>
    <x:col min="3" max="3" width="22" hidden="0" customWidth="1"/>
    <x:col min="4" max="4" width="22" hidden="0" customWidth="1"/>
    <x:col min="5" max="5" width="34" hidden="0" customWidth="1"/>
    <x:col min="6" max="6" width="44" hidden="0" customWidth="1"/>
    <x:col min="7" max="7" width="54" hidden="0" customWidth="1"/>
    <x:col min="8" max="8" width="48" hidden="0" customWidth="1"/>
    <x:col min="9" max="9" width="13" hidden="0" customWidth="1"/>
    <x:col min="10" max="10" width="10" hidden="0" customWidth="1"/>
    <x:col min="11" max="11" width="13" hidden="0" customWidth="1"/>
    <x:col min="12" max="12" width="18" hidden="0" customWidth="1"/>
    <x:col min="13" max="13" width="16" hidden="0" customWidth="1"/>
    <x:col min="14" max="14" width="22" hidden="0" customWidth="1"/>
    <x:col min="15" max="15" width="16" hidden="0" customWidth="1"/>
    <x:col min="16" max="16" width="16" hidden="0" customWidth="1"/>
    <x:col min="17" max="17" width="20" hidden="0" customWidth="1"/>
    <x:col min="18" max="18" width="20" hidden="0" customWidth="1"/>
    <x:col min="19" max="19" width="14" hidden="0" customWidth="1"/>
    <x:col min="20" max="20" width="10" hidden="0" customWidth="1"/>
    <x:col min="21" max="21" width="14" hidden="0" customWidth="1"/>
    <x:col min="22" max="22" width="10" hidden="0" customWidth="1"/>
    <x:col min="23" max="23" width="12" hidden="0" customWidth="1"/>
    <x:col min="24" max="24" width="13" hidden="0" customWidth="1"/>
    <x:col min="25" max="25" width="24" hidden="0" customWidth="1"/>
    <x:col min="26" max="26" width="12" hidden="0" customWidth="1"/>
    <x:col min="27" max="27" width="15" hidden="0" customWidth="1"/>
    <x:col min="28" max="28" width="24" hidden="0" customWidth="1"/>
    <x:col min="29" max="29" width="18" hidden="0" customWidth="1"/>
    <x:col min="30" max="30" width="30" hidden="0" customWidth="1"/>
    <x:col min="31" max="31" width="28" hidden="0" customWidth="1"/>
    <x:col min="32" max="32" width="13" hidden="0" customWidth="1"/>
    <x:col min="33" max="33" width="28" hidden="0" customWidth="1"/>
    <x:col min="34" max="34" width="12" hidden="0" customWidth="1"/>
    <x:col min="35" max="35" width="12" hidden="0" customWidth="1"/>
    <x:col min="36" max="36" width="12" hidden="0" customWidth="1"/>
  </x:cols>
  <x:sheetData>
    <x:row r="1" ht="30" customHeight="1">
      <x:c r="A1" s="40" t="str">
        <x:v>ID</x:v>
      </x:c>
      <x:c r="B1" s="40" t="str">
        <x:v>부문</x:v>
      </x:c>
      <x:c r="C1" s="40" t="str">
        <x:v>에픽</x:v>
      </x:c>
      <x:c r="D1" s="40" t="str">
        <x:v>기능 그룹</x:v>
      </x:c>
      <x:c r="E1" s="40" t="str">
        <x:v>구현 항목</x:v>
      </x:c>
      <x:c r="F1" s="40" t="str">
        <x:v>목적·설명</x:v>
      </x:c>
      <x:c r="G1" s="40" t="str">
        <x:v>수용 기준</x:v>
      </x:c>
      <x:c r="H1" s="40" t="str">
        <x:v>완료 정의</x:v>
      </x:c>
      <x:c r="I1" s="40" t="str">
        <x:v>범위</x:v>
      </x:c>
      <x:c r="J1" s="40" t="str">
        <x:v>우선순위</x:v>
      </x:c>
      <x:c r="K1" s="40" t="str">
        <x:v>릴리스 게이트</x:v>
      </x:c>
      <x:c r="L1" s="40" t="str">
        <x:v>게이트 분류</x:v>
      </x:c>
      <x:c r="M1" s="40" t="str">
        <x:v>마일스톤</x:v>
      </x:c>
      <x:c r="N1" s="40" t="str">
        <x:v>담당 부문</x:v>
      </x:c>
      <x:c r="O1" s="40" t="str">
        <x:v>담당자명</x:v>
      </x:c>
      <x:c r="P1" s="40" t="str">
        <x:v>검토자</x:v>
      </x:c>
      <x:c r="Q1" s="40" t="str">
        <x:v>대상 플랫폼</x:v>
      </x:c>
      <x:c r="R1" s="40" t="str">
        <x:v>권한·실행 주체</x:v>
      </x:c>
      <x:c r="S1" s="40" t="str">
        <x:v>영속화</x:v>
      </x:c>
      <x:c r="T1" s="40" t="str">
        <x:v>예상 규모</x:v>
      </x:c>
      <x:c r="U1" s="40" t="str">
        <x:v>상태</x:v>
      </x:c>
      <x:c r="V1" s="40" t="str">
        <x:v>진행률</x:v>
      </x:c>
      <x:c r="W1" s="40" t="str">
        <x:v>스프린트</x:v>
      </x:c>
      <x:c r="X1" s="40" t="str">
        <x:v>기한</x:v>
      </x:c>
      <x:c r="Y1" s="40" t="str">
        <x:v>의존 ID</x:v>
      </x:c>
      <x:c r="Z1" s="40" t="str">
        <x:v>위험도</x:v>
      </x:c>
      <x:c r="AA1" s="40" t="str">
        <x:v>QA 유형</x:v>
      </x:c>
      <x:c r="AB1" s="40" t="str">
        <x:v>테스트 케이스 ID</x:v>
      </x:c>
      <x:c r="AC1" s="40" t="str">
        <x:v>외부 추적 도구 키</x:v>
      </x:c>
      <x:c r="AD1" s="40" t="str">
        <x:v>근거</x:v>
      </x:c>
      <x:c r="AE1" s="40" t="str">
        <x:v>증빙 링크</x:v>
      </x:c>
      <x:c r="AF1" s="40" t="str">
        <x:v>최종 갱신일</x:v>
      </x:c>
      <x:c r="AG1" s="40" t="str">
        <x:v>비고</x:v>
      </x:c>
      <x:c r="AH1" s="53" t="str">
        <x:v>시작일</x:v>
      </x:c>
      <x:c r="AI1" s="53" t="str">
        <x:v>종료일</x:v>
      </x:c>
      <x:c r="AJ1" s="53" t="str">
        <x:v>진행상황</x:v>
      </x:c>
    </x:row>
    <x:row r="2" ht="42" customHeight="1">
      <x:c r="A2" s="36" t="str">
        <x:v>BED-001</x:v>
      </x:c>
      <x:c r="B2" s="36" t="str">
        <x:v>백엔드·데이터·모더레이션</x:v>
      </x:c>
      <x:c r="C2" s="36" t="str">
        <x:v>식별</x:v>
      </x:c>
      <x:c r="D2" s="36" t="str">
        <x:v>인증</x:v>
      </x:c>
      <x:c r="E2" s="36" t="str">
        <x:v>플랫폼 인증·게임 세션 토큰</x:v>
      </x:c>
      <x:c r="F2" s="36" t="str">
        <x:v>게임 규칙, 운영 요구사항과 대상 플랫폼 제약을 충족하도록 플랫폼 인증·게임 세션 토큰 기능을 구현하고 검증한다.</x:v>
      </x:c>
      <x:c r="G2" s="36" t="str">
        <x:v>지원 플랫폼의 인증 결과를 검증하고 짧은 수명의 게임 토큰을 발급한다. 무효, 만료, 차단된 계정은 거부한다.</x:v>
      </x:c>
      <x:c r="H2" s="36" t="str">
        <x:v>구현, 코드 리뷰, 사양 갱신, 대상 QA 케이스 실행, 로그·텔레메트리 확인과 관련 플랫폼 검증을 완료하고 미해결 P0·P1 결함이 없다.</x:v>
      </x:c>
      <x:c r="I2" s="36" t="str">
        <x:v>MVP</x:v>
      </x:c>
      <x:c r="J2" s="36" t="str">
        <x:v>P0</x:v>
      </x:c>
      <x:c r="K2" s="36" t="str">
        <x:v>필수</x:v>
      </x:c>
      <x:c r="L2" s="36" t="str">
        <x:v>인증</x:v>
      </x:c>
      <x:c r="M2" s="36" t="str">
        <x:v>MVP</x:v>
      </x:c>
      <x:c r="N2" s="36" t="str">
        <x:v>백엔드·라이브 운영</x:v>
      </x:c>
      <x:c r="O2" s="36" t="str">
        <x:v>미정</x:v>
      </x:c>
      <x:c r="P2" s="36" t="str">
        <x:v>미정</x:v>
      </x:c>
      <x:c r="Q2" s="36" t="str">
        <x:v>백엔드</x:v>
      </x:c>
      <x:c r="R2" s="36" t="str">
        <x:v>백엔드 권한</x:v>
      </x:c>
      <x:c r="S2" s="36" t="str">
        <x:v>감사 로그</x:v>
      </x:c>
      <x:c r="T2" s="36" t="str">
        <x:v>XL</x:v>
      </x:c>
      <x:c r="U2" s="36" t="str">
        <x:v>미착수</x:v>
      </x:c>
      <x:c r="V2" s="46" t="n">
        <x:f>IF(U2="완료",1,IF(U2="QA 진행 중",0.8,IF(U2="코드 리뷰",0.65,IF(U2="구현 중",0.4,IF(U2="사양 확인 중",0.1,IF(U2="차단",0.4,0))))))</x:f>
        <x:v>0</x:v>
      </x:c>
      <x:c r="W2" s="36" t="str">
        <x:v>미정</x:v>
      </x:c>
      <x:c r="X2" s="44"/>
      <x:c r="Y2" s="36"/>
      <x:c r="Z2" s="36" t="str">
        <x:v>중간</x:v>
      </x:c>
      <x:c r="AA2" s="36" t="str">
        <x:v>보안</x:v>
      </x:c>
      <x:c r="AB2" s="36" t="str">
        <x:v>TC-BED-001-01, TC-BED-001-02</x:v>
      </x:c>
      <x:c r="AC2" s="36"/>
      <x:c r="AD2" s="36" t="str">
        <x:v>게임 기획서</x:v>
      </x:c>
      <x:c r="AE2" s="36"/>
      <x:c r="AF2" s="44" t="str">
        <x:v>2026-07-10</x:v>
      </x:c>
      <x:c r="AG2" s="36"/>
      <x:c r="AH2" s="54"/>
      <x:c r="AI2" s="54"/>
      <x:c r="AJ2" s="53" t="str">
        <x:v>착수 전</x:v>
      </x:c>
    </x:row>
    <x:row r="3" ht="42" customHeight="1">
      <x:c r="A3" s="36" t="str">
        <x:v>BED-002</x:v>
      </x:c>
      <x:c r="B3" s="36" t="str">
        <x:v>백엔드·데이터·모더레이션</x:v>
      </x:c>
      <x:c r="C3" s="36" t="str">
        <x:v>식별</x:v>
      </x:c>
      <x:c r="D3" s="36" t="str">
        <x:v>계정 연동</x:v>
      </x:c>
      <x:c r="E3" s="36" t="str">
        <x:v>내부 플레이어 ID·플랫폼 ID 연동</x:v>
      </x:c>
      <x:c r="F3" s="36" t="str">
        <x:v>게임 규칙, 운영 요구사항과 대상 플랫폼 제약을 충족하도록 내부 플레이어 ID·플랫폼 ID 연동 기능을 구현하고 검증한다.</x:v>
      </x:c>
      <x:c r="G3" s="36" t="str">
        <x:v>내부 ID를 고유하게 발급하고 복수 플랫폼 연동, 표시 이름 변경, 연동 해제, 계정 충돌을 감사 가능한 방식으로 처리한다.</x:v>
      </x:c>
      <x:c r="H3" s="36" t="str">
        <x:v>구현, 코드 리뷰, 사양 갱신, 대상 QA 케이스 실행, 로그·텔레메트리 확인과 관련 플랫폼 검증을 완료하고 미해결 P0·P1 결함이 없다.</x:v>
      </x:c>
      <x:c r="I3" s="36" t="str">
        <x:v>알파</x:v>
      </x:c>
      <x:c r="J3" s="36" t="str">
        <x:v>P0</x:v>
      </x:c>
      <x:c r="K3" s="36" t="str">
        <x:v>필수</x:v>
      </x:c>
      <x:c r="L3" s="36" t="str">
        <x:v>인증</x:v>
      </x:c>
      <x:c r="M3" s="36" t="str">
        <x:v>알파</x:v>
      </x:c>
      <x:c r="N3" s="36" t="str">
        <x:v>백엔드·라이브 운영</x:v>
      </x:c>
      <x:c r="O3" s="36" t="str">
        <x:v>미정</x:v>
      </x:c>
      <x:c r="P3" s="36" t="str">
        <x:v>미정</x:v>
      </x:c>
      <x:c r="Q3" s="36" t="str">
        <x:v>백엔드</x:v>
      </x:c>
      <x:c r="R3" s="36" t="str">
        <x:v>백엔드 권한</x:v>
      </x:c>
      <x:c r="S3" s="36" t="str">
        <x:v>계정</x:v>
      </x:c>
      <x:c r="T3" s="36" t="str">
        <x:v>XL</x:v>
      </x:c>
      <x:c r="U3" s="36" t="str">
        <x:v>미착수</x:v>
      </x:c>
      <x:c r="V3" s="46" t="n">
        <x:f>IF(U3="완료",1,IF(U3="QA 진행 중",0.8,IF(U3="코드 리뷰",0.65,IF(U3="구현 중",0.4,IF(U3="사양 확인 중",0.1,IF(U3="차단",0.4,0))))))</x:f>
        <x:v>0</x:v>
      </x:c>
      <x:c r="W3" s="36" t="str">
        <x:v>미정</x:v>
      </x:c>
      <x:c r="X3" s="44"/>
      <x:c r="Y3" s="36" t="str">
        <x:v>BED-001</x:v>
      </x:c>
      <x:c r="Z3" s="36" t="str">
        <x:v>중간</x:v>
      </x:c>
      <x:c r="AA3" s="36" t="str">
        <x:v>보안</x:v>
      </x:c>
      <x:c r="AB3" s="36" t="str">
        <x:v>TC-BED-002-01, TC-BED-002-02</x:v>
      </x:c>
      <x:c r="AC3" s="36"/>
      <x:c r="AD3" s="36" t="str">
        <x:v>게임 기획서</x:v>
      </x:c>
      <x:c r="AE3" s="36"/>
      <x:c r="AF3" s="44" t="str">
        <x:v>2026-07-10</x:v>
      </x:c>
      <x:c r="AG3" s="36"/>
      <x:c r="AH3" s="54"/>
      <x:c r="AI3" s="54"/>
      <x:c r="AJ3" s="53" t="str">
        <x:v>착수 전</x:v>
      </x:c>
    </x:row>
    <x:row r="4" ht="42" customHeight="1">
      <x:c r="A4" s="36" t="str">
        <x:v>BED-003</x:v>
      </x:c>
      <x:c r="B4" s="36" t="str">
        <x:v>백엔드·데이터·모더레이션</x:v>
      </x:c>
      <x:c r="C4" s="36" t="str">
        <x:v>플레이어 데이터</x:v>
      </x:c>
      <x:c r="D4" s="36" t="str">
        <x:v>프로필·환경설정</x:v>
      </x:c>
      <x:c r="E4" s="36" t="str">
        <x:v>프로필·설정·튜토리얼 상태 저장</x:v>
      </x:c>
      <x:c r="F4" s="36" t="str">
        <x:v>게임 규칙, 운영 요구사항과 대상 플랫폼 제약을 충족하도록 프로필·설정·튜토리얼 상태 저장 기능을 구현하고 검증한다.</x:v>
      </x:c>
      <x:c r="G4" s="36" t="str">
        <x:v>언어, 접근성, 튜토리얼 완료, 기본 프로필을 버전 관리해 저장하고 기기 설정과 계정 설정의 우선순위를 정의한다.</x:v>
      </x:c>
      <x:c r="H4" s="36" t="str">
        <x:v>구현, 코드 리뷰, 사양 갱신, 대상 QA 케이스 실행, 로그·텔레메트리 확인과 관련 플랫폼 검증을 완료하고 미해결 P0·P1 결함이 없다.</x:v>
      </x:c>
      <x:c r="I4" s="36" t="str">
        <x:v>알파</x:v>
      </x:c>
      <x:c r="J4" s="36" t="str">
        <x:v>P1</x:v>
      </x:c>
      <x:c r="K4" s="36" t="str">
        <x:v>필수</x:v>
      </x:c>
      <x:c r="L4" s="36" t="str">
        <x:v>데이터</x:v>
      </x:c>
      <x:c r="M4" s="36" t="str">
        <x:v>알파</x:v>
      </x:c>
      <x:c r="N4" s="36" t="str">
        <x:v>백엔드·라이브 운영</x:v>
      </x:c>
      <x:c r="O4" s="36" t="str">
        <x:v>미정</x:v>
      </x:c>
      <x:c r="P4" s="36" t="str">
        <x:v>미정</x:v>
      </x:c>
      <x:c r="Q4" s="36" t="str">
        <x:v>백엔드</x:v>
      </x:c>
      <x:c r="R4" s="36" t="str">
        <x:v>백엔드 권한</x:v>
      </x:c>
      <x:c r="S4" s="36" t="str">
        <x:v>계정</x:v>
      </x:c>
      <x:c r="T4" s="36" t="str">
        <x:v>L</x:v>
      </x:c>
      <x:c r="U4" s="36" t="str">
        <x:v>미착수</x:v>
      </x:c>
      <x:c r="V4" s="46" t="n">
        <x:f>IF(U4="완료",1,IF(U4="QA 진행 중",0.8,IF(U4="코드 리뷰",0.65,IF(U4="구현 중",0.4,IF(U4="사양 확인 중",0.1,IF(U4="차단",0.4,0))))))</x:f>
        <x:v>0</x:v>
      </x:c>
      <x:c r="W4" s="36" t="str">
        <x:v>미정</x:v>
      </x:c>
      <x:c r="X4" s="44"/>
      <x:c r="Y4" s="36" t="str">
        <x:v>BED-001,SET-002</x:v>
      </x:c>
      <x:c r="Z4" s="36" t="str">
        <x:v>중간</x:v>
      </x:c>
      <x:c r="AA4" s="36" t="str">
        <x:v>호환성</x:v>
      </x:c>
      <x:c r="AB4" s="36" t="str">
        <x:v>TC-BED-003-01</x:v>
      </x:c>
      <x:c r="AC4" s="36"/>
      <x:c r="AD4" s="36" t="str">
        <x:v>게임 기획서</x:v>
      </x:c>
      <x:c r="AE4" s="36"/>
      <x:c r="AF4" s="44" t="str">
        <x:v>2026-07-10</x:v>
      </x:c>
      <x:c r="AG4" s="36"/>
      <x:c r="AH4" s="54"/>
      <x:c r="AI4" s="54"/>
      <x:c r="AJ4" s="53" t="str">
        <x:v>착수 전</x:v>
      </x:c>
    </x:row>
    <x:row r="5" ht="42" customHeight="1">
      <x:c r="A5" s="36" t="str">
        <x:v>BED-004</x:v>
      </x:c>
      <x:c r="B5" s="36" t="str">
        <x:v>백엔드·데이터·모더레이션</x:v>
      </x:c>
      <x:c r="C5" s="36" t="str">
        <x:v>플레이어 데이터</x:v>
      </x:c>
      <x:c r="D5" s="36" t="str">
        <x:v>외형 인벤토리</x:v>
      </x:c>
      <x:c r="E5" s="36" t="str">
        <x:v>외형 아이템 보유·장착 데이터</x:v>
      </x:c>
      <x:c r="F5" s="36" t="str">
        <x:v>게임 규칙, 운영 요구사항과 대상 플랫폼 제약을 충족하도록 외형 아이템 보유·장착 데이터 기능을 구현하고 검증한다.</x:v>
      </x:c>
      <x:c r="G5" s="36" t="str">
        <x:v>아이템 보유, 장착, 획득 경로, 중복 변환, 만료를 서버에서 관리하고 보유하지 않은 아이템의 장착 요청을 거부한다.</x:v>
      </x:c>
      <x:c r="H5" s="36" t="str">
        <x:v>구현, 코드 리뷰, 사양 갱신, 대상 QA 케이스 실행, 로그·텔레메트리 확인과 관련 플랫폼 검증을 완료하고 미해결 P0·P1 결함이 없다.</x:v>
      </x:c>
      <x:c r="I5" s="36" t="str">
        <x:v>출시 후</x:v>
      </x:c>
      <x:c r="J5" s="36" t="str">
        <x:v>P2</x:v>
      </x:c>
      <x:c r="K5" s="36" t="str">
        <x:v>조건부</x:v>
      </x:c>
      <x:c r="L5" s="36" t="str">
        <x:v>커머스</x:v>
      </x:c>
      <x:c r="M5" s="36" t="str">
        <x:v>출시 후</x:v>
      </x:c>
      <x:c r="N5" s="36" t="str">
        <x:v>백엔드·라이브 운영</x:v>
      </x:c>
      <x:c r="O5" s="36" t="str">
        <x:v>미정</x:v>
      </x:c>
      <x:c r="P5" s="36" t="str">
        <x:v>미정</x:v>
      </x:c>
      <x:c r="Q5" s="36" t="str">
        <x:v>백엔드</x:v>
      </x:c>
      <x:c r="R5" s="36" t="str">
        <x:v>백엔드 권한</x:v>
      </x:c>
      <x:c r="S5" s="36" t="str">
        <x:v>계정</x:v>
      </x:c>
      <x:c r="T5" s="36" t="str">
        <x:v>XL</x:v>
      </x:c>
      <x:c r="U5" s="36" t="str">
        <x:v>미착수</x:v>
      </x:c>
      <x:c r="V5" s="46" t="n">
        <x:f>IF(U5="완료",1,IF(U5="QA 진행 중",0.8,IF(U5="코드 리뷰",0.65,IF(U5="구현 중",0.4,IF(U5="사양 확인 중",0.1,IF(U5="차단",0.4,0))))))</x:f>
        <x:v>0</x:v>
      </x:c>
      <x:c r="W5" s="36" t="str">
        <x:v>미정</x:v>
      </x:c>
      <x:c r="X5" s="44"/>
      <x:c r="Y5" s="36" t="str">
        <x:v>CHR-020</x:v>
      </x:c>
      <x:c r="Z5" s="36" t="str">
        <x:v>중간</x:v>
      </x:c>
      <x:c r="AA5" s="36" t="str">
        <x:v>보안</x:v>
      </x:c>
      <x:c r="AB5" s="36" t="str">
        <x:v>TC-BED-004-01</x:v>
      </x:c>
      <x:c r="AC5" s="36"/>
      <x:c r="AD5" s="36" t="str">
        <x:v>게임 기획서</x:v>
      </x:c>
      <x:c r="AE5" s="36"/>
      <x:c r="AF5" s="44" t="str">
        <x:v>2026-07-10</x:v>
      </x:c>
      <x:c r="AG5" s="36"/>
      <x:c r="AH5" s="54"/>
      <x:c r="AI5" s="54"/>
      <x:c r="AJ5" s="53" t="str">
        <x:v>착수 전</x:v>
      </x:c>
    </x:row>
    <x:row r="6" ht="42" customHeight="1">
      <x:c r="A6" s="36" t="str">
        <x:v>BED-005</x:v>
      </x:c>
      <x:c r="B6" s="36" t="str">
        <x:v>백엔드·데이터·모더레이션</x:v>
      </x:c>
      <x:c r="C6" s="36" t="str">
        <x:v>플레이어 데이터</x:v>
      </x:c>
      <x:c r="D6" s="36" t="str">
        <x:v>권리</x:v>
      </x:c>
      <x:c r="E6" s="36" t="str">
        <x:v>제품·DLC·플랫폼 권리 확인</x:v>
      </x:c>
      <x:c r="F6" s="36" t="str">
        <x:v>게임 규칙, 운영 요구사항과 대상 플랫폼 제약을 충족하도록 제품·DLC·플랫폼 권리 확인 기능을 구현하고 검증한다.</x:v>
      </x:c>
      <x:c r="G6" s="36" t="str">
        <x:v>상품 권리를 플랫폼에서 검증하고 캐시 만료, 환불, 오프라인, 복수 기기 사용을 일관되게 처리한다.</x:v>
      </x:c>
      <x:c r="H6" s="36" t="str">
        <x:v>구현, 코드 리뷰, 사양 갱신, 대상 QA 케이스 실행, 로그·텔레메트리 확인과 관련 플랫폼 검증을 완료하고 미해결 P0·P1 결함이 없다.</x:v>
      </x:c>
      <x:c r="I6" s="36" t="str">
        <x:v>출시</x:v>
      </x:c>
      <x:c r="J6" s="36" t="str">
        <x:v>P0</x:v>
      </x:c>
      <x:c r="K6" s="36" t="str">
        <x:v>필수</x:v>
      </x:c>
      <x:c r="L6" s="36" t="str">
        <x:v>커머스</x:v>
      </x:c>
      <x:c r="M6" s="36" t="str">
        <x:v>출시</x:v>
      </x:c>
      <x:c r="N6" s="36" t="str">
        <x:v>백엔드·라이브 운영</x:v>
      </x:c>
      <x:c r="O6" s="36" t="str">
        <x:v>미정</x:v>
      </x:c>
      <x:c r="P6" s="36" t="str">
        <x:v>미정</x:v>
      </x:c>
      <x:c r="Q6" s="36" t="str">
        <x:v>백엔드</x:v>
      </x:c>
      <x:c r="R6" s="36" t="str">
        <x:v>백엔드 권한</x:v>
      </x:c>
      <x:c r="S6" s="36" t="str">
        <x:v>계정</x:v>
      </x:c>
      <x:c r="T6" s="36" t="str">
        <x:v>L</x:v>
      </x:c>
      <x:c r="U6" s="36" t="str">
        <x:v>미착수</x:v>
      </x:c>
      <x:c r="V6" s="46" t="n">
        <x:f>IF(U6="완료",1,IF(U6="QA 진행 중",0.8,IF(U6="코드 리뷰",0.65,IF(U6="구현 중",0.4,IF(U6="사양 확인 중",0.1,IF(U6="차단",0.4,0))))))</x:f>
        <x:v>0</x:v>
      </x:c>
      <x:c r="W6" s="36" t="str">
        <x:v>미정</x:v>
      </x:c>
      <x:c r="X6" s="44"/>
      <x:c r="Y6" s="36" t="str">
        <x:v>BED-001</x:v>
      </x:c>
      <x:c r="Z6" s="36" t="str">
        <x:v>중간</x:v>
      </x:c>
      <x:c r="AA6" s="36" t="str">
        <x:v>보안</x:v>
      </x:c>
      <x:c r="AB6" s="36" t="str">
        <x:v>TC-BED-005-01, TC-BED-005-02</x:v>
      </x:c>
      <x:c r="AC6" s="36"/>
      <x:c r="AD6" s="36" t="str">
        <x:v>게임 기획서</x:v>
      </x:c>
      <x:c r="AE6" s="36"/>
      <x:c r="AF6" s="44" t="str">
        <x:v>2026-07-10</x:v>
      </x:c>
      <x:c r="AG6" s="36"/>
      <x:c r="AH6" s="54"/>
      <x:c r="AI6" s="54"/>
      <x:c r="AJ6" s="53" t="str">
        <x:v>착수 전</x:v>
      </x:c>
    </x:row>
    <x:row r="7" ht="42" customHeight="1">
      <x:c r="A7" s="36" t="str">
        <x:v>BED-006</x:v>
      </x:c>
      <x:c r="B7" s="36" t="str">
        <x:v>백엔드·데이터·모더레이션</x:v>
      </x:c>
      <x:c r="C7" s="36" t="str">
        <x:v>매치 데이터</x:v>
      </x:c>
      <x:c r="D7" s="36" t="str">
        <x:v>매치 기록</x:v>
      </x:c>
      <x:c r="E7" s="36" t="str">
        <x:v>매치 결과·역할·투표 이력 저장</x:v>
      </x:c>
      <x:c r="F7" s="36" t="str">
        <x:v>게임 규칙, 운영 요구사항과 대상 플랫폼 제약을 충족하도록 매치 결과·역할·투표 이력 저장 기능을 구현하고 검증한다.</x:v>
      </x:c>
      <x:c r="G7" s="36" t="str">
        <x:v>매치 ID, 참가자, 버전, 역할, 승패, 일차, 투표, 종료 사유를 저장하고 공개용 데이터와 내부 운영 데이터를 분리한다.</x:v>
      </x:c>
      <x:c r="H7" s="36" t="str">
        <x:v>구현, 코드 리뷰, 사양 갱신, 대상 QA 케이스 실행, 로그·텔레메트리 확인과 관련 플랫폼 검증을 완료하고 미해결 P0·P1 결함이 없다.</x:v>
      </x:c>
      <x:c r="I7" s="36" t="str">
        <x:v>MVP</x:v>
      </x:c>
      <x:c r="J7" s="36" t="str">
        <x:v>P0</x:v>
      </x:c>
      <x:c r="K7" s="36" t="str">
        <x:v>필수</x:v>
      </x:c>
      <x:c r="L7" s="36" t="str">
        <x:v>데이터 무결성</x:v>
      </x:c>
      <x:c r="M7" s="36" t="str">
        <x:v>MVP</x:v>
      </x:c>
      <x:c r="N7" s="36" t="str">
        <x:v>백엔드·라이브 운영</x:v>
      </x:c>
      <x:c r="O7" s="36" t="str">
        <x:v>미정</x:v>
      </x:c>
      <x:c r="P7" s="36" t="str">
        <x:v>미정</x:v>
      </x:c>
      <x:c r="Q7" s="36" t="str">
        <x:v>백엔드</x:v>
      </x:c>
      <x:c r="R7" s="36" t="str">
        <x:v>백엔드 권한</x:v>
      </x:c>
      <x:c r="S7" s="36" t="str">
        <x:v>백엔드</x:v>
      </x:c>
      <x:c r="T7" s="36" t="str">
        <x:v>L</x:v>
      </x:c>
      <x:c r="U7" s="36" t="str">
        <x:v>미착수</x:v>
      </x:c>
      <x:c r="V7" s="46" t="n">
        <x:f>IF(U7="완료",1,IF(U7="QA 진행 중",0.8,IF(U7="코드 리뷰",0.65,IF(U7="구현 중",0.4,IF(U7="사양 확인 중",0.1,IF(U7="차단",0.4,0))))))</x:f>
        <x:v>0</x:v>
      </x:c>
      <x:c r="W7" s="36" t="str">
        <x:v>미정</x:v>
      </x:c>
      <x:c r="X7" s="44"/>
      <x:c r="Y7" s="36" t="str">
        <x:v>IGM-026,IGM-027,IGM-031,NET-018</x:v>
      </x:c>
      <x:c r="Z7" s="36" t="str">
        <x:v>중간</x:v>
      </x:c>
      <x:c r="AA7" s="36" t="str">
        <x:v>통합</x:v>
      </x:c>
      <x:c r="AB7" s="36" t="str">
        <x:v>TC-BED-006-01, TC-BED-006-02</x:v>
      </x:c>
      <x:c r="AC7" s="36"/>
      <x:c r="AD7" s="36" t="str">
        <x:v>게임 기획서</x:v>
      </x:c>
      <x:c r="AE7" s="36"/>
      <x:c r="AF7" s="44" t="str">
        <x:v>2026-07-10</x:v>
      </x:c>
      <x:c r="AG7" s="36"/>
      <x:c r="AH7" s="54"/>
      <x:c r="AI7" s="54"/>
      <x:c r="AJ7" s="53" t="str">
        <x:v>착수 전</x:v>
      </x:c>
    </x:row>
    <x:row r="8" ht="42" customHeight="1">
      <x:c r="A8" s="36" t="str">
        <x:v>BED-007</x:v>
      </x:c>
      <x:c r="B8" s="36" t="str">
        <x:v>백엔드·데이터·모더레이션</x:v>
      </x:c>
      <x:c r="C8" s="36" t="str">
        <x:v>매치 데이터</x:v>
      </x:c>
      <x:c r="D8" s="36" t="str">
        <x:v>보상 트랜잭션</x:v>
      </x:c>
      <x:c r="E8" s="36" t="str">
        <x:v>보상·진행도 멱등 트랜잭션</x:v>
      </x:c>
      <x:c r="F8" s="36" t="str">
        <x:v>게임 규칙, 운영 요구사항과 대상 플랫폼 제약을 충족하도록 보상·진행도 멱등 트랜잭션 기능을 구현하고 검증한다.</x:v>
      </x:c>
      <x:c r="G8" s="36" t="str">
        <x:v>매치 ID와 플레이어 ID를 멱등 키로 사용해 보상을 한 번만 지급하고 실패 시 안전하게 재전송할 수 있는 상태를 유지한다.</x:v>
      </x:c>
      <x:c r="H8" s="36" t="str">
        <x:v>구현, 코드 리뷰, 사양 갱신, 대상 QA 케이스 실행, 로그·텔레메트리 확인과 관련 플랫폼 검증을 완료하고 미해결 P0·P1 결함이 없다.</x:v>
      </x:c>
      <x:c r="I8" s="36" t="str">
        <x:v>출시 후</x:v>
      </x:c>
      <x:c r="J8" s="36" t="str">
        <x:v>P1</x:v>
      </x:c>
      <x:c r="K8" s="36" t="str">
        <x:v>조건부</x:v>
      </x:c>
      <x:c r="L8" s="36" t="str">
        <x:v>데이터 무결성</x:v>
      </x:c>
      <x:c r="M8" s="36" t="str">
        <x:v>출시 후</x:v>
      </x:c>
      <x:c r="N8" s="36" t="str">
        <x:v>백엔드·라이브 운영</x:v>
      </x:c>
      <x:c r="O8" s="36" t="str">
        <x:v>미정</x:v>
      </x:c>
      <x:c r="P8" s="36" t="str">
        <x:v>미정</x:v>
      </x:c>
      <x:c r="Q8" s="36" t="str">
        <x:v>백엔드</x:v>
      </x:c>
      <x:c r="R8" s="36" t="str">
        <x:v>백엔드 권한</x:v>
      </x:c>
      <x:c r="S8" s="36" t="str">
        <x:v>계정</x:v>
      </x:c>
      <x:c r="T8" s="36" t="str">
        <x:v>L</x:v>
      </x:c>
      <x:c r="U8" s="36" t="str">
        <x:v>미착수</x:v>
      </x:c>
      <x:c r="V8" s="46" t="n">
        <x:f>IF(U8="완료",1,IF(U8="QA 진행 중",0.8,IF(U8="코드 리뷰",0.65,IF(U8="구현 중",0.4,IF(U8="사양 확인 중",0.1,IF(U8="차단",0.4,0))))))</x:f>
        <x:v>0</x:v>
      </x:c>
      <x:c r="W8" s="36" t="str">
        <x:v>미정</x:v>
      </x:c>
      <x:c r="X8" s="44"/>
      <x:c r="Y8" s="36" t="str">
        <x:v>BED-006,BED-004</x:v>
      </x:c>
      <x:c r="Z8" s="36" t="str">
        <x:v>중간</x:v>
      </x:c>
      <x:c r="AA8" s="36" t="str">
        <x:v>보안</x:v>
      </x:c>
      <x:c r="AB8" s="36" t="str">
        <x:v>TC-BED-007-01</x:v>
      </x:c>
      <x:c r="AC8" s="36"/>
      <x:c r="AD8" s="36" t="str">
        <x:v>게임 기획서</x:v>
      </x:c>
      <x:c r="AE8" s="36"/>
      <x:c r="AF8" s="44" t="str">
        <x:v>2026-07-10</x:v>
      </x:c>
      <x:c r="AG8" s="36"/>
      <x:c r="AH8" s="54"/>
      <x:c r="AI8" s="54"/>
      <x:c r="AJ8" s="53" t="str">
        <x:v>착수 전</x:v>
      </x:c>
    </x:row>
    <x:row r="9" ht="42" customHeight="1">
      <x:c r="A9" s="36" t="str">
        <x:v>BED-008</x:v>
      </x:c>
      <x:c r="B9" s="36" t="str">
        <x:v>백엔드·데이터·모더레이션</x:v>
      </x:c>
      <x:c r="C9" s="36" t="str">
        <x:v>텔레메트리</x:v>
      </x:c>
      <x:c r="D9" s="36" t="str">
        <x:v>게임플레이 이벤트</x:v>
      </x:c>
      <x:c r="E9" s="36" t="str">
        <x:v>게임플레이·UX·네트워크 이벤트 수집</x:v>
      </x:c>
      <x:c r="F9" s="36" t="str">
        <x:v>게임 규칙, 운영 요구사항과 대상 플랫폼 제약을 충족하도록 게임플레이·UX·네트워크 이벤트 수집 기능을 구현하고 검증한다.</x:v>
      </x:c>
      <x:c r="G9" s="36" t="str">
        <x:v>페이즈, 메모 작성·부착, 투표, 최종 재판, 이탈, 연결 품질을 버전 있는 이벤트로 수집하고 비공개 정보와 개인 정보는 최소화한다.</x:v>
      </x:c>
      <x:c r="H9" s="36" t="str">
        <x:v>구현, 코드 리뷰, 사양 갱신, 대상 QA 케이스 실행, 로그·텔레메트리 확인과 관련 플랫폼 검증을 완료하고 미해결 P0·P1 결함이 없다.</x:v>
      </x:c>
      <x:c r="I9" s="36" t="str">
        <x:v>알파</x:v>
      </x:c>
      <x:c r="J9" s="36" t="str">
        <x:v>P0</x:v>
      </x:c>
      <x:c r="K9" s="36" t="str">
        <x:v>필수</x:v>
      </x:c>
      <x:c r="L9" s="36" t="str">
        <x:v>분석</x:v>
      </x:c>
      <x:c r="M9" s="36" t="str">
        <x:v>알파</x:v>
      </x:c>
      <x:c r="N9" s="36" t="str">
        <x:v>백엔드·라이브 운영</x:v>
      </x:c>
      <x:c r="O9" s="36" t="str">
        <x:v>미정</x:v>
      </x:c>
      <x:c r="P9" s="36" t="str">
        <x:v>미정</x:v>
      </x:c>
      <x:c r="Q9" s="36" t="str">
        <x:v>백엔드</x:v>
      </x:c>
      <x:c r="R9" s="36" t="str">
        <x:v>백엔드 권한</x:v>
      </x:c>
      <x:c r="S9" s="36" t="str">
        <x:v>백엔드</x:v>
      </x:c>
      <x:c r="T9" s="36" t="str">
        <x:v>XL</x:v>
      </x:c>
      <x:c r="U9" s="36" t="str">
        <x:v>미착수</x:v>
      </x:c>
      <x:c r="V9" s="46" t="n">
        <x:f>IF(U9="완료",1,IF(U9="QA 진행 중",0.8,IF(U9="코드 리뷰",0.65,IF(U9="구현 중",0.4,IF(U9="사양 확인 중",0.1,IF(U9="차단",0.4,0))))))</x:f>
        <x:v>0</x:v>
      </x:c>
      <x:c r="W9" s="36" t="str">
        <x:v>미정</x:v>
      </x:c>
      <x:c r="X9" s="44"/>
      <x:c r="Y9" s="36" t="str">
        <x:v>NET-023,IGM-001</x:v>
      </x:c>
      <x:c r="Z9" s="36" t="str">
        <x:v>중간</x:v>
      </x:c>
      <x:c r="AA9" s="36" t="str">
        <x:v>운영</x:v>
      </x:c>
      <x:c r="AB9" s="36" t="str">
        <x:v>TC-BED-008-01, TC-BED-008-02</x:v>
      </x:c>
      <x:c r="AC9" s="36"/>
      <x:c r="AD9" s="36" t="str">
        <x:v>게임 기획서</x:v>
      </x:c>
      <x:c r="AE9" s="36"/>
      <x:c r="AF9" s="44" t="str">
        <x:v>2026-07-10</x:v>
      </x:c>
      <x:c r="AG9" s="36"/>
      <x:c r="AH9" s="54"/>
      <x:c r="AI9" s="54"/>
      <x:c r="AJ9" s="53" t="str">
        <x:v>착수 전</x:v>
      </x:c>
    </x:row>
    <x:row r="10" ht="42" customHeight="1">
      <x:c r="A10" s="36" t="str">
        <x:v>BED-009</x:v>
      </x:c>
      <x:c r="B10" s="36" t="str">
        <x:v>백엔드·데이터·모더레이션</x:v>
      </x:c>
      <x:c r="C10" s="36" t="str">
        <x:v>안전</x:v>
      </x:c>
      <x:c r="D10" s="36" t="str">
        <x:v>신고·음소거·차단</x:v>
      </x:c>
      <x:c r="E10" s="36" t="str">
        <x:v>신고·음소거·차단 기반</x:v>
      </x:c>
      <x:c r="F10" s="36" t="str">
        <x:v>게임 규칙, 운영 요구사항과 대상 플랫폼 제약을 충족하도록 신고·음소거·차단 기반 기능을 구현하고 검증한다.</x:v>
      </x:c>
      <x:c r="G10" s="36" t="str">
        <x:v>매치 중 또는 종료 후 플레이어를 신고하고 로컬 음소거와 계정 차단을 적용할 수 있으며 대상 매치 ID와 사유 코드를 저장한다.</x:v>
      </x:c>
      <x:c r="H10" s="36" t="str">
        <x:v>구현, 코드 리뷰, 사양 갱신, 대상 QA 케이스 실행, 로그·텔레메트리 확인과 관련 플랫폼 검증을 완료하고 미해결 P0·P1 결함이 없다.</x:v>
      </x:c>
      <x:c r="I10" s="36" t="str">
        <x:v>베타</x:v>
      </x:c>
      <x:c r="J10" s="36" t="str">
        <x:v>P0</x:v>
      </x:c>
      <x:c r="K10" s="36" t="str">
        <x:v>필수</x:v>
      </x:c>
      <x:c r="L10" s="36" t="str">
        <x:v>안전</x:v>
      </x:c>
      <x:c r="M10" s="36" t="str">
        <x:v>베타</x:v>
      </x:c>
      <x:c r="N10" s="36" t="str">
        <x:v>백엔드·라이브 운영</x:v>
      </x:c>
      <x:c r="O10" s="36" t="str">
        <x:v>미정</x:v>
      </x:c>
      <x:c r="P10" s="36" t="str">
        <x:v>미정</x:v>
      </x:c>
      <x:c r="Q10" s="36" t="str">
        <x:v>백엔드</x:v>
      </x:c>
      <x:c r="R10" s="36" t="str">
        <x:v>백엔드 권한</x:v>
      </x:c>
      <x:c r="S10" s="36" t="str">
        <x:v>감사 로그</x:v>
      </x:c>
      <x:c r="T10" s="36" t="str">
        <x:v>XL</x:v>
      </x:c>
      <x:c r="U10" s="36" t="str">
        <x:v>미착수</x:v>
      </x:c>
      <x:c r="V10" s="46" t="n">
        <x:f>IF(U10="완료",1,IF(U10="QA 진행 중",0.8,IF(U10="코드 리뷰",0.65,IF(U10="구현 중",0.4,IF(U10="사양 확인 중",0.1,IF(U10="차단",0.4,0))))))</x:f>
        <x:v>0</x:v>
      </x:c>
      <x:c r="W10" s="36" t="str">
        <x:v>미정</x:v>
      </x:c>
      <x:c r="X10" s="44"/>
      <x:c r="Y10" s="36" t="str">
        <x:v>BED-002,AUD-011,UIX-024</x:v>
      </x:c>
      <x:c r="Z10" s="36" t="str">
        <x:v>중간</x:v>
      </x:c>
      <x:c r="AA10" s="36" t="str">
        <x:v>운영</x:v>
      </x:c>
      <x:c r="AB10" s="36" t="str">
        <x:v>TC-BED-009-01, TC-BED-009-02</x:v>
      </x:c>
      <x:c r="AC10" s="36"/>
      <x:c r="AD10" s="36" t="str">
        <x:v>게임 기획서</x:v>
      </x:c>
      <x:c r="AE10" s="36"/>
      <x:c r="AF10" s="44" t="str">
        <x:v>2026-07-10</x:v>
      </x:c>
      <x:c r="AG10" s="36"/>
      <x:c r="AH10" s="54"/>
      <x:c r="AI10" s="54"/>
      <x:c r="AJ10" s="53" t="str">
        <x:v>착수 전</x:v>
      </x:c>
    </x:row>
    <x:row r="11" ht="42" customHeight="1">
      <x:c r="A11" s="36" t="str">
        <x:v>BED-010</x:v>
      </x:c>
      <x:c r="B11" s="36" t="str">
        <x:v>백엔드·데이터·모더레이션</x:v>
      </x:c>
      <x:c r="C11" s="36" t="str">
        <x:v>안전</x:v>
      </x:c>
      <x:c r="D11" s="36" t="str">
        <x:v>텍스트 모더레이션</x:v>
      </x:c>
      <x:c r="E11" s="36" t="str">
        <x:v>자유 텍스트·표시 이름 모더레이션</x:v>
      </x:c>
      <x:c r="F11" s="36" t="str">
        <x:v>게임 규칙, 운영 요구사항과 대상 플랫폼 제약을 충족하도록 자유 텍스트·표시 이름 모더레이션 기능을 구현하고 검증한다.</x:v>
      </x:c>
      <x:c r="G11" s="36" t="str">
        <x:v>표시 이름과 향후 자유 입력을 금칙어, 개인 정보, 스팸, 지역 요건으로 검사하되 MVP 프리셋 문구에는 불필요한 오탐을 적용하지 않는다.</x:v>
      </x:c>
      <x:c r="H11" s="36" t="str">
        <x:v>구현, 코드 리뷰, 사양 갱신, 대상 QA 케이스 실행, 로그·텔레메트리 확인과 관련 플랫폼 검증을 완료하고 미해결 P0·P1 결함이 없다.</x:v>
      </x:c>
      <x:c r="I11" s="36" t="str">
        <x:v>출시</x:v>
      </x:c>
      <x:c r="J11" s="36" t="str">
        <x:v>P0</x:v>
      </x:c>
      <x:c r="K11" s="36" t="str">
        <x:v>필수</x:v>
      </x:c>
      <x:c r="L11" s="36" t="str">
        <x:v>안전</x:v>
      </x:c>
      <x:c r="M11" s="36" t="str">
        <x:v>출시</x:v>
      </x:c>
      <x:c r="N11" s="36" t="str">
        <x:v>백엔드·라이브 운영</x:v>
      </x:c>
      <x:c r="O11" s="36" t="str">
        <x:v>미정</x:v>
      </x:c>
      <x:c r="P11" s="36" t="str">
        <x:v>미정</x:v>
      </x:c>
      <x:c r="Q11" s="36" t="str">
        <x:v>백엔드</x:v>
      </x:c>
      <x:c r="R11" s="36" t="str">
        <x:v>백엔드 권한</x:v>
      </x:c>
      <x:c r="S11" s="36" t="str">
        <x:v>감사 로그</x:v>
      </x:c>
      <x:c r="T11" s="36" t="str">
        <x:v>L</x:v>
      </x:c>
      <x:c r="U11" s="36" t="str">
        <x:v>미착수</x:v>
      </x:c>
      <x:c r="V11" s="46" t="n">
        <x:f>IF(U11="완료",1,IF(U11="QA 진행 중",0.8,IF(U11="코드 리뷰",0.65,IF(U11="구현 중",0.4,IF(U11="사양 확인 중",0.1,IF(U11="차단",0.4,0))))))</x:f>
        <x:v>0</x:v>
      </x:c>
      <x:c r="W11" s="36" t="str">
        <x:v>미정</x:v>
      </x:c>
      <x:c r="X11" s="44"/>
      <x:c r="Y11" s="36" t="str">
        <x:v>BED-009,SET-016</x:v>
      </x:c>
      <x:c r="Z11" s="36" t="str">
        <x:v>중간</x:v>
      </x:c>
      <x:c r="AA11" s="36" t="str">
        <x:v>보안</x:v>
      </x:c>
      <x:c r="AB11" s="36" t="str">
        <x:v>TC-BED-010-01, TC-BED-010-02</x:v>
      </x:c>
      <x:c r="AC11" s="36"/>
      <x:c r="AD11" s="36" t="str">
        <x:v>게임 기획서</x:v>
      </x:c>
      <x:c r="AE11" s="36"/>
      <x:c r="AF11" s="44" t="str">
        <x:v>2026-07-10</x:v>
      </x:c>
      <x:c r="AG11" s="36"/>
      <x:c r="AH11" s="54"/>
      <x:c r="AI11" s="54"/>
      <x:c r="AJ11" s="53" t="str">
        <x:v>착수 전</x:v>
      </x:c>
    </x:row>
    <x:row r="12" ht="42" customHeight="1">
      <x:c r="A12" s="36" t="str">
        <x:v>BED-011</x:v>
      </x:c>
      <x:c r="B12" s="36" t="str">
        <x:v>백엔드·데이터·모더레이션</x:v>
      </x:c>
      <x:c r="C12" s="36" t="str">
        <x:v>안전</x:v>
      </x:c>
      <x:c r="D12" s="36" t="str">
        <x:v>음성 증거</x:v>
      </x:c>
      <x:c r="E12" s="36" t="str">
        <x:v>음성 신고 메타데이터·증거 정책</x:v>
      </x:c>
      <x:c r="F12" s="36" t="str">
        <x:v>게임 규칙, 운영 요구사항과 대상 플랫폼 제약을 충족하도록 음성 신고 메타데이터·증거 정책 기능을 구현하고 검증한다.</x:v>
      </x:c>
      <x:c r="G12" s="36" t="str">
        <x:v>음성 녹음 여부, 사용자 동의, 보관 기간, 암호화, 접근 권한, 삭제 정책을 법무 승인하고 녹음하지 않더라도 세션 메타데이터를 신고와 연결한다.</x:v>
      </x:c>
      <x:c r="H12" s="36" t="str">
        <x:v>구현, 코드 리뷰, 사양 갱신, 대상 QA 케이스 실행, 로그·텔레메트리 확인과 관련 플랫폼 검증을 완료하고 미해결 P0·P1 결함이 없다.</x:v>
      </x:c>
      <x:c r="I12" s="36" t="str">
        <x:v>출시</x:v>
      </x:c>
      <x:c r="J12" s="36" t="str">
        <x:v>P0</x:v>
      </x:c>
      <x:c r="K12" s="36" t="str">
        <x:v>필수</x:v>
      </x:c>
      <x:c r="L12" s="36" t="str">
        <x:v>개인정보</x:v>
      </x:c>
      <x:c r="M12" s="36" t="str">
        <x:v>출시</x:v>
      </x:c>
      <x:c r="N12" s="36" t="str">
        <x:v>백엔드·라이브 운영</x:v>
      </x:c>
      <x:c r="O12" s="36" t="str">
        <x:v>미정</x:v>
      </x:c>
      <x:c r="P12" s="36" t="str">
        <x:v>미정</x:v>
      </x:c>
      <x:c r="Q12" s="36" t="str">
        <x:v>백엔드</x:v>
      </x:c>
      <x:c r="R12" s="36" t="str">
        <x:v>백엔드 권한</x:v>
      </x:c>
      <x:c r="S12" s="36" t="str">
        <x:v>감사 로그</x:v>
      </x:c>
      <x:c r="T12" s="36" t="str">
        <x:v>XL</x:v>
      </x:c>
      <x:c r="U12" s="36" t="str">
        <x:v>미착수</x:v>
      </x:c>
      <x:c r="V12" s="46" t="n">
        <x:f>IF(U12="완료",1,IF(U12="QA 진행 중",0.8,IF(U12="코드 리뷰",0.65,IF(U12="구현 중",0.4,IF(U12="사양 확인 중",0.1,IF(U12="차단",0.4,0))))))</x:f>
        <x:v>0</x:v>
      </x:c>
      <x:c r="W12" s="36" t="str">
        <x:v>미정</x:v>
      </x:c>
      <x:c r="X12" s="44"/>
      <x:c r="Y12" s="36" t="str">
        <x:v>BED-009,BED-012,AUD-012</x:v>
      </x:c>
      <x:c r="Z12" s="36" t="str">
        <x:v>중간</x:v>
      </x:c>
      <x:c r="AA12" s="36" t="str">
        <x:v>운영</x:v>
      </x:c>
      <x:c r="AB12" s="36" t="str">
        <x:v>TC-BED-011-01, TC-BED-011-02</x:v>
      </x:c>
      <x:c r="AC12" s="36"/>
      <x:c r="AD12" s="36" t="str">
        <x:v>게임 기획서</x:v>
      </x:c>
      <x:c r="AE12" s="36"/>
      <x:c r="AF12" s="44" t="str">
        <x:v>2026-07-10</x:v>
      </x:c>
      <x:c r="AG12" s="36" t="str">
        <x:v>지역별 법무 검토가 필수다.</x:v>
      </x:c>
      <x:c r="AH12" s="54"/>
      <x:c r="AI12" s="54"/>
      <x:c r="AJ12" s="53" t="str">
        <x:v>착수 전</x:v>
      </x:c>
    </x:row>
    <x:row r="13" ht="42" customHeight="1">
      <x:c r="A13" s="36" t="str">
        <x:v>BED-012</x:v>
      </x:c>
      <x:c r="B13" s="36" t="str">
        <x:v>백엔드·데이터·모더레이션</x:v>
      </x:c>
      <x:c r="C13" s="36" t="str">
        <x:v>개인정보</x:v>
      </x:c>
      <x:c r="D13" s="36" t="str">
        <x:v>동의</x:v>
      </x:c>
      <x:c r="E13" s="36" t="str">
        <x:v>음성·텔레메트리·개인정보 동의 관리</x:v>
      </x:c>
      <x:c r="F13" s="36" t="str">
        <x:v>게임 규칙, 운영 요구사항과 대상 플랫폼 제약을 충족하도록 음성·텔레메트리·개인정보 동의 관리 기능을 구현하고 검증한다.</x:v>
      </x:c>
      <x:c r="G13" s="36" t="str">
        <x:v>동의 문구 버전, 지역, 시각, 철회 상태를 기록하고 동의 전에는 관련 기능을 시작하지 않는다. 문구가 변경되면 재동의를 요청할 수 있다.</x:v>
      </x:c>
      <x:c r="H13" s="36" t="str">
        <x:v>구현, 코드 리뷰, 사양 갱신, 대상 QA 케이스 실행, 로그·텔레메트리 확인과 관련 플랫폼 검증을 완료하고 미해결 P0·P1 결함이 없다.</x:v>
      </x:c>
      <x:c r="I13" s="36" t="str">
        <x:v>출시</x:v>
      </x:c>
      <x:c r="J13" s="36" t="str">
        <x:v>P0</x:v>
      </x:c>
      <x:c r="K13" s="36" t="str">
        <x:v>필수</x:v>
      </x:c>
      <x:c r="L13" s="36" t="str">
        <x:v>개인정보</x:v>
      </x:c>
      <x:c r="M13" s="36" t="str">
        <x:v>출시</x:v>
      </x:c>
      <x:c r="N13" s="36" t="str">
        <x:v>백엔드·라이브 운영</x:v>
      </x:c>
      <x:c r="O13" s="36" t="str">
        <x:v>미정</x:v>
      </x:c>
      <x:c r="P13" s="36" t="str">
        <x:v>미정</x:v>
      </x:c>
      <x:c r="Q13" s="36" t="str">
        <x:v>백엔드</x:v>
      </x:c>
      <x:c r="R13" s="36" t="str">
        <x:v>백엔드 권한</x:v>
      </x:c>
      <x:c r="S13" s="36" t="str">
        <x:v>감사 로그</x:v>
      </x:c>
      <x:c r="T13" s="36" t="str">
        <x:v>L</x:v>
      </x:c>
      <x:c r="U13" s="36" t="str">
        <x:v>미착수</x:v>
      </x:c>
      <x:c r="V13" s="46" t="n">
        <x:f>IF(U13="완료",1,IF(U13="QA 진행 중",0.8,IF(U13="코드 리뷰",0.65,IF(U13="구현 중",0.4,IF(U13="사양 확인 중",0.1,IF(U13="차단",0.4,0))))))</x:f>
        <x:v>0</x:v>
      </x:c>
      <x:c r="W13" s="36" t="str">
        <x:v>미정</x:v>
      </x:c>
      <x:c r="X13" s="44"/>
      <x:c r="Y13" s="36" t="str">
        <x:v>BED-001</x:v>
      </x:c>
      <x:c r="Z13" s="36" t="str">
        <x:v>중간</x:v>
      </x:c>
      <x:c r="AA13" s="36" t="str">
        <x:v>운영</x:v>
      </x:c>
      <x:c r="AB13" s="36" t="str">
        <x:v>TC-BED-012-01, TC-BED-012-02</x:v>
      </x:c>
      <x:c r="AC13" s="36"/>
      <x:c r="AD13" s="36" t="str">
        <x:v>게임 기획서</x:v>
      </x:c>
      <x:c r="AE13" s="36"/>
      <x:c r="AF13" s="44" t="str">
        <x:v>2026-07-10</x:v>
      </x:c>
      <x:c r="AG13" s="36"/>
      <x:c r="AH13" s="54"/>
      <x:c r="AI13" s="54"/>
      <x:c r="AJ13" s="53" t="str">
        <x:v>착수 전</x:v>
      </x:c>
    </x:row>
    <x:row r="14" ht="42" customHeight="1">
      <x:c r="A14" s="36" t="str">
        <x:v>BED-013</x:v>
      </x:c>
      <x:c r="B14" s="36" t="str">
        <x:v>백엔드·데이터·모더레이션</x:v>
      </x:c>
      <x:c r="C14" s="36" t="str">
        <x:v>개인정보</x:v>
      </x:c>
      <x:c r="D14" s="36" t="str">
        <x:v>연령·지역</x:v>
      </x:c>
      <x:c r="E14" s="36" t="str">
        <x:v>연령·지역·보호자·크로스플레이 제한</x:v>
      </x:c>
      <x:c r="F14" s="36" t="str">
        <x:v>게임 규칙, 운영 요구사항과 대상 플랫폼 제약을 충족하도록 연령·지역·보호자·크로스플레이 제한 기능을 구현하고 검증한다.</x:v>
      </x:c>
      <x:c r="G14" s="36" t="str">
        <x:v>플랫폼 제공 정보와 동의 상태를 기준으로 음성, 텍스트, 초대, UGC, 상점을 제어하고 실제 연령 정보는 게임 클라이언트로 전송하지 않는다.</x:v>
      </x:c>
      <x:c r="H14" s="36" t="str">
        <x:v>구현, 코드 리뷰, 사양 갱신, 대상 QA 케이스 실행, 로그·텔레메트리 확인과 관련 플랫폼 검증을 완료하고 미해결 P0·P1 결함이 없다.</x:v>
      </x:c>
      <x:c r="I14" s="36" t="str">
        <x:v>출시</x:v>
      </x:c>
      <x:c r="J14" s="36" t="str">
        <x:v>P0</x:v>
      </x:c>
      <x:c r="K14" s="36" t="str">
        <x:v>필수</x:v>
      </x:c>
      <x:c r="L14" s="36" t="str">
        <x:v>안전</x:v>
      </x:c>
      <x:c r="M14" s="36" t="str">
        <x:v>출시</x:v>
      </x:c>
      <x:c r="N14" s="36" t="str">
        <x:v>백엔드·라이브 운영</x:v>
      </x:c>
      <x:c r="O14" s="36" t="str">
        <x:v>미정</x:v>
      </x:c>
      <x:c r="P14" s="36" t="str">
        <x:v>미정</x:v>
      </x:c>
      <x:c r="Q14" s="36" t="str">
        <x:v>백엔드</x:v>
      </x:c>
      <x:c r="R14" s="36" t="str">
        <x:v>백엔드 권한</x:v>
      </x:c>
      <x:c r="S14" s="36" t="str">
        <x:v>계정</x:v>
      </x:c>
      <x:c r="T14" s="36" t="str">
        <x:v>XL</x:v>
      </x:c>
      <x:c r="U14" s="36" t="str">
        <x:v>미착수</x:v>
      </x:c>
      <x:c r="V14" s="46" t="n">
        <x:f>IF(U14="완료",1,IF(U14="QA 진행 중",0.8,IF(U14="코드 리뷰",0.65,IF(U14="구현 중",0.4,IF(U14="사양 확인 중",0.1,IF(U14="차단",0.4,0))))))</x:f>
        <x:v>0</x:v>
      </x:c>
      <x:c r="W14" s="36" t="str">
        <x:v>미정</x:v>
      </x:c>
      <x:c r="X14" s="44"/>
      <x:c r="Y14" s="36" t="str">
        <x:v>BED-001,BED-012</x:v>
      </x:c>
      <x:c r="Z14" s="36" t="str">
        <x:v>중간</x:v>
      </x:c>
      <x:c r="AA14" s="36" t="str">
        <x:v>보안</x:v>
      </x:c>
      <x:c r="AB14" s="36" t="str">
        <x:v>TC-BED-013-01, TC-BED-013-02</x:v>
      </x:c>
      <x:c r="AC14" s="36"/>
      <x:c r="AD14" s="36" t="str">
        <x:v>게임 기획서</x:v>
      </x:c>
      <x:c r="AE14" s="36"/>
      <x:c r="AF14" s="44" t="str">
        <x:v>2026-07-10</x:v>
      </x:c>
      <x:c r="AG14" s="36"/>
      <x:c r="AH14" s="54"/>
      <x:c r="AI14" s="54"/>
      <x:c r="AJ14" s="53" t="str">
        <x:v>착수 전</x:v>
      </x:c>
    </x:row>
    <x:row r="15" ht="42" customHeight="1">
      <x:c r="A15" s="36" t="str">
        <x:v>BED-014</x:v>
      </x:c>
      <x:c r="B15" s="36" t="str">
        <x:v>백엔드·데이터·모더레이션</x:v>
      </x:c>
      <x:c r="C15" s="36" t="str">
        <x:v>개인정보</x:v>
      </x:c>
      <x:c r="D15" s="36" t="str">
        <x:v>보존·삭제</x:v>
      </x:c>
      <x:c r="E15" s="36" t="str">
        <x:v>데이터 보관·내보내기·삭제 요청</x:v>
      </x:c>
      <x:c r="F15" s="36" t="str">
        <x:v>게임 규칙, 운영 요구사항과 대상 플랫폼 제약을 충족하도록 데이터 보관·내보내기·삭제 요청 기능을 구현하고 검증한다.</x:v>
      </x:c>
      <x:c r="G15" s="36" t="str">
        <x:v>데이터 분류별 보관 기간을 적용하고 접근, 내보내기, 삭제 요청을 감사 가능하게 처리한다. 법적 보존 대상 데이터는 분리한다.</x:v>
      </x:c>
      <x:c r="H15" s="36" t="str">
        <x:v>구현, 코드 리뷰, 사양 갱신, 대상 QA 케이스 실행, 로그·텔레메트리 확인과 관련 플랫폼 검증을 완료하고 미해결 P0·P1 결함이 없다.</x:v>
      </x:c>
      <x:c r="I15" s="36" t="str">
        <x:v>출시</x:v>
      </x:c>
      <x:c r="J15" s="36" t="str">
        <x:v>P0</x:v>
      </x:c>
      <x:c r="K15" s="36" t="str">
        <x:v>필수</x:v>
      </x:c>
      <x:c r="L15" s="36" t="str">
        <x:v>개인정보</x:v>
      </x:c>
      <x:c r="M15" s="36" t="str">
        <x:v>출시</x:v>
      </x:c>
      <x:c r="N15" s="36" t="str">
        <x:v>백엔드·라이브 운영</x:v>
      </x:c>
      <x:c r="O15" s="36" t="str">
        <x:v>미정</x:v>
      </x:c>
      <x:c r="P15" s="36" t="str">
        <x:v>미정</x:v>
      </x:c>
      <x:c r="Q15" s="36" t="str">
        <x:v>백엔드</x:v>
      </x:c>
      <x:c r="R15" s="36" t="str">
        <x:v>백엔드 권한</x:v>
      </x:c>
      <x:c r="S15" s="36" t="str">
        <x:v>백엔드</x:v>
      </x:c>
      <x:c r="T15" s="36" t="str">
        <x:v>XL</x:v>
      </x:c>
      <x:c r="U15" s="36" t="str">
        <x:v>미착수</x:v>
      </x:c>
      <x:c r="V15" s="46" t="n">
        <x:f>IF(U15="완료",1,IF(U15="QA 진행 중",0.8,IF(U15="코드 리뷰",0.65,IF(U15="구현 중",0.4,IF(U15="사양 확인 중",0.1,IF(U15="차단",0.4,0))))))</x:f>
        <x:v>0</x:v>
      </x:c>
      <x:c r="W15" s="36" t="str">
        <x:v>미정</x:v>
      </x:c>
      <x:c r="X15" s="44"/>
      <x:c r="Y15" s="36" t="str">
        <x:v>BED-002,BED-006,BED-008,BED-009</x:v>
      </x:c>
      <x:c r="Z15" s="36" t="str">
        <x:v>중간</x:v>
      </x:c>
      <x:c r="AA15" s="36" t="str">
        <x:v>운영</x:v>
      </x:c>
      <x:c r="AB15" s="36" t="str">
        <x:v>TC-BED-014-01, TC-BED-014-02</x:v>
      </x:c>
      <x:c r="AC15" s="36"/>
      <x:c r="AD15" s="36" t="str">
        <x:v>게임 기획서</x:v>
      </x:c>
      <x:c r="AE15" s="36"/>
      <x:c r="AF15" s="44" t="str">
        <x:v>2026-07-10</x:v>
      </x:c>
      <x:c r="AG15" s="36"/>
      <x:c r="AH15" s="54"/>
      <x:c r="AI15" s="54"/>
      <x:c r="AJ15" s="53" t="str">
        <x:v>착수 전</x:v>
      </x:c>
    </x:row>
    <x:row r="16" ht="42" customHeight="1">
      <x:c r="A16" s="36" t="str">
        <x:v>BED-015</x:v>
      </x:c>
      <x:c r="B16" s="36" t="str">
        <x:v>백엔드·데이터·모더레이션</x:v>
      </x:c>
      <x:c r="C16" s="36" t="str">
        <x:v>라이브 설정</x:v>
      </x:c>
      <x:c r="D16" s="36" t="str">
        <x:v>버전형 설정</x:v>
      </x:c>
      <x:c r="E16" s="36" t="str">
        <x:v>게임 규칙·콘텐츠 설정 버전 배포</x:v>
      </x:c>
      <x:c r="F16" s="36" t="str">
        <x:v>게임 규칙, 운영 요구사항과 대상 플랫폼 제약을 충족하도록 게임 규칙·콘텐츠 설정 버전 배포 기능을 구현하고 검증한다.</x:v>
      </x:c>
      <x:c r="G16" s="36" t="str">
        <x:v>서명된 설정 버전을 환경, 빌드, 지역별로 배포하고 매치 시작 시 고정해 진행 중에는 변경하지 않는다. 과거 버전을 재현할 수 있다.</x:v>
      </x:c>
      <x:c r="H16" s="36" t="str">
        <x:v>구현, 코드 리뷰, 사양 갱신, 대상 QA 케이스 실행, 로그·텔레메트리 확인과 관련 플랫폼 검증을 완료하고 미해결 P0·P1 결함이 없다.</x:v>
      </x:c>
      <x:c r="I16" s="36" t="str">
        <x:v>MVP</x:v>
      </x:c>
      <x:c r="J16" s="36" t="str">
        <x:v>P0</x:v>
      </x:c>
      <x:c r="K16" s="36" t="str">
        <x:v>필수</x:v>
      </x:c>
      <x:c r="L16" s="36" t="str">
        <x:v>운영</x:v>
      </x:c>
      <x:c r="M16" s="36" t="str">
        <x:v>MVP</x:v>
      </x:c>
      <x:c r="N16" s="36" t="str">
        <x:v>백엔드·라이브 운영</x:v>
      </x:c>
      <x:c r="O16" s="36" t="str">
        <x:v>미정</x:v>
      </x:c>
      <x:c r="P16" s="36" t="str">
        <x:v>미정</x:v>
      </x:c>
      <x:c r="Q16" s="36" t="str">
        <x:v>백엔드</x:v>
      </x:c>
      <x:c r="R16" s="36" t="str">
        <x:v>백엔드 권한</x:v>
      </x:c>
      <x:c r="S16" s="36" t="str">
        <x:v>백엔드</x:v>
      </x:c>
      <x:c r="T16" s="36" t="str">
        <x:v>L</x:v>
      </x:c>
      <x:c r="U16" s="36" t="str">
        <x:v>미착수</x:v>
      </x:c>
      <x:c r="V16" s="46" t="n">
        <x:f>IF(U16="완료",1,IF(U16="QA 진행 중",0.8,IF(U16="코드 리뷰",0.65,IF(U16="구현 중",0.4,IF(U16="사양 확인 중",0.1,IF(U16="차단",0.4,0))))))</x:f>
        <x:v>0</x:v>
      </x:c>
      <x:c r="W16" s="36" t="str">
        <x:v>미정</x:v>
      </x:c>
      <x:c r="X16" s="44"/>
      <x:c r="Y16" s="36" t="str">
        <x:v>SET-001</x:v>
      </x:c>
      <x:c r="Z16" s="36" t="str">
        <x:v>중간</x:v>
      </x:c>
      <x:c r="AA16" s="36" t="str">
        <x:v>호환성</x:v>
      </x:c>
      <x:c r="AB16" s="36" t="str">
        <x:v>TC-BED-015-01, TC-BED-015-02</x:v>
      </x:c>
      <x:c r="AC16" s="36"/>
      <x:c r="AD16" s="36" t="str">
        <x:v>게임 기획서</x:v>
      </x:c>
      <x:c r="AE16" s="36"/>
      <x:c r="AF16" s="44" t="str">
        <x:v>2026-07-10</x:v>
      </x:c>
      <x:c r="AG16" s="36"/>
      <x:c r="AH16" s="54"/>
      <x:c r="AI16" s="54"/>
      <x:c r="AJ16" s="53" t="str">
        <x:v>착수 전</x:v>
      </x:c>
    </x:row>
    <x:row r="17" ht="42" customHeight="1">
      <x:c r="A17" s="36" t="str">
        <x:v>BED-016</x:v>
      </x:c>
      <x:c r="B17" s="36" t="str">
        <x:v>백엔드·데이터·모더레이션</x:v>
      </x:c>
      <x:c r="C17" s="36" t="str">
        <x:v>라이브 설정</x:v>
      </x:c>
      <x:c r="D17" s="36" t="str">
        <x:v>기능 플래그</x:v>
      </x:c>
      <x:c r="E17" s="36" t="str">
        <x:v>기능 플래그·단계 배포·긴급 중지</x:v>
      </x:c>
      <x:c r="F17" s="36" t="str">
        <x:v>게임 규칙, 운영 요구사항과 대상 플랫폼 제약을 충족하도록 기능 플래그·단계 배포·긴급 중지 기능을 구현하고 검증한다.</x:v>
      </x:c>
      <x:c r="G17" s="36" t="str">
        <x:v>기능을 환경, 플랫폼, 지역, 비율별로 전환하고 의존 기능이 준비되지 않은 조합을 막는다. 변경은 승인, 감사, 롤백할 수 있다.</x:v>
      </x:c>
      <x:c r="H17" s="36" t="str">
        <x:v>구현, 코드 리뷰, 사양 갱신, 대상 QA 케이스 실행, 로그·텔레메트리 확인과 관련 플랫폼 검증을 완료하고 미해결 P0·P1 결함이 없다.</x:v>
      </x:c>
      <x:c r="I17" s="36" t="str">
        <x:v>출시</x:v>
      </x:c>
      <x:c r="J17" s="36" t="str">
        <x:v>P0</x:v>
      </x:c>
      <x:c r="K17" s="36" t="str">
        <x:v>필수</x:v>
      </x:c>
      <x:c r="L17" s="36" t="str">
        <x:v>운영</x:v>
      </x:c>
      <x:c r="M17" s="36" t="str">
        <x:v>출시</x:v>
      </x:c>
      <x:c r="N17" s="36" t="str">
        <x:v>백엔드·라이브 운영</x:v>
      </x:c>
      <x:c r="O17" s="36" t="str">
        <x:v>미정</x:v>
      </x:c>
      <x:c r="P17" s="36" t="str">
        <x:v>미정</x:v>
      </x:c>
      <x:c r="Q17" s="36" t="str">
        <x:v>백엔드</x:v>
      </x:c>
      <x:c r="R17" s="36" t="str">
        <x:v>백엔드 권한</x:v>
      </x:c>
      <x:c r="S17" s="36" t="str">
        <x:v>감사 로그</x:v>
      </x:c>
      <x:c r="T17" s="36" t="str">
        <x:v>XL</x:v>
      </x:c>
      <x:c r="U17" s="36" t="str">
        <x:v>미착수</x:v>
      </x:c>
      <x:c r="V17" s="46" t="n">
        <x:f>IF(U17="완료",1,IF(U17="QA 진행 중",0.8,IF(U17="코드 리뷰",0.65,IF(U17="구현 중",0.4,IF(U17="사양 확인 중",0.1,IF(U17="차단",0.4,0))))))</x:f>
        <x:v>0</x:v>
      </x:c>
      <x:c r="W17" s="36" t="str">
        <x:v>미정</x:v>
      </x:c>
      <x:c r="X17" s="44"/>
      <x:c r="Y17" s="36" t="str">
        <x:v>BED-015</x:v>
      </x:c>
      <x:c r="Z17" s="36" t="str">
        <x:v>중간</x:v>
      </x:c>
      <x:c r="AA17" s="36" t="str">
        <x:v>보안</x:v>
      </x:c>
      <x:c r="AB17" s="36" t="str">
        <x:v>TC-BED-016-01, TC-BED-016-02</x:v>
      </x:c>
      <x:c r="AC17" s="36"/>
      <x:c r="AD17" s="36" t="str">
        <x:v>게임 기획서</x:v>
      </x:c>
      <x:c r="AE17" s="36"/>
      <x:c r="AF17" s="44" t="str">
        <x:v>2026-07-10</x:v>
      </x:c>
      <x:c r="AG17" s="36"/>
      <x:c r="AH17" s="54"/>
      <x:c r="AI17" s="54"/>
      <x:c r="AJ17" s="53" t="str">
        <x:v>착수 전</x:v>
      </x:c>
    </x:row>
    <x:row r="18" ht="42" customHeight="1">
      <x:c r="A18" s="36" t="str">
        <x:v>BED-017</x:v>
      </x:c>
      <x:c r="B18" s="36" t="str">
        <x:v>백엔드·데이터·모더레이션</x:v>
      </x:c>
      <x:c r="C18" s="36" t="str">
        <x:v>플랫폼 보호</x:v>
      </x:c>
      <x:c r="D18" s="36" t="str">
        <x:v>요청 제한</x:v>
      </x:c>
      <x:c r="E18" s="36" t="str">
        <x:v>서비스별 요청 제한·할당량</x:v>
      </x:c>
      <x:c r="F18" s="36" t="str">
        <x:v>게임 규칙, 운영 요구사항과 대상 플랫폼 제약을 충족하도록 서비스별 요청 제한·할당량 기능을 구현하고 검증한다.</x:v>
      </x:c>
      <x:c r="G18" s="36" t="str">
        <x:v>인증, 룸, 신고, 설정, 상점 API에 계정, IP, 기기 단위 제한을 적용하고 요청 제한 코드와 재시도 가능 시각을 반환한다.</x:v>
      </x:c>
      <x:c r="H18" s="36" t="str">
        <x:v>구현, 코드 리뷰, 사양 갱신, 대상 QA 케이스 실행, 로그·텔레메트리 확인과 관련 플랫폼 검증을 완료하고 미해결 P0·P1 결함이 없다.</x:v>
      </x:c>
      <x:c r="I18" s="36" t="str">
        <x:v>출시</x:v>
      </x:c>
      <x:c r="J18" s="36" t="str">
        <x:v>P0</x:v>
      </x:c>
      <x:c r="K18" s="36" t="str">
        <x:v>필수</x:v>
      </x:c>
      <x:c r="L18" s="36" t="str">
        <x:v>보안</x:v>
      </x:c>
      <x:c r="M18" s="36" t="str">
        <x:v>출시</x:v>
      </x:c>
      <x:c r="N18" s="36" t="str">
        <x:v>백엔드·라이브 운영</x:v>
      </x:c>
      <x:c r="O18" s="36" t="str">
        <x:v>미정</x:v>
      </x:c>
      <x:c r="P18" s="36" t="str">
        <x:v>미정</x:v>
      </x:c>
      <x:c r="Q18" s="36" t="str">
        <x:v>백엔드</x:v>
      </x:c>
      <x:c r="R18" s="36" t="str">
        <x:v>백엔드 권한</x:v>
      </x:c>
      <x:c r="S18" s="36" t="str">
        <x:v>감사 로그</x:v>
      </x:c>
      <x:c r="T18" s="36" t="str">
        <x:v>L</x:v>
      </x:c>
      <x:c r="U18" s="36" t="str">
        <x:v>미착수</x:v>
      </x:c>
      <x:c r="V18" s="46" t="n">
        <x:f>IF(U18="완료",1,IF(U18="QA 진행 중",0.8,IF(U18="코드 리뷰",0.65,IF(U18="구현 중",0.4,IF(U18="사양 확인 중",0.1,IF(U18="차단",0.4,0))))))</x:f>
        <x:v>0</x:v>
      </x:c>
      <x:c r="W18" s="36" t="str">
        <x:v>미정</x:v>
      </x:c>
      <x:c r="X18" s="44"/>
      <x:c r="Y18" s="36" t="str">
        <x:v>BED-001</x:v>
      </x:c>
      <x:c r="Z18" s="36" t="str">
        <x:v>중간</x:v>
      </x:c>
      <x:c r="AA18" s="36" t="str">
        <x:v>부하</x:v>
      </x:c>
      <x:c r="AB18" s="36" t="str">
        <x:v>TC-BED-017-01, TC-BED-017-02</x:v>
      </x:c>
      <x:c r="AC18" s="36"/>
      <x:c r="AD18" s="36" t="str">
        <x:v>게임 기획서</x:v>
      </x:c>
      <x:c r="AE18" s="36"/>
      <x:c r="AF18" s="44" t="str">
        <x:v>2026-07-10</x:v>
      </x:c>
      <x:c r="AG18" s="36"/>
      <x:c r="AH18" s="54"/>
      <x:c r="AI18" s="54"/>
      <x:c r="AJ18" s="53" t="str">
        <x:v>착수 전</x:v>
      </x:c>
    </x:row>
    <x:row r="19" ht="42" customHeight="1">
      <x:c r="A19" s="36" t="str">
        <x:v>BED-018</x:v>
      </x:c>
      <x:c r="B19" s="36" t="str">
        <x:v>백엔드·데이터·모더레이션</x:v>
      </x:c>
      <x:c r="C19" s="36" t="str">
        <x:v>관측성</x:v>
      </x:c>
      <x:c r="D19" s="36" t="str">
        <x:v>오류 카탈로그</x:v>
      </x:c>
      <x:c r="E19" s="36" t="str">
        <x:v>서비스 오류 코드·상관관계 ID</x:v>
      </x:c>
      <x:c r="F19" s="36" t="str">
        <x:v>게임 규칙, 운영 요구사항과 대상 플랫폼 제약을 충족하도록 서비스 오류 코드·상관관계 ID 기능을 구현하고 검증한다.</x:v>
      </x:c>
      <x:c r="G19" s="36" t="str">
        <x:v>모든 API가 기계 판독 코드, 사용자 표시 키, 재시도 가능 여부, 상관관계 ID를 반환해 로그, 클라이언트, 고객 지원에서 추적할 수 있다.</x:v>
      </x:c>
      <x:c r="H19" s="36" t="str">
        <x:v>구현, 코드 리뷰, 사양 갱신, 대상 QA 케이스 실행, 로그·텔레메트리 확인과 관련 플랫폼 검증을 완료하고 미해결 P0·P1 결함이 없다.</x:v>
      </x:c>
      <x:c r="I19" s="36" t="str">
        <x:v>MVP</x:v>
      </x:c>
      <x:c r="J19" s="36" t="str">
        <x:v>P0</x:v>
      </x:c>
      <x:c r="K19" s="36" t="str">
        <x:v>필수</x:v>
      </x:c>
      <x:c r="L19" s="36" t="str">
        <x:v>운영</x:v>
      </x:c>
      <x:c r="M19" s="36" t="str">
        <x:v>MVP</x:v>
      </x:c>
      <x:c r="N19" s="36" t="str">
        <x:v>백엔드·라이브 운영</x:v>
      </x:c>
      <x:c r="O19" s="36" t="str">
        <x:v>미정</x:v>
      </x:c>
      <x:c r="P19" s="36" t="str">
        <x:v>미정</x:v>
      </x:c>
      <x:c r="Q19" s="36" t="str">
        <x:v>백엔드</x:v>
      </x:c>
      <x:c r="R19" s="36" t="str">
        <x:v>백엔드 권한</x:v>
      </x:c>
      <x:c r="S19" s="36" t="str">
        <x:v>감사 로그</x:v>
      </x:c>
      <x:c r="T19" s="36" t="str">
        <x:v>M</x:v>
      </x:c>
      <x:c r="U19" s="36" t="str">
        <x:v>미착수</x:v>
      </x:c>
      <x:c r="V19" s="46" t="n">
        <x:f>IF(U19="완료",1,IF(U19="QA 진행 중",0.8,IF(U19="코드 리뷰",0.65,IF(U19="구현 중",0.4,IF(U19="사양 확인 중",0.1,IF(U19="차단",0.4,0))))))</x:f>
        <x:v>0</x:v>
      </x:c>
      <x:c r="W19" s="36" t="str">
        <x:v>미정</x:v>
      </x:c>
      <x:c r="X19" s="44"/>
      <x:c r="Y19" s="36" t="str">
        <x:v>BED-001</x:v>
      </x:c>
      <x:c r="Z19" s="36" t="str">
        <x:v>중간</x:v>
      </x:c>
      <x:c r="AA19" s="36" t="str">
        <x:v>운영</x:v>
      </x:c>
      <x:c r="AB19" s="36" t="str">
        <x:v>TC-BED-018-01, TC-BED-018-02</x:v>
      </x:c>
      <x:c r="AC19" s="36"/>
      <x:c r="AD19" s="36" t="str">
        <x:v>게임 기획서</x:v>
      </x:c>
      <x:c r="AE19" s="36"/>
      <x:c r="AF19" s="44" t="str">
        <x:v>2026-07-10</x:v>
      </x:c>
      <x:c r="AG19" s="36"/>
      <x:c r="AH19" s="54"/>
      <x:c r="AI19" s="54"/>
      <x:c r="AJ19" s="53" t="str">
        <x:v>착수 전</x:v>
      </x:c>
    </x:row>
    <x:row r="20" ht="42" customHeight="1">
      <x:c r="A20" s="36" t="str">
        <x:v>BED-019</x:v>
      </x:c>
      <x:c r="B20" s="36" t="str">
        <x:v>백엔드·데이터·모더레이션</x:v>
      </x:c>
      <x:c r="C20" s="36" t="str">
        <x:v>관측성</x:v>
      </x:c>
      <x:c r="D20" s="36" t="str">
        <x:v>상태·SLO</x:v>
      </x:c>
      <x:c r="E20" s="36" t="str">
        <x:v>서비스 상태·SLO·경보</x:v>
      </x:c>
      <x:c r="F20" s="36" t="str">
        <x:v>게임 규칙, 운영 요구사항과 대상 플랫폼 제약을 충족하도록 서비스 상태·SLO·경보 기능을 구현하고 검증한다.</x:v>
      </x:c>
      <x:c r="G20" s="36" t="str">
        <x:v>인증, 로비, 매치, 설정, 신고 서비스의 가용성, 지연, 오류율, 포화도를 모니터링하고 임계값 초과 시 담당자에게 알린다.</x:v>
      </x:c>
      <x:c r="H20" s="36" t="str">
        <x:v>구현, 코드 리뷰, 사양 갱신, 대상 QA 케이스 실행, 로그·텔레메트리 확인과 관련 플랫폼 검증을 완료하고 미해결 P0·P1 결함이 없다.</x:v>
      </x:c>
      <x:c r="I20" s="36" t="str">
        <x:v>릴리스 후보</x:v>
      </x:c>
      <x:c r="J20" s="36" t="str">
        <x:v>P0</x:v>
      </x:c>
      <x:c r="K20" s="36" t="str">
        <x:v>필수</x:v>
      </x:c>
      <x:c r="L20" s="36" t="str">
        <x:v>운영</x:v>
      </x:c>
      <x:c r="M20" s="36" t="str">
        <x:v>릴리스 후보</x:v>
      </x:c>
      <x:c r="N20" s="36" t="str">
        <x:v>백엔드·라이브 운영</x:v>
      </x:c>
      <x:c r="O20" s="36" t="str">
        <x:v>미정</x:v>
      </x:c>
      <x:c r="P20" s="36" t="str">
        <x:v>미정</x:v>
      </x:c>
      <x:c r="Q20" s="36" t="str">
        <x:v>백엔드</x:v>
      </x:c>
      <x:c r="R20" s="36" t="str">
        <x:v>백엔드 권한</x:v>
      </x:c>
      <x:c r="S20" s="36" t="str">
        <x:v>백엔드</x:v>
      </x:c>
      <x:c r="T20" s="36" t="str">
        <x:v>L</x:v>
      </x:c>
      <x:c r="U20" s="36" t="str">
        <x:v>미착수</x:v>
      </x:c>
      <x:c r="V20" s="46" t="n">
        <x:f>IF(U20="완료",1,IF(U20="QA 진행 중",0.8,IF(U20="코드 리뷰",0.65,IF(U20="구현 중",0.4,IF(U20="사양 확인 중",0.1,IF(U20="차단",0.4,0))))))</x:f>
        <x:v>0</x:v>
      </x:c>
      <x:c r="W20" s="36" t="str">
        <x:v>미정</x:v>
      </x:c>
      <x:c r="X20" s="44"/>
      <x:c r="Y20" s="36" t="str">
        <x:v>BED-018</x:v>
      </x:c>
      <x:c r="Z20" s="36" t="str">
        <x:v>중간</x:v>
      </x:c>
      <x:c r="AA20" s="36" t="str">
        <x:v>운영</x:v>
      </x:c>
      <x:c r="AB20" s="36" t="str">
        <x:v>TC-BED-019-01, TC-BED-019-02</x:v>
      </x:c>
      <x:c r="AC20" s="36"/>
      <x:c r="AD20" s="36" t="str">
        <x:v>게임 기획서</x:v>
      </x:c>
      <x:c r="AE20" s="36"/>
      <x:c r="AF20" s="44" t="str">
        <x:v>2026-07-10</x:v>
      </x:c>
      <x:c r="AG20" s="36"/>
      <x:c r="AH20" s="54"/>
      <x:c r="AI20" s="54"/>
      <x:c r="AJ20" s="53" t="str">
        <x:v>착수 전</x:v>
      </x:c>
    </x:row>
    <x:row r="21" ht="42" customHeight="1">
      <x:c r="A21" s="36" t="str">
        <x:v>BED-020</x:v>
      </x:c>
      <x:c r="B21" s="36" t="str">
        <x:v>백엔드·데이터·모더레이션</x:v>
      </x:c>
      <x:c r="C21" s="36" t="str">
        <x:v>관리 정책</x:v>
      </x:c>
      <x:c r="D21" s="36" t="str">
        <x:v>감사 로그</x:v>
      </x:c>
      <x:c r="E21" s="36" t="str">
        <x:v>관리 작업·권한 변경·제재 감사 로그</x:v>
      </x:c>
      <x:c r="F21" s="36" t="str">
        <x:v>게임 규칙, 운영 요구사항과 대상 플랫폼 제약을 충족하도록 관리 작업·권한 변경·제재 감사 로그 기능을 구현하고 검증한다.</x:v>
      </x:c>
      <x:c r="G21" s="36" t="str">
        <x:v>실행자, 대상, 작업, 사유, 변경 전후 값, 시각, 상관관계 ID를 변조 방지 로그에 저장하고 조회 권한을 제한한다.</x:v>
      </x:c>
      <x:c r="H21" s="36" t="str">
        <x:v>구현, 코드 리뷰, 사양 갱신, 대상 QA 케이스 실행, 로그·텔레메트리 확인과 관련 플랫폼 검증을 완료하고 미해결 P0·P1 결함이 없다.</x:v>
      </x:c>
      <x:c r="I21" s="36" t="str">
        <x:v>출시</x:v>
      </x:c>
      <x:c r="J21" s="36" t="str">
        <x:v>P0</x:v>
      </x:c>
      <x:c r="K21" s="36" t="str">
        <x:v>필수</x:v>
      </x:c>
      <x:c r="L21" s="36" t="str">
        <x:v>보안</x:v>
      </x:c>
      <x:c r="M21" s="36" t="str">
        <x:v>출시</x:v>
      </x:c>
      <x:c r="N21" s="36" t="str">
        <x:v>백엔드·라이브 운영</x:v>
      </x:c>
      <x:c r="O21" s="36" t="str">
        <x:v>미정</x:v>
      </x:c>
      <x:c r="P21" s="36" t="str">
        <x:v>미정</x:v>
      </x:c>
      <x:c r="Q21" s="36" t="str">
        <x:v>백엔드</x:v>
      </x:c>
      <x:c r="R21" s="36" t="str">
        <x:v>백엔드 권한</x:v>
      </x:c>
      <x:c r="S21" s="36" t="str">
        <x:v>감사 로그</x:v>
      </x:c>
      <x:c r="T21" s="36" t="str">
        <x:v>L</x:v>
      </x:c>
      <x:c r="U21" s="36" t="str">
        <x:v>미착수</x:v>
      </x:c>
      <x:c r="V21" s="46" t="n">
        <x:f>IF(U21="완료",1,IF(U21="QA 진행 중",0.8,IF(U21="코드 리뷰",0.65,IF(U21="구현 중",0.4,IF(U21="사양 확인 중",0.1,IF(U21="차단",0.4,0))))))</x:f>
        <x:v>0</x:v>
      </x:c>
      <x:c r="W21" s="36" t="str">
        <x:v>미정</x:v>
      </x:c>
      <x:c r="X21" s="44"/>
      <x:c r="Y21" s="36" t="str">
        <x:v>BED-002</x:v>
      </x:c>
      <x:c r="Z21" s="36" t="str">
        <x:v>중간</x:v>
      </x:c>
      <x:c r="AA21" s="36" t="str">
        <x:v>보안</x:v>
      </x:c>
      <x:c r="AB21" s="36" t="str">
        <x:v>TC-BED-020-01, TC-BED-020-02</x:v>
      </x:c>
      <x:c r="AC21" s="36"/>
      <x:c r="AD21" s="36" t="str">
        <x:v>게임 기획서</x:v>
      </x:c>
      <x:c r="AE21" s="36"/>
      <x:c r="AF21" s="44" t="str">
        <x:v>2026-07-10</x:v>
      </x:c>
      <x:c r="AG21" s="36"/>
      <x:c r="AH21" s="54"/>
      <x:c r="AI21" s="54"/>
      <x:c r="AJ21" s="53" t="str">
        <x:v>착수 전</x:v>
      </x:c>
    </x:row>
    <x:row r="22" ht="42" customHeight="1">
      <x:c r="A22" s="36" t="str">
        <x:v>BED-021</x:v>
      </x:c>
      <x:c r="B22" s="36" t="str">
        <x:v>백엔드·데이터·모더레이션</x:v>
      </x:c>
      <x:c r="C22" s="36" t="str">
        <x:v>운영</x:v>
      </x:c>
      <x:c r="D22" s="36" t="str">
        <x:v>관리 도구</x:v>
      </x:c>
      <x:c r="E22" s="36" t="str">
        <x:v>플레이어·매치·신고·설정 관리 도구</x:v>
      </x:c>
      <x:c r="F22" s="36" t="str">
        <x:v>게임 규칙, 운영 요구사항과 대상 플랫폼 제약을 충족하도록 플레이어·매치·신고·설정 관리 도구 기능을 구현하고 검증한다.</x:v>
      </x:c>
      <x:c r="G22" s="36" t="str">
        <x:v>역할 기반 권한, 검색, 상세 조회, 제재·해제, 설정 배포, 감사 로그 조회를 제공하고 위험 작업은 2단계 확인 또는 승인을 요구한다.</x:v>
      </x:c>
      <x:c r="H22" s="36" t="str">
        <x:v>구현, 코드 리뷰, 사양 갱신, 대상 QA 케이스 실행, 로그·텔레메트리 확인과 관련 플랫폼 검증을 완료하고 미해결 P0·P1 결함이 없다.</x:v>
      </x:c>
      <x:c r="I22" s="36" t="str">
        <x:v>출시</x:v>
      </x:c>
      <x:c r="J22" s="36" t="str">
        <x:v>P0</x:v>
      </x:c>
      <x:c r="K22" s="36" t="str">
        <x:v>필수</x:v>
      </x:c>
      <x:c r="L22" s="36" t="str">
        <x:v>운영</x:v>
      </x:c>
      <x:c r="M22" s="36" t="str">
        <x:v>출시</x:v>
      </x:c>
      <x:c r="N22" s="36" t="str">
        <x:v>백엔드·라이브 운영</x:v>
      </x:c>
      <x:c r="O22" s="36" t="str">
        <x:v>미정</x:v>
      </x:c>
      <x:c r="P22" s="36" t="str">
        <x:v>미정</x:v>
      </x:c>
      <x:c r="Q22" s="36" t="str">
        <x:v>웹·관리자</x:v>
      </x:c>
      <x:c r="R22" s="36" t="str">
        <x:v>백엔드 권한</x:v>
      </x:c>
      <x:c r="S22" s="36" t="str">
        <x:v>감사 로그</x:v>
      </x:c>
      <x:c r="T22" s="36" t="str">
        <x:v>XL</x:v>
      </x:c>
      <x:c r="U22" s="36" t="str">
        <x:v>미착수</x:v>
      </x:c>
      <x:c r="V22" s="46" t="n">
        <x:f>IF(U22="완료",1,IF(U22="QA 진행 중",0.8,IF(U22="코드 리뷰",0.65,IF(U22="구현 중",0.4,IF(U22="사양 확인 중",0.1,IF(U22="차단",0.4,0))))))</x:f>
        <x:v>0</x:v>
      </x:c>
      <x:c r="W22" s="36" t="str">
        <x:v>미정</x:v>
      </x:c>
      <x:c r="X22" s="44"/>
      <x:c r="Y22" s="36" t="str">
        <x:v>BED-006,BED-009,BED-016,BED-020</x:v>
      </x:c>
      <x:c r="Z22" s="36" t="str">
        <x:v>중간</x:v>
      </x:c>
      <x:c r="AA22" s="36" t="str">
        <x:v>보안</x:v>
      </x:c>
      <x:c r="AB22" s="36" t="str">
        <x:v>TC-BED-021-01, TC-BED-021-02</x:v>
      </x:c>
      <x:c r="AC22" s="36"/>
      <x:c r="AD22" s="36" t="str">
        <x:v>게임 기획서</x:v>
      </x:c>
      <x:c r="AE22" s="36"/>
      <x:c r="AF22" s="44" t="str">
        <x:v>2026-07-10</x:v>
      </x:c>
      <x:c r="AG22" s="36"/>
      <x:c r="AH22" s="54"/>
      <x:c r="AI22" s="54"/>
      <x:c r="AJ22" s="53" t="str">
        <x:v>착수 전</x:v>
      </x:c>
    </x:row>
    <x:row r="23" ht="42" customHeight="1">
      <x:c r="A23" s="36" t="str">
        <x:v>BED-022</x:v>
      </x:c>
      <x:c r="B23" s="36" t="str">
        <x:v>백엔드·데이터·모더레이션</x:v>
      </x:c>
      <x:c r="C23" s="36" t="str">
        <x:v>안전</x:v>
      </x:c>
      <x:c r="D23" s="36" t="str">
        <x:v>제재</x:v>
      </x:c>
      <x:c r="E23" s="36" t="str">
        <x:v>경고·일시 정지·영구 정지·이의 제기</x:v>
      </x:c>
      <x:c r="F23" s="36" t="str">
        <x:v>게임 규칙, 운영 요구사항과 대상 플랫폼 제약을 충족하도록 경고·일시 정지·영구 정지·이의 제기 기능을 구현하고 검증한다.</x:v>
      </x:c>
      <x:c r="G23" s="36" t="str">
        <x:v>제재 유형, 기간, 사유, 증거, 통지, 해제, 이의 제기를 관리하고 게임, 음성, 채팅, 상점 기능에 적절히 반영한다.</x:v>
      </x:c>
      <x:c r="H23" s="36" t="str">
        <x:v>구현, 코드 리뷰, 사양 갱신, 대상 QA 케이스 실행, 로그·텔레메트리 확인과 관련 플랫폼 검증을 완료하고 미해결 P0·P1 결함이 없다.</x:v>
      </x:c>
      <x:c r="I23" s="36" t="str">
        <x:v>출시</x:v>
      </x:c>
      <x:c r="J23" s="36" t="str">
        <x:v>P0</x:v>
      </x:c>
      <x:c r="K23" s="36" t="str">
        <x:v>필수</x:v>
      </x:c>
      <x:c r="L23" s="36" t="str">
        <x:v>안전</x:v>
      </x:c>
      <x:c r="M23" s="36" t="str">
        <x:v>출시</x:v>
      </x:c>
      <x:c r="N23" s="36" t="str">
        <x:v>백엔드·라이브 운영</x:v>
      </x:c>
      <x:c r="O23" s="36" t="str">
        <x:v>미정</x:v>
      </x:c>
      <x:c r="P23" s="36" t="str">
        <x:v>미정</x:v>
      </x:c>
      <x:c r="Q23" s="36" t="str">
        <x:v>백엔드</x:v>
      </x:c>
      <x:c r="R23" s="36" t="str">
        <x:v>백엔드 권한</x:v>
      </x:c>
      <x:c r="S23" s="36" t="str">
        <x:v>감사 로그</x:v>
      </x:c>
      <x:c r="T23" s="36" t="str">
        <x:v>L</x:v>
      </x:c>
      <x:c r="U23" s="36" t="str">
        <x:v>미착수</x:v>
      </x:c>
      <x:c r="V23" s="46" t="n">
        <x:f>IF(U23="완료",1,IF(U23="QA 진행 중",0.8,IF(U23="코드 리뷰",0.65,IF(U23="구현 중",0.4,IF(U23="사양 확인 중",0.1,IF(U23="차단",0.4,0))))))</x:f>
        <x:v>0</x:v>
      </x:c>
      <x:c r="W23" s="36" t="str">
        <x:v>미정</x:v>
      </x:c>
      <x:c r="X23" s="44"/>
      <x:c r="Y23" s="36" t="str">
        <x:v>BED-009,BED-021</x:v>
      </x:c>
      <x:c r="Z23" s="36" t="str">
        <x:v>중간</x:v>
      </x:c>
      <x:c r="AA23" s="36" t="str">
        <x:v>운영</x:v>
      </x:c>
      <x:c r="AB23" s="36" t="str">
        <x:v>TC-BED-022-01, TC-BED-022-02</x:v>
      </x:c>
      <x:c r="AC23" s="36"/>
      <x:c r="AD23" s="36" t="str">
        <x:v>게임 기획서</x:v>
      </x:c>
      <x:c r="AE23" s="36"/>
      <x:c r="AF23" s="44" t="str">
        <x:v>2026-07-10</x:v>
      </x:c>
      <x:c r="AG23" s="36"/>
      <x:c r="AH23" s="54"/>
      <x:c r="AI23" s="54"/>
      <x:c r="AJ23" s="53" t="str">
        <x:v>착수 전</x:v>
      </x:c>
    </x:row>
    <x:row r="24" ht="42" customHeight="1">
      <x:c r="A24" s="36" t="str">
        <x:v>BED-023</x:v>
      </x:c>
      <x:c r="B24" s="36" t="str">
        <x:v>백엔드·데이터·모더레이션</x:v>
      </x:c>
      <x:c r="C24" s="36" t="str">
        <x:v>진단</x:v>
      </x:c>
      <x:c r="D24" s="36" t="str">
        <x:v>크래시·로그</x:v>
      </x:c>
      <x:c r="E24" s="36" t="str">
        <x:v>크래시·서버 로그 수집·마스킹</x:v>
      </x:c>
      <x:c r="F24" s="36" t="str">
        <x:v>게임 규칙, 운영 요구사항과 대상 플랫폼 제약을 충족하도록 크래시·서버 로그 수집·마스킹 기능을 구현하고 검증한다.</x:v>
      </x:c>
      <x:c r="G24" s="36" t="str">
        <x:v>빌드, 플랫폼, 매치 ID, 상태 전환을 수집하고 역할, 채팅, 음성, 토큰, 개인 정보는 마스킹한다.</x:v>
      </x:c>
      <x:c r="H24" s="36" t="str">
        <x:v>구현, 코드 리뷰, 사양 갱신, 대상 QA 케이스 실행, 로그·텔레메트리 확인과 관련 플랫폼 검증을 완료하고 미해결 P0·P1 결함이 없다.</x:v>
      </x:c>
      <x:c r="I24" s="36" t="str">
        <x:v>알파</x:v>
      </x:c>
      <x:c r="J24" s="36" t="str">
        <x:v>P0</x:v>
      </x:c>
      <x:c r="K24" s="36" t="str">
        <x:v>필수</x:v>
      </x:c>
      <x:c r="L24" s="36" t="str">
        <x:v>운영</x:v>
      </x:c>
      <x:c r="M24" s="36" t="str">
        <x:v>알파</x:v>
      </x:c>
      <x:c r="N24" s="36" t="str">
        <x:v>백엔드·라이브 운영</x:v>
      </x:c>
      <x:c r="O24" s="36" t="str">
        <x:v>미정</x:v>
      </x:c>
      <x:c r="P24" s="36" t="str">
        <x:v>미정</x:v>
      </x:c>
      <x:c r="Q24" s="36" t="str">
        <x:v>백엔드</x:v>
      </x:c>
      <x:c r="R24" s="36" t="str">
        <x:v>백엔드 권한</x:v>
      </x:c>
      <x:c r="S24" s="36" t="str">
        <x:v>백엔드</x:v>
      </x:c>
      <x:c r="T24" s="36" t="str">
        <x:v>L</x:v>
      </x:c>
      <x:c r="U24" s="36" t="str">
        <x:v>미착수</x:v>
      </x:c>
      <x:c r="V24" s="46" t="n">
        <x:f>IF(U24="완료",1,IF(U24="QA 진행 중",0.8,IF(U24="코드 리뷰",0.65,IF(U24="구현 중",0.4,IF(U24="사양 확인 중",0.1,IF(U24="차단",0.4,0))))))</x:f>
        <x:v>0</x:v>
      </x:c>
      <x:c r="W24" s="36" t="str">
        <x:v>미정</x:v>
      </x:c>
      <x:c r="X24" s="44"/>
      <x:c r="Y24" s="36" t="str">
        <x:v>BED-018,NET-018</x:v>
      </x:c>
      <x:c r="Z24" s="36" t="str">
        <x:v>중간</x:v>
      </x:c>
      <x:c r="AA24" s="36" t="str">
        <x:v>보안</x:v>
      </x:c>
      <x:c r="AB24" s="36" t="str">
        <x:v>TC-BED-023-01, TC-BED-023-02</x:v>
      </x:c>
      <x:c r="AC24" s="36"/>
      <x:c r="AD24" s="36" t="str">
        <x:v>게임 기획서</x:v>
      </x:c>
      <x:c r="AE24" s="36"/>
      <x:c r="AF24" s="44" t="str">
        <x:v>2026-07-10</x:v>
      </x:c>
      <x:c r="AG24" s="36"/>
      <x:c r="AH24" s="54"/>
      <x:c r="AI24" s="54"/>
      <x:c r="AJ24" s="53" t="str">
        <x:v>착수 전</x:v>
      </x:c>
    </x:row>
    <x:row r="25" ht="42" customHeight="1">
      <x:c r="A25" s="36" t="str">
        <x:v>BED-024</x:v>
      </x:c>
      <x:c r="B25" s="36" t="str">
        <x:v>백엔드·데이터·모더레이션</x:v>
      </x:c>
      <x:c r="C25" s="36" t="str">
        <x:v>분석</x:v>
      </x:c>
      <x:c r="D25" s="36" t="str">
        <x:v>데이터 웨어하우스</x:v>
      </x:c>
      <x:c r="E25" s="36" t="str">
        <x:v>분석 이벤트 검증·데이터 마트</x:v>
      </x:c>
      <x:c r="F25" s="36" t="str">
        <x:v>게임 규칙, 운영 요구사항과 대상 플랫폼 제약을 충족하도록 분석 이벤트 검증·데이터 마트 기능을 구현하고 검증한다.</x:v>
      </x:c>
      <x:c r="G25" s="36" t="str">
        <x:v>스키마 위반, 중복, 누락, 지연을 탐지하고 승률, 게임 시간, 메모 행동, 이탈, 네트워크 품질을 버전별로 분석할 수 있다.</x:v>
      </x:c>
      <x:c r="H25" s="36" t="str">
        <x:v>구현, 코드 리뷰, 사양 갱신, 대상 QA 케이스 실행, 로그·텔레메트리 확인과 관련 플랫폼 검증을 완료하고 미해결 P0·P1 결함이 없다.</x:v>
      </x:c>
      <x:c r="I25" s="36" t="str">
        <x:v>베타</x:v>
      </x:c>
      <x:c r="J25" s="36" t="str">
        <x:v>P1</x:v>
      </x:c>
      <x:c r="K25" s="36" t="str">
        <x:v>필수</x:v>
      </x:c>
      <x:c r="L25" s="36" t="str">
        <x:v>분석</x:v>
      </x:c>
      <x:c r="M25" s="36" t="str">
        <x:v>베타</x:v>
      </x:c>
      <x:c r="N25" s="36" t="str">
        <x:v>백엔드·라이브 운영</x:v>
      </x:c>
      <x:c r="O25" s="36" t="str">
        <x:v>미정</x:v>
      </x:c>
      <x:c r="P25" s="36" t="str">
        <x:v>미정</x:v>
      </x:c>
      <x:c r="Q25" s="36" t="str">
        <x:v>백엔드</x:v>
      </x:c>
      <x:c r="R25" s="36" t="str">
        <x:v>백엔드 권한</x:v>
      </x:c>
      <x:c r="S25" s="36" t="str">
        <x:v>백엔드</x:v>
      </x:c>
      <x:c r="T25" s="36" t="str">
        <x:v>XL</x:v>
      </x:c>
      <x:c r="U25" s="36" t="str">
        <x:v>미착수</x:v>
      </x:c>
      <x:c r="V25" s="46" t="n">
        <x:f>IF(U25="완료",1,IF(U25="QA 진행 중",0.8,IF(U25="코드 리뷰",0.65,IF(U25="구현 중",0.4,IF(U25="사양 확인 중",0.1,IF(U25="차단",0.4,0))))))</x:f>
        <x:v>0</x:v>
      </x:c>
      <x:c r="W25" s="36" t="str">
        <x:v>미정</x:v>
      </x:c>
      <x:c r="X25" s="44"/>
      <x:c r="Y25" s="36" t="str">
        <x:v>BED-008,BED-006</x:v>
      </x:c>
      <x:c r="Z25" s="36" t="str">
        <x:v>중간</x:v>
      </x:c>
      <x:c r="AA25" s="36" t="str">
        <x:v>운영</x:v>
      </x:c>
      <x:c r="AB25" s="36" t="str">
        <x:v>TC-BED-024-01</x:v>
      </x:c>
      <x:c r="AC25" s="36"/>
      <x:c r="AD25" s="36" t="str">
        <x:v>게임 기획서</x:v>
      </x:c>
      <x:c r="AE25" s="36"/>
      <x:c r="AF25" s="44" t="str">
        <x:v>2026-07-10</x:v>
      </x:c>
      <x:c r="AG25" s="36"/>
      <x:c r="AH25" s="54"/>
      <x:c r="AI25" s="54"/>
      <x:c r="AJ25" s="53" t="str">
        <x:v>착수 전</x:v>
      </x:c>
    </x:row>
    <x:row r="26" ht="42" customHeight="1">
      <x:c r="A26" s="36" t="str">
        <x:v>BED-025</x:v>
      </x:c>
      <x:c r="B26" s="36" t="str">
        <x:v>백엔드·데이터·모더레이션</x:v>
      </x:c>
      <x:c r="C26" s="36" t="str">
        <x:v>데이터 플랫폼</x:v>
      </x:c>
      <x:c r="D26" s="36" t="str">
        <x:v>스키마 마이그레이션</x:v>
      </x:c>
      <x:c r="E26" s="36" t="str">
        <x:v>DB 스키마 마이그레이션·하위 호환</x:v>
      </x:c>
      <x:c r="F26" s="36" t="str">
        <x:v>게임 규칙, 운영 요구사항과 대상 플랫폼 제약을 충족하도록 DB 스키마 마이그레이션·하위 호환 기능을 구현하고 검증한다.</x:v>
      </x:c>
      <x:c r="G26" s="36" t="str">
        <x:v>확장→이관→정리 절차로 무중단 마이그레이션하고 이전 클라이언트와 병행 운영할 수 있다. 롤백 시 데이터 손실 범위를 정의한다.</x:v>
      </x:c>
      <x:c r="H26" s="36" t="str">
        <x:v>구현, 코드 리뷰, 사양 갱신, 대상 QA 케이스 실행, 로그·텔레메트리 확인과 관련 플랫폼 검증을 완료하고 미해결 P0·P1 결함이 없다.</x:v>
      </x:c>
      <x:c r="I26" s="36" t="str">
        <x:v>릴리스 후보</x:v>
      </x:c>
      <x:c r="J26" s="36" t="str">
        <x:v>P0</x:v>
      </x:c>
      <x:c r="K26" s="36" t="str">
        <x:v>필수</x:v>
      </x:c>
      <x:c r="L26" s="36" t="str">
        <x:v>운영</x:v>
      </x:c>
      <x:c r="M26" s="36" t="str">
        <x:v>릴리스 후보</x:v>
      </x:c>
      <x:c r="N26" s="36" t="str">
        <x:v>백엔드·라이브 운영</x:v>
      </x:c>
      <x:c r="O26" s="36" t="str">
        <x:v>미정</x:v>
      </x:c>
      <x:c r="P26" s="36" t="str">
        <x:v>미정</x:v>
      </x:c>
      <x:c r="Q26" s="36" t="str">
        <x:v>백엔드</x:v>
      </x:c>
      <x:c r="R26" s="36" t="str">
        <x:v>백엔드 권한</x:v>
      </x:c>
      <x:c r="S26" s="36" t="str">
        <x:v>백엔드</x:v>
      </x:c>
      <x:c r="T26" s="36" t="str">
        <x:v>L</x:v>
      </x:c>
      <x:c r="U26" s="36" t="str">
        <x:v>미착수</x:v>
      </x:c>
      <x:c r="V26" s="46" t="n">
        <x:f>IF(U26="완료",1,IF(U26="QA 진행 중",0.8,IF(U26="코드 리뷰",0.65,IF(U26="구현 중",0.4,IF(U26="사양 확인 중",0.1,IF(U26="차단",0.4,0))))))</x:f>
        <x:v>0</x:v>
      </x:c>
      <x:c r="W26" s="36" t="str">
        <x:v>미정</x:v>
      </x:c>
      <x:c r="X26" s="44"/>
      <x:c r="Y26" s="36" t="str">
        <x:v>BED-003,BED-006,BED-015</x:v>
      </x:c>
      <x:c r="Z26" s="36" t="str">
        <x:v>중간</x:v>
      </x:c>
      <x:c r="AA26" s="36" t="str">
        <x:v>호환성</x:v>
      </x:c>
      <x:c r="AB26" s="36" t="str">
        <x:v>TC-BED-025-01, TC-BED-025-02</x:v>
      </x:c>
      <x:c r="AC26" s="36"/>
      <x:c r="AD26" s="36" t="str">
        <x:v>게임 기획서</x:v>
      </x:c>
      <x:c r="AE26" s="36"/>
      <x:c r="AF26" s="44" t="str">
        <x:v>2026-07-10</x:v>
      </x:c>
      <x:c r="AG26" s="36"/>
      <x:c r="AH26" s="54"/>
      <x:c r="AI26" s="54"/>
      <x:c r="AJ26" s="53" t="str">
        <x:v>착수 전</x:v>
      </x:c>
    </x:row>
    <x:row r="27" ht="42" customHeight="1">
      <x:c r="A27" s="36" t="str">
        <x:v>BED-026</x:v>
      </x:c>
      <x:c r="B27" s="36" t="str">
        <x:v>백엔드·데이터·모더레이션</x:v>
      </x:c>
      <x:c r="C27" s="36" t="str">
        <x:v>신뢰성</x:v>
      </x:c>
      <x:c r="D27" s="36" t="str">
        <x:v>백업·재해 복구</x:v>
      </x:c>
      <x:c r="E27" s="36" t="str">
        <x:v>백업·복원·재해 복구</x:v>
      </x:c>
      <x:c r="F27" s="36" t="str">
        <x:v>게임 규칙, 운영 요구사항과 대상 플랫폼 제약을 충족하도록 백업·복원·재해 복구 기능을 구현하고 검증한다.</x:v>
      </x:c>
      <x:c r="G27" s="36" t="str">
        <x:v>중요 데이터의 RPO와 RTO를 정의하고 정기 복원 시험으로 계정, 설정, 신고, 상점 원장을 복구할 수 있다.</x:v>
      </x:c>
      <x:c r="H27" s="36" t="str">
        <x:v>구현, 코드 리뷰, 사양 갱신, 대상 QA 케이스 실행, 로그·텔레메트리 확인과 관련 플랫폼 검증을 완료하고 미해결 P0·P1 결함이 없다.</x:v>
      </x:c>
      <x:c r="I27" s="36" t="str">
        <x:v>릴리스 후보</x:v>
      </x:c>
      <x:c r="J27" s="36" t="str">
        <x:v>P0</x:v>
      </x:c>
      <x:c r="K27" s="36" t="str">
        <x:v>필수</x:v>
      </x:c>
      <x:c r="L27" s="36" t="str">
        <x:v>운영</x:v>
      </x:c>
      <x:c r="M27" s="36" t="str">
        <x:v>릴리스 후보</x:v>
      </x:c>
      <x:c r="N27" s="36" t="str">
        <x:v>백엔드·라이브 운영</x:v>
      </x:c>
      <x:c r="O27" s="36" t="str">
        <x:v>미정</x:v>
      </x:c>
      <x:c r="P27" s="36" t="str">
        <x:v>미정</x:v>
      </x:c>
      <x:c r="Q27" s="36" t="str">
        <x:v>백엔드</x:v>
      </x:c>
      <x:c r="R27" s="36" t="str">
        <x:v>백엔드 권한</x:v>
      </x:c>
      <x:c r="S27" s="36" t="str">
        <x:v>백엔드</x:v>
      </x:c>
      <x:c r="T27" s="36" t="str">
        <x:v>XL</x:v>
      </x:c>
      <x:c r="U27" s="36" t="str">
        <x:v>미착수</x:v>
      </x:c>
      <x:c r="V27" s="46" t="n">
        <x:f>IF(U27="완료",1,IF(U27="QA 진행 중",0.8,IF(U27="코드 리뷰",0.65,IF(U27="구현 중",0.4,IF(U27="사양 확인 중",0.1,IF(U27="차단",0.4,0))))))</x:f>
        <x:v>0</x:v>
      </x:c>
      <x:c r="W27" s="36" t="str">
        <x:v>미정</x:v>
      </x:c>
      <x:c r="X27" s="44"/>
      <x:c r="Y27" s="36" t="str">
        <x:v>BED-019,BED-025</x:v>
      </x:c>
      <x:c r="Z27" s="36" t="str">
        <x:v>중간</x:v>
      </x:c>
      <x:c r="AA27" s="36" t="str">
        <x:v>운영</x:v>
      </x:c>
      <x:c r="AB27" s="36" t="str">
        <x:v>TC-BED-026-01, TC-BED-026-02</x:v>
      </x:c>
      <x:c r="AC27" s="36"/>
      <x:c r="AD27" s="36" t="str">
        <x:v>게임 기획서</x:v>
      </x:c>
      <x:c r="AE27" s="36"/>
      <x:c r="AF27" s="44" t="str">
        <x:v>2026-07-10</x:v>
      </x:c>
      <x:c r="AG27" s="36"/>
      <x:c r="AH27" s="54"/>
      <x:c r="AI27" s="54"/>
      <x:c r="AJ27" s="53" t="str">
        <x:v>착수 전</x:v>
      </x:c>
    </x:row>
    <x:row r="28" ht="42" customHeight="1">
      <x:c r="A28" s="36" t="str">
        <x:v>BED-027</x:v>
      </x:c>
      <x:c r="B28" s="36" t="str">
        <x:v>백엔드·데이터·모더레이션</x:v>
      </x:c>
      <x:c r="C28" s="36" t="str">
        <x:v>보안</x:v>
      </x:c>
      <x:c r="D28" s="36" t="str">
        <x:v>비밀정보</x:v>
      </x:c>
      <x:c r="E28" s="36" t="str">
        <x:v>비밀 정보·키·인증서 관리</x:v>
      </x:c>
      <x:c r="F28" s="36" t="str">
        <x:v>게임 규칙, 운영 요구사항과 대상 플랫폼 제약을 충족하도록 비밀 정보·키·인증서 관리 기능을 구현하고 검증한다.</x:v>
      </x:c>
      <x:c r="G28" s="36" t="str">
        <x:v>비밀 정보를 저장소, 로그, 클라이언트에 포함하지 않고 환경 분리, 최소 권한, 교체, 폐기 절차를 적용한다.</x:v>
      </x:c>
      <x:c r="H28" s="36" t="str">
        <x:v>구현, 코드 리뷰, 사양 갱신, 대상 QA 케이스 실행, 로그·텔레메트리 확인과 관련 플랫폼 검증을 완료하고 미해결 P0·P1 결함이 없다.</x:v>
      </x:c>
      <x:c r="I28" s="36" t="str">
        <x:v>릴리스 후보</x:v>
      </x:c>
      <x:c r="J28" s="36" t="str">
        <x:v>P0</x:v>
      </x:c>
      <x:c r="K28" s="36" t="str">
        <x:v>필수</x:v>
      </x:c>
      <x:c r="L28" s="36" t="str">
        <x:v>보안</x:v>
      </x:c>
      <x:c r="M28" s="36" t="str">
        <x:v>릴리스 후보</x:v>
      </x:c>
      <x:c r="N28" s="36" t="str">
        <x:v>백엔드·라이브 운영</x:v>
      </x:c>
      <x:c r="O28" s="36" t="str">
        <x:v>미정</x:v>
      </x:c>
      <x:c r="P28" s="36" t="str">
        <x:v>미정</x:v>
      </x:c>
      <x:c r="Q28" s="36" t="str">
        <x:v>백엔드</x:v>
      </x:c>
      <x:c r="R28" s="36" t="str">
        <x:v>백엔드 권한</x:v>
      </x:c>
      <x:c r="S28" s="36" t="str">
        <x:v>감사 로그</x:v>
      </x:c>
      <x:c r="T28" s="36" t="str">
        <x:v>L</x:v>
      </x:c>
      <x:c r="U28" s="36" t="str">
        <x:v>미착수</x:v>
      </x:c>
      <x:c r="V28" s="46" t="n">
        <x:f>IF(U28="완료",1,IF(U28="QA 진행 중",0.8,IF(U28="코드 리뷰",0.65,IF(U28="구현 중",0.4,IF(U28="사양 확인 중",0.1,IF(U28="차단",0.4,0))))))</x:f>
        <x:v>0</x:v>
      </x:c>
      <x:c r="W28" s="36" t="str">
        <x:v>미정</x:v>
      </x:c>
      <x:c r="X28" s="44"/>
      <x:c r="Y28" s="36" t="str">
        <x:v>BED-001,NET-027</x:v>
      </x:c>
      <x:c r="Z28" s="36" t="str">
        <x:v>중간</x:v>
      </x:c>
      <x:c r="AA28" s="36" t="str">
        <x:v>보안</x:v>
      </x:c>
      <x:c r="AB28" s="36" t="str">
        <x:v>TC-BED-027-01, TC-BED-027-02</x:v>
      </x:c>
      <x:c r="AC28" s="36"/>
      <x:c r="AD28" s="36" t="str">
        <x:v>게임 기획서</x:v>
      </x:c>
      <x:c r="AE28" s="36"/>
      <x:c r="AF28" s="44" t="str">
        <x:v>2026-07-10</x:v>
      </x:c>
      <x:c r="AG28" s="36"/>
      <x:c r="AH28" s="54"/>
      <x:c r="AI28" s="54"/>
      <x:c r="AJ28" s="53" t="str">
        <x:v>착수 전</x:v>
      </x:c>
    </x:row>
    <x:row r="29" ht="42" customHeight="1">
      <x:c r="A29" s="36" t="str">
        <x:v>BED-028</x:v>
      </x:c>
      <x:c r="B29" s="36" t="str">
        <x:v>백엔드·데이터·모더레이션</x:v>
      </x:c>
      <x:c r="C29" s="36" t="str">
        <x:v>릴리스 엔지니어링</x:v>
      </x:c>
      <x:c r="D29" s="36" t="str">
        <x:v>배포·롤백</x:v>
      </x:c>
      <x:c r="E29" s="36" t="str">
        <x:v>단계 배포·호환성 확인·롤백</x:v>
      </x:c>
      <x:c r="F29" s="36" t="str">
        <x:v>게임 규칙, 운영 요구사항과 대상 플랫폼 제약을 충족하도록 단계 배포·호환성 확인·롤백 기능을 구현하고 검증한다.</x:v>
      </x:c>
      <x:c r="G29" s="36" t="str">
        <x:v>카나리→단계 확대→전체 배포 절차, DB·설정·클라이언트 호환성, 중지 조건, 롤백을 자동화하고 변경 이력을 남긴다.</x:v>
      </x:c>
      <x:c r="H29" s="36" t="str">
        <x:v>구현, 코드 리뷰, 사양 갱신, 대상 QA 케이스 실행, 로그·텔레메트리 확인과 관련 플랫폼 검증을 완료하고 미해결 P0·P1 결함이 없다.</x:v>
      </x:c>
      <x:c r="I29" s="36" t="str">
        <x:v>릴리스 후보</x:v>
      </x:c>
      <x:c r="J29" s="36" t="str">
        <x:v>P0</x:v>
      </x:c>
      <x:c r="K29" s="36" t="str">
        <x:v>필수</x:v>
      </x:c>
      <x:c r="L29" s="36" t="str">
        <x:v>릴리스</x:v>
      </x:c>
      <x:c r="M29" s="36" t="str">
        <x:v>릴리스 후보</x:v>
      </x:c>
      <x:c r="N29" s="36" t="str">
        <x:v>백엔드·라이브 운영</x:v>
      </x:c>
      <x:c r="O29" s="36" t="str">
        <x:v>미정</x:v>
      </x:c>
      <x:c r="P29" s="36" t="str">
        <x:v>미정</x:v>
      </x:c>
      <x:c r="Q29" s="36" t="str">
        <x:v>백엔드</x:v>
      </x:c>
      <x:c r="R29" s="36" t="str">
        <x:v>백엔드 권한</x:v>
      </x:c>
      <x:c r="S29" s="36" t="str">
        <x:v>감사 로그</x:v>
      </x:c>
      <x:c r="T29" s="36" t="str">
        <x:v>XL</x:v>
      </x:c>
      <x:c r="U29" s="36" t="str">
        <x:v>미착수</x:v>
      </x:c>
      <x:c r="V29" s="46" t="n">
        <x:f>IF(U29="완료",1,IF(U29="QA 진행 중",0.8,IF(U29="코드 리뷰",0.65,IF(U29="구현 중",0.4,IF(U29="사양 확인 중",0.1,IF(U29="차단",0.4,0))))))</x:f>
        <x:v>0</x:v>
      </x:c>
      <x:c r="W29" s="36" t="str">
        <x:v>미정</x:v>
      </x:c>
      <x:c r="X29" s="44"/>
      <x:c r="Y29" s="36" t="str">
        <x:v>BED-015,BED-016,BED-019,BED-025</x:v>
      </x:c>
      <x:c r="Z29" s="36" t="str">
        <x:v>중간</x:v>
      </x:c>
      <x:c r="AA29" s="36" t="str">
        <x:v>운영</x:v>
      </x:c>
      <x:c r="AB29" s="36" t="str">
        <x:v>TC-BED-028-01, TC-BED-028-02</x:v>
      </x:c>
      <x:c r="AC29" s="36"/>
      <x:c r="AD29" s="36" t="str">
        <x:v>게임 기획서</x:v>
      </x:c>
      <x:c r="AE29" s="36"/>
      <x:c r="AF29" s="44" t="str">
        <x:v>2026-07-10</x:v>
      </x:c>
      <x:c r="AG29" s="36"/>
      <x:c r="AH29" s="54"/>
      <x:c r="AI29" s="54"/>
      <x:c r="AJ29" s="53" t="str">
        <x:v>착수 전</x:v>
      </x:c>
    </x:row>
    <x:row r="30" ht="42" customHeight="1">
      <x:c r="A30" s="36" t="str">
        <x:v>BED-029</x:v>
      </x:c>
      <x:c r="B30" s="36" t="str">
        <x:v>백엔드·데이터·모더레이션</x:v>
      </x:c>
      <x:c r="C30" s="36" t="str">
        <x:v>커머스</x:v>
      </x:c>
      <x:c r="D30" s="36" t="str">
        <x:v>랜덤 상자</x:v>
      </x:c>
      <x:c r="E30" s="36" t="str">
        <x:v>외형 랜덤 상자 거래</x:v>
      </x:c>
      <x:c r="F30" s="36" t="str">
        <x:v>게임 규칙, 운영 요구사항과 대상 플랫폼 제약을 충족하도록 외형 랜덤 상자 거래 기능을 구현하고 검증한다.</x:v>
      </x:c>
      <x:c r="G30" s="36" t="str">
        <x:v>구매, 소비, 추첨, 지급, 중복 변환을 서버에서 멱등 처리하고 게임 성능에 영향을 주는 아이템은 포함하지 않는다.</x:v>
      </x:c>
      <x:c r="H30" s="36" t="str">
        <x:v>구현, 코드 리뷰, 사양 갱신, 대상 QA 케이스 실행, 로그·텔레메트리 확인과 관련 플랫폼 검증을 완료하고 미해결 P0·P1 결함이 없다.</x:v>
      </x:c>
      <x:c r="I30" s="36" t="str">
        <x:v>출시 후</x:v>
      </x:c>
      <x:c r="J30" s="36" t="str">
        <x:v>P3</x:v>
      </x:c>
      <x:c r="K30" s="36" t="str">
        <x:v>조건부</x:v>
      </x:c>
      <x:c r="L30" s="36" t="str">
        <x:v>커머스</x:v>
      </x:c>
      <x:c r="M30" s="36" t="str">
        <x:v>출시 후</x:v>
      </x:c>
      <x:c r="N30" s="36" t="str">
        <x:v>백엔드·라이브 운영</x:v>
      </x:c>
      <x:c r="O30" s="36" t="str">
        <x:v>미정</x:v>
      </x:c>
      <x:c r="P30" s="36" t="str">
        <x:v>미정</x:v>
      </x:c>
      <x:c r="Q30" s="36" t="str">
        <x:v>백엔드</x:v>
      </x:c>
      <x:c r="R30" s="36" t="str">
        <x:v>백엔드 권한</x:v>
      </x:c>
      <x:c r="S30" s="36" t="str">
        <x:v>계정</x:v>
      </x:c>
      <x:c r="T30" s="36" t="str">
        <x:v>XL</x:v>
      </x:c>
      <x:c r="U30" s="36" t="str">
        <x:v>미착수</x:v>
      </x:c>
      <x:c r="V30" s="46" t="n">
        <x:f>IF(U30="완료",1,IF(U30="QA 진행 중",0.8,IF(U30="코드 리뷰",0.65,IF(U30="구현 중",0.4,IF(U30="사양 확인 중",0.1,IF(U30="차단",0.4,0))))))</x:f>
        <x:v>0</x:v>
      </x:c>
      <x:c r="W30" s="36" t="str">
        <x:v>미정</x:v>
      </x:c>
      <x:c r="X30" s="44"/>
      <x:c r="Y30" s="36" t="str">
        <x:v>BED-004,BED-005,CHR-024</x:v>
      </x:c>
      <x:c r="Z30" s="36" t="str">
        <x:v>높음</x:v>
      </x:c>
      <x:c r="AA30" s="36" t="str">
        <x:v>보안</x:v>
      </x:c>
      <x:c r="AB30" s="36" t="str">
        <x:v>TC-BED-029-01</x:v>
      </x:c>
      <x:c r="AC30" s="36"/>
      <x:c r="AD30" s="36" t="str">
        <x:v>게임 기획서</x:v>
      </x:c>
      <x:c r="AE30" s="36"/>
      <x:c r="AF30" s="44" t="str">
        <x:v>2026-07-10</x:v>
      </x:c>
      <x:c r="AG30" s="36" t="str">
        <x:v>지역·연령·플랫폼 약관 검토 후에만 적용한다.</x:v>
      </x:c>
      <x:c r="AH30" s="54"/>
      <x:c r="AI30" s="54"/>
      <x:c r="AJ30" s="53" t="str">
        <x:v>착수 전</x:v>
      </x:c>
    </x:row>
    <x:row r="31" ht="42" customHeight="1">
      <x:c r="A31" s="36" t="str">
        <x:v>BED-030</x:v>
      </x:c>
      <x:c r="B31" s="36" t="str">
        <x:v>백엔드·데이터·모더레이션</x:v>
      </x:c>
      <x:c r="C31" s="36" t="str">
        <x:v>커머스</x:v>
      </x:c>
      <x:c r="D31" s="36" t="str">
        <x:v>규정 준수</x:v>
      </x:c>
      <x:c r="E31" s="36" t="str">
        <x:v>확률 표시·지역 규제·구매 한도</x:v>
      </x:c>
      <x:c r="F31" s="36" t="str">
        <x:v>게임 규칙, 운영 요구사항과 대상 플랫폼 제약을 충족하도록 확률 표시·지역 규제·구매 한도 기능을 구현하고 검증한다.</x:v>
      </x:c>
      <x:c r="G31" s="36" t="str">
        <x:v>추첨 확률, 중복 처리, 제공 기간, 연령·지역 제한, 구매 이력, 환불, 한도를 규정에 맞게 적용하고 설정 버전을 감사 가능하게 관리한다.</x:v>
      </x:c>
      <x:c r="H31" s="36" t="str">
        <x:v>구현, 코드 리뷰, 사양 갱신, 대상 QA 케이스 실행, 로그·텔레메트리 확인과 관련 플랫폼 검증을 완료하고 미해결 P0·P1 결함이 없다.</x:v>
      </x:c>
      <x:c r="I31" s="36" t="str">
        <x:v>출시 후</x:v>
      </x:c>
      <x:c r="J31" s="36" t="str">
        <x:v>P3</x:v>
      </x:c>
      <x:c r="K31" s="36" t="str">
        <x:v>조건부</x:v>
      </x:c>
      <x:c r="L31" s="36" t="str">
        <x:v>법무</x:v>
      </x:c>
      <x:c r="M31" s="36" t="str">
        <x:v>출시 후</x:v>
      </x:c>
      <x:c r="N31" s="36" t="str">
        <x:v>백엔드·라이브 운영</x:v>
      </x:c>
      <x:c r="O31" s="36" t="str">
        <x:v>미정</x:v>
      </x:c>
      <x:c r="P31" s="36" t="str">
        <x:v>미정</x:v>
      </x:c>
      <x:c r="Q31" s="36" t="str">
        <x:v>백엔드</x:v>
      </x:c>
      <x:c r="R31" s="36" t="str">
        <x:v>백엔드 권한</x:v>
      </x:c>
      <x:c r="S31" s="36" t="str">
        <x:v>감사 로그</x:v>
      </x:c>
      <x:c r="T31" s="36" t="str">
        <x:v>XL</x:v>
      </x:c>
      <x:c r="U31" s="36" t="str">
        <x:v>미착수</x:v>
      </x:c>
      <x:c r="V31" s="46" t="n">
        <x:f>IF(U31="완료",1,IF(U31="QA 진행 중",0.8,IF(U31="코드 리뷰",0.65,IF(U31="구현 중",0.4,IF(U31="사양 확인 중",0.1,IF(U31="차단",0.4,0))))))</x:f>
        <x:v>0</x:v>
      </x:c>
      <x:c r="W31" s="36" t="str">
        <x:v>미정</x:v>
      </x:c>
      <x:c r="X31" s="44"/>
      <x:c r="Y31" s="36" t="str">
        <x:v>BED-029,BED-013</x:v>
      </x:c>
      <x:c r="Z31" s="36" t="str">
        <x:v>높음</x:v>
      </x:c>
      <x:c r="AA31" s="36" t="str">
        <x:v>운영</x:v>
      </x:c>
      <x:c r="AB31" s="36" t="str">
        <x:v>TC-BED-030-01</x:v>
      </x:c>
      <x:c r="AC31" s="36"/>
      <x:c r="AD31" s="36" t="str">
        <x:v>게임 기획서</x:v>
      </x:c>
      <x:c r="AE31" s="36"/>
      <x:c r="AF31" s="44" t="str">
        <x:v>2026-07-10</x:v>
      </x:c>
      <x:c r="AG31" s="36"/>
      <x:c r="AH31" s="54"/>
      <x:c r="AI31" s="54"/>
      <x:c r="AJ31" s="53" t="str">
        <x:v>착수 전</x:v>
      </x:c>
    </x:row>
  </x:sheetData>
  <x:conditionalFormatting sqref="U2:U31">
    <x:cfRule type="expression" dxfId="0" priority="1">
      <x:formula>U2="완료"</x:formula>
    </x:cfRule>
    <x:cfRule type="expression" dxfId="1" priority="2">
      <x:formula>U2="통과"</x:formula>
    </x:cfRule>
    <x:cfRule type="expression" dxfId="2" priority="3">
      <x:formula>U2="차단"</x:formula>
    </x:cfRule>
    <x:cfRule type="expression" dxfId="3" priority="4">
      <x:formula>U2="실패"</x:formula>
    </x:cfRule>
    <x:cfRule type="expression" dxfId="4" priority="5">
      <x:formula>U2="구현 중"</x:formula>
    </x:cfRule>
    <x:cfRule type="expression" dxfId="5" priority="6">
      <x:formula>U2="QA 진행 중"</x:formula>
    </x:cfRule>
  </x:conditionalFormatting>
  <x:conditionalFormatting sqref="J2:J31">
    <x:cfRule type="expression" dxfId="6" priority="7">
      <x:formula>J2="P0"</x:formula>
    </x:cfRule>
    <x:cfRule type="expression" dxfId="7" priority="8">
      <x:formula>J2="P1"</x:formula>
    </x:cfRule>
  </x:conditionalFormatting>
  <x:conditionalFormatting sqref="Z2:Z31">
    <x:cfRule type="expression" dxfId="8" priority="9">
      <x:formula>Z2="높음"</x:formula>
    </x:cfRule>
    <x:cfRule type="expression" dxfId="9" priority="10">
      <x:formula>Z2="중간"</x:formula>
    </x:cfRule>
  </x:conditionalFormatting>
  <x:conditionalFormatting sqref="AJ2:AJ31">
    <x:cfRule type="expression" dxfId="30" priority="11">
      <x:formula>AJ2="착수 전"</x:formula>
    </x:cfRule>
    <x:cfRule type="expression" dxfId="31" priority="12">
      <x:formula>AJ2="작업 중"</x:formula>
    </x:cfRule>
    <x:cfRule type="expression" dxfId="32" priority="13">
      <x:formula>AJ2="완료"</x:formula>
    </x:cfRule>
  </x:conditionalFormatting>
  <x:dataValidations count="11">
    <x:dataValidation type="list" sqref="I2:I31">
      <x:formula1>"MVP,알파,베타,릴리스 후보,출시,출시 후,대상 제외"</x:formula1>
    </x:dataValidation>
    <x:dataValidation type="list" sqref="J2:J31">
      <x:formula1>"P0,P1,P2,P3"</x:formula1>
    </x:dataValidation>
    <x:dataValidation type="list" sqref="K2:K31">
      <x:formula1>"필수,조건부,권장,대상 제외"</x:formula1>
    </x:dataValidation>
    <x:dataValidation type="list" sqref="Q2:Q31">
      <x:formula1>"전체,PC,콘솔,모바일,서버,백엔드,도구,웹·관리자"</x:formula1>
    </x:dataValidation>
    <x:dataValidation type="list" sqref="R2:R31">
      <x:formula1>"서버 권한,클라이언트 예측·서버 검증,클라이언트 로컬,백엔드 권한,호스트 권한,콘텐츠 데이터,해당 없음"</x:formula1>
    </x:dataValidation>
    <x:dataValidation type="list" sqref="S2:S31">
      <x:formula1>"없음,세션,매치,계정,단말 로컬,백엔드,감사 로그"</x:formula1>
    </x:dataValidation>
    <x:dataValidation type="list" sqref="T2:T31">
      <x:formula1>"XS,S,M,L,XL,분할 필요"</x:formula1>
    </x:dataValidation>
    <x:dataValidation type="list" sqref="U2:U31">
      <x:formula1>"미착수,사양 확인 중,구현 중,코드 리뷰,QA 진행 중,차단,완료,보류"</x:formula1>
    </x:dataValidation>
    <x:dataValidation type="list" sqref="Z2:Z31">
      <x:formula1>"높음,중간,낮음"</x:formula1>
    </x:dataValidation>
    <x:dataValidation type="list" sqref="AA2:AA31">
      <x:formula1>"기능,통합,경계값,네트워크,보안,성능,호환성,사용성,접근성,현지화,밸런스,운영,안전,부하"</x:formula1>
    </x:dataValidation>
    <x:dataValidation type="list" sqref="AJ2:AJ31">
      <x:formula1>"착수 전,작업 중,완료"</x:formula1>
    </x:dataValidation>
  </x:dataValidations>
  <x:pageMargins left="0.7" right="0.7" top="0.75" bottom="0.75" header="0.3" footer="0.3"/>
  <x:tableParts count="1">
    <x:tablePart xmlns:r="http://schemas.openxmlformats.org/officeDocument/2006/relationships" r:id="R42275de1964749fa"/>
  </x:tableParts>
</x:worksheet>
</file>

<file path=xl/worksheets/sheet3.xml><?xml version="1.0" encoding="utf-8"?>
<x:worksheet xmlns:x="http://schemas.openxmlformats.org/spreadsheetml/2006/main">
  <x:sheetFormatPr defaultRowHeight="15"/>
  <x:cols>
    <x:col min="1" max="1" width="24" hidden="0" customWidth="1"/>
    <x:col min="2" max="2" width="26" hidden="0" customWidth="1"/>
    <x:col min="3" max="3" width="50" hidden="0" customWidth="1"/>
    <x:col min="4" max="4" width="12" hidden="0" customWidth="1"/>
    <x:col min="5" max="5" width="20" hidden="0" customWidth="1"/>
    <x:col min="6" max="6" width="20" hidden="0" customWidth="1"/>
    <x:col min="7" max="7" width="26" hidden="0" customWidth="1"/>
    <x:col min="8" max="8" width="20" hidden="0" customWidth="1"/>
  </x:cols>
  <x:sheetData>
    <x:row r="1" ht="30" customHeight="1">
      <x:c r="A1" s="40" t="str">
        <x:v>엔터티</x:v>
      </x:c>
      <x:c r="B1" s="40" t="str">
        <x:v>기본 키</x:v>
      </x:c>
      <x:c r="C1" s="40" t="str">
        <x:v>주요 속성</x:v>
      </x:c>
      <x:c r="D1" s="40" t="str">
        <x:v>개인정보 수준</x:v>
      </x:c>
      <x:c r="E1" s="40" t="str">
        <x:v>보관 기간</x:v>
      </x:c>
      <x:c r="F1" s="40" t="str">
        <x:v>담당</x:v>
      </x:c>
      <x:c r="G1" s="40" t="str">
        <x:v>기준 원본</x:v>
      </x:c>
      <x:c r="H1" s="40" t="str">
        <x:v>관련 ID</x:v>
      </x:c>
    </x:row>
    <x:row r="2" ht="42" customHeight="1">
      <x:c r="A2" s="36" t="str">
        <x:v>플레이어</x:v>
      </x:c>
      <x:c r="B2" s="36" t="str">
        <x:v>playerId</x:v>
      </x:c>
      <x:c r="C2" s="36" t="str">
        <x:v>platformLinks, displayName, status</x:v>
      </x:c>
      <x:c r="D2" s="36" t="str">
        <x:v>높음</x:v>
      </x:c>
      <x:c r="E2" s="36" t="str">
        <x:v>계정 수명+정책</x:v>
      </x:c>
      <x:c r="F2" s="36" t="str">
        <x:v>인증·계정</x:v>
      </x:c>
      <x:c r="G2" s="36" t="str">
        <x:v>백엔드</x:v>
      </x:c>
      <x:c r="H2" s="36" t="str">
        <x:v>BED-002</x:v>
      </x:c>
    </x:row>
    <x:row r="3" ht="42" customHeight="1">
      <x:c r="A3" s="36" t="str">
        <x:v>플레이어 설정</x:v>
      </x:c>
      <x:c r="B3" s="36" t="str">
        <x:v>playerId+version</x:v>
      </x:c>
      <x:c r="C3" s="36" t="str">
        <x:v>language, a11y, tutorial</x:v>
      </x:c>
      <x:c r="D3" s="36" t="str">
        <x:v>낮음</x:v>
      </x:c>
      <x:c r="E3" s="36" t="str">
        <x:v>계정 수명</x:v>
      </x:c>
      <x:c r="F3" s="36" t="str">
        <x:v>프로필</x:v>
      </x:c>
      <x:c r="G3" s="36" t="str">
        <x:v>백엔드·기기 정책</x:v>
      </x:c>
      <x:c r="H3" s="36" t="str">
        <x:v>BED-003</x:v>
      </x:c>
    </x:row>
    <x:row r="4" ht="42" customHeight="1">
      <x:c r="A4" s="36" t="str">
        <x:v>매치</x:v>
      </x:c>
      <x:c r="B4" s="36" t="str">
        <x:v>matchId</x:v>
      </x:c>
      <x:c r="C4" s="36" t="str">
        <x:v>versions, region, start, end, result</x:v>
      </x:c>
      <x:c r="D4" s="36" t="str">
        <x:v>낮음</x:v>
      </x:c>
      <x:c r="E4" s="36" t="str">
        <x:v>정책에 따름</x:v>
      </x:c>
      <x:c r="F4" s="36" t="str">
        <x:v>매치 서비스</x:v>
      </x:c>
      <x:c r="G4" s="36" t="str">
        <x:v>백엔드</x:v>
      </x:c>
      <x:c r="H4" s="36" t="str">
        <x:v>BED-006</x:v>
      </x:c>
    </x:row>
    <x:row r="5" ht="42" customHeight="1">
      <x:c r="A5" s="36" t="str">
        <x:v>매치 참가자</x:v>
      </x:c>
      <x:c r="B5" s="36" t="str">
        <x:v>matchId+playerId</x:v>
      </x:c>
      <x:c r="C5" s="36" t="str">
        <x:v>role, color, votes, disconnects</x:v>
      </x:c>
      <x:c r="D5" s="36" t="str">
        <x:v>민감</x:v>
      </x:c>
      <x:c r="E5" s="36" t="str">
        <x:v>정책에 따름</x:v>
      </x:c>
      <x:c r="F5" s="36" t="str">
        <x:v>매치 서비스</x:v>
      </x:c>
      <x:c r="G5" s="36" t="str">
        <x:v>백엔드</x:v>
      </x:c>
      <x:c r="H5" s="36" t="str">
        <x:v>BED-006</x:v>
      </x:c>
    </x:row>
    <x:row r="6" ht="42" customHeight="1">
      <x:c r="A6" s="36" t="str">
        <x:v>신고</x:v>
      </x:c>
      <x:c r="B6" s="36" t="str">
        <x:v>reportId</x:v>
      </x:c>
      <x:c r="C6" s="36" t="str">
        <x:v>reporter, target, match, reason, status</x:v>
      </x:c>
      <x:c r="D6" s="36" t="str">
        <x:v>높음</x:v>
      </x:c>
      <x:c r="E6" s="36" t="str">
        <x:v>법무 정책</x:v>
      </x:c>
      <x:c r="F6" s="36" t="str">
        <x:v>안전 운영</x:v>
      </x:c>
      <x:c r="G6" s="36" t="str">
        <x:v>백엔드</x:v>
      </x:c>
      <x:c r="H6" s="36" t="str">
        <x:v>BED-009</x:v>
      </x:c>
    </x:row>
    <x:row r="7" ht="42" customHeight="1">
      <x:c r="A7" s="36" t="str">
        <x:v>동의</x:v>
      </x:c>
      <x:c r="B7" s="36" t="str">
        <x:v>playerId+type+version</x:v>
      </x:c>
      <x:c r="C7" s="36" t="str">
        <x:v>region, timestamp, withdrawn</x:v>
      </x:c>
      <x:c r="D7" s="36" t="str">
        <x:v>높음</x:v>
      </x:c>
      <x:c r="E7" s="36" t="str">
        <x:v>법무 정책</x:v>
      </x:c>
      <x:c r="F7" s="36" t="str">
        <x:v>개인정보</x:v>
      </x:c>
      <x:c r="G7" s="36" t="str">
        <x:v>백엔드</x:v>
      </x:c>
      <x:c r="H7" s="36" t="str">
        <x:v>BED-012</x:v>
      </x:c>
    </x:row>
    <x:row r="8" ht="42" customHeight="1">
      <x:c r="A8" s="36" t="str">
        <x:v>외형 인벤토리</x:v>
      </x:c>
      <x:c r="B8" s="36" t="str">
        <x:v>playerId+itemId</x:v>
      </x:c>
      <x:c r="C8" s="36" t="str">
        <x:v>quantity, source, acquiredAt</x:v>
      </x:c>
      <x:c r="D8" s="36" t="str">
        <x:v>낮음</x:v>
      </x:c>
      <x:c r="E8" s="36" t="str">
        <x:v>계정 수명</x:v>
      </x:c>
      <x:c r="F8" s="36" t="str">
        <x:v>경제 시스템</x:v>
      </x:c>
      <x:c r="G8" s="36" t="str">
        <x:v>백엔드</x:v>
      </x:c>
      <x:c r="H8" s="36" t="str">
        <x:v>BED-004</x:v>
      </x:c>
    </x:row>
  </x:sheetData>
  <x:pageMargins left="0.7" right="0.7" top="0.75" bottom="0.75" header="0.3" footer="0.3"/>
  <x:tableParts count="1">
    <x:tablePart xmlns:r="http://schemas.openxmlformats.org/officeDocument/2006/relationships" r:id="R69dfbf8d8045493f"/>
  </x:tableParts>
</x:worksheet>
</file>

<file path=xl/worksheets/sheet4.xml><?xml version="1.0" encoding="utf-8"?>
<x:worksheet xmlns:x="http://schemas.openxmlformats.org/spreadsheetml/2006/main">
  <x:sheetFormatPr defaultRowHeight="15"/>
  <x:cols>
    <x:col min="1" max="1" width="30" hidden="0" customWidth="1"/>
    <x:col min="2" max="2" width="14" hidden="0" customWidth="1"/>
    <x:col min="3" max="3" width="20" hidden="0" customWidth="1"/>
    <x:col min="4" max="4" width="18" hidden="0" customWidth="1"/>
    <x:col min="5" max="5" width="16" hidden="0" customWidth="1"/>
    <x:col min="6" max="6" width="38" hidden="0" customWidth="1"/>
    <x:col min="7" max="7" width="38" hidden="0" customWidth="1"/>
    <x:col min="8" max="8" width="22" hidden="0" customWidth="1"/>
    <x:col min="9" max="9" width="18" hidden="0" customWidth="1"/>
    <x:col min="10" max="10" width="20" hidden="0" customWidth="1"/>
  </x:cols>
  <x:sheetData>
    <x:row r="1" ht="30" customHeight="1">
      <x:c r="A1" s="40" t="str">
        <x:v>API</x:v>
      </x:c>
      <x:c r="B1" s="40" t="str">
        <x:v>메서드</x:v>
      </x:c>
      <x:c r="C1" s="40" t="str">
        <x:v>인증</x:v>
      </x:c>
      <x:c r="D1" s="40" t="str">
        <x:v>멱등 키</x:v>
      </x:c>
      <x:c r="E1" s="40" t="str">
        <x:v>요청 제한</x:v>
      </x:c>
      <x:c r="F1" s="40" t="str">
        <x:v>요청</x:v>
      </x:c>
      <x:c r="G1" s="40" t="str">
        <x:v>응답</x:v>
      </x:c>
      <x:c r="H1" s="40" t="str">
        <x:v>오류</x:v>
      </x:c>
      <x:c r="I1" s="40" t="str">
        <x:v>담당</x:v>
      </x:c>
      <x:c r="J1" s="40" t="str">
        <x:v>관련 ID</x:v>
      </x:c>
    </x:row>
    <x:row r="2" ht="42" customHeight="1">
      <x:c r="A2" s="36" t="str">
        <x:v>/auth/session</x:v>
      </x:c>
      <x:c r="B2" s="36" t="str">
        <x:v>POST</x:v>
      </x:c>
      <x:c r="C2" s="36" t="str">
        <x:v>플랫폼 토큰</x:v>
      </x:c>
      <x:c r="D2" s="36" t="str">
        <x:v>nonce</x:v>
      </x:c>
      <x:c r="E2" s="36" t="str">
        <x:v>엄격</x:v>
      </x:c>
      <x:c r="F2" s="36" t="str">
        <x:v>platform token</x:v>
      </x:c>
      <x:c r="G2" s="36" t="str">
        <x:v>game token / player</x:v>
      </x:c>
      <x:c r="H2" s="36" t="str">
        <x:v>AUTH-*</x:v>
      </x:c>
      <x:c r="I2" s="36" t="str">
        <x:v>인증·계정</x:v>
      </x:c>
      <x:c r="J2" s="36" t="str">
        <x:v>BED-001</x:v>
      </x:c>
    </x:row>
    <x:row r="3" ht="42" customHeight="1">
      <x:c r="A3" s="36" t="str">
        <x:v>/profile</x:v>
      </x:c>
      <x:c r="B3" s="36" t="str">
        <x:v>GET / PATCH</x:v>
      </x:c>
      <x:c r="C3" s="36" t="str">
        <x:v>게임 토큰</x:v>
      </x:c>
      <x:c r="D3" s="36" t="str">
        <x:v>ETag</x:v>
      </x:c>
      <x:c r="E3" s="36" t="str">
        <x:v>보통</x:v>
      </x:c>
      <x:c r="F3" s="36" t="str">
        <x:v>fields / version</x:v>
      </x:c>
      <x:c r="G3" s="36" t="str">
        <x:v>profile / version</x:v>
      </x:c>
      <x:c r="H3" s="36" t="str">
        <x:v>PROFILE-*</x:v>
      </x:c>
      <x:c r="I3" s="36" t="str">
        <x:v>프로필</x:v>
      </x:c>
      <x:c r="J3" s="36" t="str">
        <x:v>BED-003</x:v>
      </x:c>
    </x:row>
    <x:row r="4" ht="42" customHeight="1">
      <x:c r="A4" s="36" t="str">
        <x:v>/lobbies</x:v>
      </x:c>
      <x:c r="B4" s="36" t="str">
        <x:v>POST</x:v>
      </x:c>
      <x:c r="C4" s="36" t="str">
        <x:v>게임 토큰</x:v>
      </x:c>
      <x:c r="D4" s="36" t="str">
        <x:v>requestId</x:v>
      </x:c>
      <x:c r="E4" s="36" t="str">
        <x:v>엄격</x:v>
      </x:c>
      <x:c r="F4" s="36" t="str">
        <x:v>settings / privacy</x:v>
      </x:c>
      <x:c r="G4" s="36" t="str">
        <x:v>lobby / code</x:v>
      </x:c>
      <x:c r="H4" s="36" t="str">
        <x:v>LOBBY-*</x:v>
      </x:c>
      <x:c r="I4" s="36" t="str">
        <x:v>온라인</x:v>
      </x:c>
      <x:c r="J4" s="36" t="str">
        <x:v>ONL-004</x:v>
      </x:c>
    </x:row>
    <x:row r="5" ht="42" customHeight="1">
      <x:c r="A5" s="36" t="str">
        <x:v>/matches/{id}/result</x:v>
      </x:c>
      <x:c r="B5" s="36" t="str">
        <x:v>POST</x:v>
      </x:c>
      <x:c r="C5" s="36" t="str">
        <x:v>서버 자격 증명</x:v>
      </x:c>
      <x:c r="D5" s="36" t="str">
        <x:v>matchId</x:v>
      </x:c>
      <x:c r="E5" s="36" t="str">
        <x:v>엄격</x:v>
      </x:c>
      <x:c r="F5" s="36" t="str">
        <x:v>result / events</x:v>
      </x:c>
      <x:c r="G5" s="36" t="str">
        <x:v>accepted</x:v>
      </x:c>
      <x:c r="H5" s="36" t="str">
        <x:v>MATCH-*</x:v>
      </x:c>
      <x:c r="I5" s="36" t="str">
        <x:v>매치</x:v>
      </x:c>
      <x:c r="J5" s="36" t="str">
        <x:v>BED-006</x:v>
      </x:c>
    </x:row>
    <x:row r="6" ht="42" customHeight="1">
      <x:c r="A6" s="36" t="str">
        <x:v>/reports</x:v>
      </x:c>
      <x:c r="B6" s="36" t="str">
        <x:v>POST</x:v>
      </x:c>
      <x:c r="C6" s="36" t="str">
        <x:v>게임 토큰</x:v>
      </x:c>
      <x:c r="D6" s="36" t="str">
        <x:v>requestId</x:v>
      </x:c>
      <x:c r="E6" s="36" t="str">
        <x:v>엄격</x:v>
      </x:c>
      <x:c r="F6" s="36" t="str">
        <x:v>target / match / reason</x:v>
      </x:c>
      <x:c r="G6" s="36" t="str">
        <x:v>reportId</x:v>
      </x:c>
      <x:c r="H6" s="36" t="str">
        <x:v>REPORT-*</x:v>
      </x:c>
      <x:c r="I6" s="36" t="str">
        <x:v>안전 운영</x:v>
      </x:c>
      <x:c r="J6" s="36" t="str">
        <x:v>BED-009</x:v>
      </x:c>
    </x:row>
    <x:row r="7" ht="42" customHeight="1">
      <x:c r="A7" s="36" t="str">
        <x:v>/config/{channel}</x:v>
      </x:c>
      <x:c r="B7" s="36" t="str">
        <x:v>GET</x:v>
      </x:c>
      <x:c r="C7" s="36" t="str">
        <x:v>게임 토큰</x:v>
      </x:c>
      <x:c r="D7" s="36" t="str">
        <x:v>ETag</x:v>
      </x:c>
      <x:c r="E7" s="36" t="str">
        <x:v>보통</x:v>
      </x:c>
      <x:c r="F7" s="36" t="str">
        <x:v>client / version / region</x:v>
      </x:c>
      <x:c r="G7" s="36" t="str">
        <x:v>signed config</x:v>
      </x:c>
      <x:c r="H7" s="36" t="str">
        <x:v>CONFIG-*</x:v>
      </x:c>
      <x:c r="I7" s="36" t="str">
        <x:v>라이브 운영</x:v>
      </x:c>
      <x:c r="J7" s="36" t="str">
        <x:v>BED-015</x:v>
      </x:c>
    </x:row>
    <x:row r="8" ht="42" customHeight="1">
      <x:c r="A8" s="36" t="str">
        <x:v>/inventory</x:v>
      </x:c>
      <x:c r="B8" s="36" t="str">
        <x:v>GET</x:v>
      </x:c>
      <x:c r="C8" s="36" t="str">
        <x:v>게임 토큰</x:v>
      </x:c>
      <x:c r="D8" s="36" t="str">
        <x:v>ETag</x:v>
      </x:c>
      <x:c r="E8" s="36" t="str">
        <x:v>보통</x:v>
      </x:c>
      <x:c r="F8" s="36" t="str">
        <x:v>cursor</x:v>
      </x:c>
      <x:c r="G8" s="36" t="str">
        <x:v>items / version</x:v>
      </x:c>
      <x:c r="H8" s="36" t="str">
        <x:v>ECON-*</x:v>
      </x:c>
      <x:c r="I8" s="36" t="str">
        <x:v>경제 시스템</x:v>
      </x:c>
      <x:c r="J8" s="36" t="str">
        <x:v>BED-004</x:v>
      </x:c>
    </x:row>
  </x:sheetData>
  <x:pageMargins left="0.7" right="0.7" top="0.75" bottom="0.75" header="0.3" footer="0.3"/>
  <x:tableParts count="1">
    <x:tablePart xmlns:r="http://schemas.openxmlformats.org/officeDocument/2006/relationships" r:id="R1bb393911a3f4348"/>
  </x:tableParts>
</x:worksheet>
</file>

<file path=xl/worksheets/sheet5.xml><?xml version="1.0" encoding="utf-8"?>
<x:worksheet xmlns:x="http://schemas.openxmlformats.org/spreadsheetml/2006/main">
  <x:sheetFormatPr defaultRowHeight="15"/>
  <x:cols>
    <x:col min="1" max="1" width="22" hidden="0" customWidth="1"/>
    <x:col min="2" max="2" width="38" hidden="0" customWidth="1"/>
    <x:col min="3" max="3" width="28" hidden="0" customWidth="1"/>
    <x:col min="4" max="4" width="20" hidden="0" customWidth="1"/>
    <x:col min="5" max="5" width="26" hidden="0" customWidth="1"/>
    <x:col min="6" max="6" width="24" hidden="0" customWidth="1"/>
    <x:col min="7" max="7" width="24" hidden="0" customWidth="1"/>
    <x:col min="8" max="8" width="24" hidden="0" customWidth="1"/>
  </x:cols>
  <x:sheetData>
    <x:row r="1" ht="30" customHeight="1">
      <x:c r="A1" s="40" t="str">
        <x:v>데이터 분류</x:v>
      </x:c>
      <x:c r="B1" s="40" t="str">
        <x:v>예시</x:v>
      </x:c>
      <x:c r="C1" s="40" t="str">
        <x:v>목적</x:v>
      </x:c>
      <x:c r="D1" s="40" t="str">
        <x:v>기본 보관 기간</x:v>
      </x:c>
      <x:c r="E1" s="40" t="str">
        <x:v>접근 권한</x:v>
      </x:c>
      <x:c r="F1" s="40" t="str">
        <x:v>삭제 처리</x:v>
      </x:c>
      <x:c r="G1" s="40" t="str">
        <x:v>암호화</x:v>
      </x:c>
      <x:c r="H1" s="40" t="str">
        <x:v>승인</x:v>
      </x:c>
    </x:row>
    <x:row r="2" ht="42" customHeight="1">
      <x:c r="A2" s="36" t="str">
        <x:v>인증</x:v>
      </x:c>
      <x:c r="B2" s="36" t="str">
        <x:v>토큰 메타데이터, 로그인 로그</x:v>
      </x:c>
      <x:c r="C2" s="36" t="str">
        <x:v>보안</x:v>
      </x:c>
      <x:c r="D2" s="36" t="str">
        <x:v>90~180일</x:v>
      </x:c>
      <x:c r="E2" s="36" t="str">
        <x:v>보안·인증</x:v>
      </x:c>
      <x:c r="F2" s="36" t="str">
        <x:v>정책 기반</x:v>
      </x:c>
      <x:c r="G2" s="36" t="str">
        <x:v>저장·전송 암호화</x:v>
      </x:c>
      <x:c r="H2" s="36" t="str">
        <x:v>보안</x:v>
      </x:c>
    </x:row>
    <x:row r="3" ht="42" customHeight="1">
      <x:c r="A3" s="36" t="str">
        <x:v>게임플레이</x:v>
      </x:c>
      <x:c r="B3" s="36" t="str">
        <x:v>매치, 결과, 텔레메트리</x:v>
      </x:c>
      <x:c r="C3" s="36" t="str">
        <x:v>밸런스·고객 지원</x:v>
      </x:c>
      <x:c r="D3" s="36" t="str">
        <x:v>정책 정의</x:v>
      </x:c>
      <x:c r="E3" s="36" t="str">
        <x:v>분석·고객 지원</x:v>
      </x:c>
      <x:c r="F3" s="36" t="str">
        <x:v>삭제·익명화</x:v>
      </x:c>
      <x:c r="G3" s="36" t="str">
        <x:v>저장·전송 암호화</x:v>
      </x:c>
      <x:c r="H3" s="36" t="str">
        <x:v>제품·개인정보</x:v>
      </x:c>
    </x:row>
    <x:row r="4" ht="42" customHeight="1">
      <x:c r="A4" s="36" t="str">
        <x:v>음성</x:v>
      </x:c>
      <x:c r="B4" s="36" t="str">
        <x:v>음성 메타데이터·증거</x:v>
      </x:c>
      <x:c r="C4" s="36" t="str">
        <x:v>안전 운영</x:v>
      </x:c>
      <x:c r="D4" s="36" t="str">
        <x:v>지역별</x:v>
      </x:c>
      <x:c r="E4" s="36" t="str">
        <x:v>안전 운영 전용</x:v>
      </x:c>
      <x:c r="F4" s="36" t="str">
        <x:v>엄격한 절차</x:v>
      </x:c>
      <x:c r="G4" s="36" t="str">
        <x:v>강한 암호화</x:v>
      </x:c>
      <x:c r="H4" s="36" t="str">
        <x:v>법무·개인정보</x:v>
      </x:c>
    </x:row>
    <x:row r="5" ht="42" customHeight="1">
      <x:c r="A5" s="36" t="str">
        <x:v>신고</x:v>
      </x:c>
      <x:c r="B5" s="36" t="str">
        <x:v>신고, 제재, 증거</x:v>
      </x:c>
      <x:c r="C5" s="36" t="str">
        <x:v>안전·법적 대응</x:v>
      </x:c>
      <x:c r="D5" s="36" t="str">
        <x:v>정책·법적 보존</x:v>
      </x:c>
      <x:c r="E5" s="36" t="str">
        <x:v>안전·법무</x:v>
      </x:c>
      <x:c r="F5" s="36" t="str">
        <x:v>통제된 절차</x:v>
      </x:c>
      <x:c r="G5" s="36" t="str">
        <x:v>강한 암호화</x:v>
      </x:c>
      <x:c r="H5" s="36" t="str">
        <x:v>법무</x:v>
      </x:c>
    </x:row>
    <x:row r="6" ht="42" customHeight="1">
      <x:c r="A6" s="36" t="str">
        <x:v>크래시</x:v>
      </x:c>
      <x:c r="B6" s="36" t="str">
        <x:v>스택, 기기, 빌드, 매치 ID</x:v>
      </x:c>
      <x:c r="C6" s="36" t="str">
        <x:v>진단</x:v>
      </x:c>
      <x:c r="D6" s="36" t="str">
        <x:v>90일</x:v>
      </x:c>
      <x:c r="E6" s="36" t="str">
        <x:v>엔지니어링</x:v>
      </x:c>
      <x:c r="F6" s="36" t="str">
        <x:v>자동 만료</x:v>
      </x:c>
      <x:c r="G6" s="36" t="str">
        <x:v>저장·전송 암호화</x:v>
      </x:c>
      <x:c r="H6" s="36" t="str">
        <x:v>보안</x:v>
      </x:c>
    </x:row>
    <x:row r="7" ht="42" customHeight="1">
      <x:c r="A7" s="36" t="str">
        <x:v>상점</x:v>
      </x:c>
      <x:c r="B7" s="36" t="str">
        <x:v>거래, 권리</x:v>
      </x:c>
      <x:c r="C7" s="36" t="str">
        <x:v>회계·고객 지원</x:v>
      </x:c>
      <x:c r="D7" s="36" t="str">
        <x:v>법적 최소 기간</x:v>
      </x:c>
      <x:c r="E7" s="36" t="str">
        <x:v>경제·재무</x:v>
      </x:c>
      <x:c r="F7" s="36" t="str">
        <x:v>법적 예외</x:v>
      </x:c>
      <x:c r="G7" s="36" t="str">
        <x:v>강한 암호화</x:v>
      </x:c>
      <x:c r="H7" s="36" t="str">
        <x:v>법무·재무</x:v>
      </x:c>
    </x:row>
  </x:sheetData>
  <x:pageMargins left="0.7" right="0.7" top="0.75" bottom="0.75" header="0.3" footer="0.3"/>
  <x:tableParts count="1">
    <x:tablePart xmlns:r="http://schemas.openxmlformats.org/officeDocument/2006/relationships" r:id="R7d11d313e9f7457d"/>
  </x:tableParts>
</x:worksheet>
</file>

<file path=xl/worksheets/sheet6.xml><?xml version="1.0" encoding="utf-8"?>
<x:worksheet xmlns:x="http://schemas.openxmlformats.org/spreadsheetml/2006/main">
  <x:sheetFormatPr defaultRowHeight="15"/>
  <x:cols>
    <x:col min="1" max="1" width="18" hidden="0" customWidth="1"/>
    <x:col min="2" max="2" width="12" hidden="0" customWidth="1"/>
    <x:col min="3" max="3" width="24" hidden="0" customWidth="1"/>
    <x:col min="4" max="4" width="36" hidden="0" customWidth="1"/>
    <x:col min="5" max="5" width="44" hidden="0" customWidth="1"/>
    <x:col min="6" max="6" width="42" hidden="0" customWidth="1"/>
    <x:col min="7" max="7" width="54" hidden="0" customWidth="1"/>
    <x:col min="8" max="8" width="54" hidden="0" customWidth="1"/>
    <x:col min="9" max="9" width="16" hidden="0" customWidth="1"/>
    <x:col min="10" max="10" width="10" hidden="0" customWidth="1"/>
    <x:col min="11" max="11" width="18" hidden="0" customWidth="1"/>
    <x:col min="12" max="12" width="14" hidden="0" customWidth="1"/>
    <x:col min="13" max="13" width="14" hidden="0" customWidth="1"/>
    <x:col min="14" max="14" width="16" hidden="0" customWidth="1"/>
    <x:col min="15" max="15" width="15" hidden="0" customWidth="1"/>
    <x:col min="16" max="16" width="28" hidden="0" customWidth="1"/>
    <x:col min="17" max="17" width="18" hidden="0" customWidth="1"/>
    <x:col min="18" max="18" width="13" hidden="0" customWidth="1"/>
    <x:col min="19" max="19" width="28" hidden="0" customWidth="1"/>
    <x:col min="20" max="20" width="12" hidden="0" customWidth="1"/>
    <x:col min="21" max="21" width="12" hidden="0" customWidth="1"/>
    <x:col min="22" max="22" width="12" hidden="0" customWidth="1"/>
  </x:cols>
  <x:sheetData>
    <x:row r="1" ht="30" customHeight="1">
      <x:c r="A1" s="40" t="str">
        <x:v>테스트 ID</x:v>
      </x:c>
      <x:c r="B1" s="40" t="str">
        <x:v>관련 ID</x:v>
      </x:c>
      <x:c r="C1" s="40" t="str">
        <x:v>부문</x:v>
      </x:c>
      <x:c r="D1" s="40" t="str">
        <x:v>제목</x:v>
      </x:c>
      <x:c r="E1" s="40" t="str">
        <x:v>목적</x:v>
      </x:c>
      <x:c r="F1" s="40" t="str">
        <x:v>사전 조건</x:v>
      </x:c>
      <x:c r="G1" s="40" t="str">
        <x:v>절차</x:v>
      </x:c>
      <x:c r="H1" s="40" t="str">
        <x:v>예상 결과</x:v>
      </x:c>
      <x:c r="I1" s="40" t="str">
        <x:v>QA 유형</x:v>
      </x:c>
      <x:c r="J1" s="40" t="str">
        <x:v>우선순위</x:v>
      </x:c>
      <x:c r="K1" s="40" t="str">
        <x:v>대상 플랫폼</x:v>
      </x:c>
      <x:c r="L1" s="40" t="str">
        <x:v>자동화 후보</x:v>
      </x:c>
      <x:c r="M1" s="40" t="str">
        <x:v>상태</x:v>
      </x:c>
      <x:c r="N1" s="40" t="str">
        <x:v>담당자명</x:v>
      </x:c>
      <x:c r="O1" s="40" t="str">
        <x:v>대상 빌드</x:v>
      </x:c>
      <x:c r="P1" s="40" t="str">
        <x:v>증빙 링크</x:v>
      </x:c>
      <x:c r="Q1" s="40" t="str">
        <x:v>결함 키</x:v>
      </x:c>
      <x:c r="R1" s="40" t="str">
        <x:v>최종 갱신일</x:v>
      </x:c>
      <x:c r="S1" s="40" t="str">
        <x:v>비고</x:v>
      </x:c>
      <x:c r="T1" s="53" t="str">
        <x:v>시작일</x:v>
      </x:c>
      <x:c r="U1" s="53" t="str">
        <x:v>종료일</x:v>
      </x:c>
      <x:c r="V1" s="53" t="str">
        <x:v>진행상황</x:v>
      </x:c>
    </x:row>
    <x:row r="2" ht="42" customHeight="1">
      <x:c r="A2" s="36" t="str">
        <x:v>TC-BED-001-01</x:v>
      </x:c>
      <x:c r="B2" s="36" t="str">
        <x:v>BED-001</x:v>
      </x:c>
      <x:c r="C2" s="36" t="str">
        <x:v>백엔드·데이터·모더레이션</x:v>
      </x:c>
      <x:c r="D2" s="36" t="str">
        <x:v>정상 시나리오: 플랫폼 인증·게임 세션 토큰</x:v>
      </x:c>
      <x:c r="E2" s="36" t="str">
        <x:v>지원 플랫폼의 인증 결과를 검증하고 짧은 수명의 게임 토큰을 발급한다. 무효, 만료, 차단된 계정은 거부한다.</x:v>
      </x:c>
      <x:c r="F2" s="36" t="str">
        <x:v>대상 기능이 포함된 MVP 빌드, 필요한 테스트 계정·룸 설정·로그 접근 권한을 준비한다.</x:v>
      </x:c>
      <x:c r="G2" s="36" t="str">
        <x:v>1. 사전 조건 상태를 구성한다.
2. 표준 설정에서 다음 테스트 대상을 실행한다: 플랫폼 인증·게임 세션 토큰.
3. UI, 서버 상태와 로그·텔레메트리를 확인한다.
4. 필요하면 재입장 또는 재실행하여 재현성을 확인한다.</x:v>
      </x:c>
      <x:c r="H2" s="36" t="str">
        <x:v>지원 플랫폼의 인증 결과를 검증하고 짧은 수명의 게임 토큰을 발급한다. 무효, 만료, 차단된 계정은 거부한다.</x:v>
      </x:c>
      <x:c r="I2" s="36" t="str">
        <x:v>보안</x:v>
      </x:c>
      <x:c r="J2" s="36" t="str">
        <x:v>P0</x:v>
      </x:c>
      <x:c r="K2" s="36" t="str">
        <x:v>백엔드</x:v>
      </x:c>
      <x:c r="L2" s="36" t="str">
        <x:v>예</x:v>
      </x:c>
      <x:c r="M2" s="36" t="str">
        <x:v>미실시</x:v>
      </x:c>
      <x:c r="N2" s="36" t="str">
        <x:v>미정</x:v>
      </x:c>
      <x:c r="O2" s="36" t="str">
        <x:v>미정</x:v>
      </x:c>
      <x:c r="P2" s="36"/>
      <x:c r="Q2" s="36"/>
      <x:c r="R2" s="44" t="str">
        <x:v>2026-07-10</x:v>
      </x:c>
      <x:c r="S2" s="36"/>
      <x:c r="T2" s="54"/>
      <x:c r="U2" s="54"/>
      <x:c r="V2" s="53" t="str">
        <x:v>착수 전</x:v>
      </x:c>
    </x:row>
    <x:row r="3" ht="42" customHeight="1">
      <x:c r="A3" s="36" t="str">
        <x:v>TC-BED-001-02</x:v>
      </x:c>
      <x:c r="B3" s="36" t="str">
        <x:v>BED-001</x:v>
      </x:c>
      <x:c r="C3" s="36" t="str">
        <x:v>백엔드·데이터·모더레이션</x:v>
      </x:c>
      <x:c r="D3" s="36" t="str">
        <x:v>예외·경계 시나리오: 플랫폼 인증·게임 세션 토큰</x:v>
      </x:c>
      <x:c r="E3" s="36" t="str">
        <x:v>허용되지 않은 상태, 잘못된 값, 중복, 만료, 권한 부족, 연결 끊김 입력으로 데이터 손상·정보 유출·클라이언트 상태 분기가 발생하지 않는지 확인한다.</x:v>
      </x:c>
      <x:c r="F3" s="36" t="str">
        <x:v>대상 기능이 포함된 MVP 빌드와 디버그 입력, 네트워크 열화, 비정상 요청 재현 수단을 준비한다.</x:v>
      </x:c>
      <x:c r="G3" s="36" t="str">
        <x:v>1. 허용되지 않은 페이즈 또는 경계값 조건을 구성한다.
2. 플랫폼 인증·게임 세션 토큰에 대해 중복·무효·지연·연결 끊김을 포함한 요청을 전송한다.
3. 서버 거부, 롤백, 오류 표시와 감사 로그를 확인한다.
4. 모든 클라이언트의 상태가 일치하는지 확인한다.</x:v>
      </x:c>
      <x:c r="H3" s="36" t="str">
        <x:v>요청은 사양에 따라 거부되거나 안전하게 복구되며, 중복 반영, 데이터 손실, 정보 유출 또는 진행 중단이 발생하지 않는다. 오류와 상관관계 ID가 기록된다.</x:v>
      </x:c>
      <x:c r="I3" s="36" t="str">
        <x:v>보안</x:v>
      </x:c>
      <x:c r="J3" s="36" t="str">
        <x:v>P0</x:v>
      </x:c>
      <x:c r="K3" s="36" t="str">
        <x:v>백엔드</x:v>
      </x:c>
      <x:c r="L3" s="36" t="str">
        <x:v>예</x:v>
      </x:c>
      <x:c r="M3" s="36" t="str">
        <x:v>미실시</x:v>
      </x:c>
      <x:c r="N3" s="36" t="str">
        <x:v>미정</x:v>
      </x:c>
      <x:c r="O3" s="36" t="str">
        <x:v>미정</x:v>
      </x:c>
      <x:c r="P3" s="36"/>
      <x:c r="Q3" s="36"/>
      <x:c r="R3" s="44" t="str">
        <x:v>2026-07-10</x:v>
      </x:c>
      <x:c r="S3" s="36"/>
      <x:c r="T3" s="54"/>
      <x:c r="U3" s="54"/>
      <x:c r="V3" s="53" t="str">
        <x:v>착수 전</x:v>
      </x:c>
    </x:row>
    <x:row r="4" ht="42" customHeight="1">
      <x:c r="A4" s="36" t="str">
        <x:v>TC-BED-002-01</x:v>
      </x:c>
      <x:c r="B4" s="36" t="str">
        <x:v>BED-002</x:v>
      </x:c>
      <x:c r="C4" s="36" t="str">
        <x:v>백엔드·데이터·모더레이션</x:v>
      </x:c>
      <x:c r="D4" s="36" t="str">
        <x:v>정상 시나리오: 내부 플레이어 ID·플랫폼 ID 연동</x:v>
      </x:c>
      <x:c r="E4" s="36" t="str">
        <x:v>내부 ID를 고유하게 발급하고 복수 플랫폼 연동, 표시 이름 변경, 연동 해제, 계정 충돌을 감사 가능한 방식으로 처리한다.</x:v>
      </x:c>
      <x:c r="F4" s="36" t="str">
        <x:v>대상 기능이 포함된 알파 빌드, 필요한 테스트 계정·룸 설정·로그 접근 권한을 준비한다.</x:v>
      </x:c>
      <x:c r="G4" s="36" t="str">
        <x:v>1. 사전 조건 상태를 구성한다.
2. 표준 설정에서 다음 테스트 대상을 실행한다: 내부 플레이어 ID·플랫폼 ID 연동.
3. UI, 서버 상태와 로그·텔레메트리를 확인한다.
4. 필요하면 재입장 또는 재실행하여 재현성을 확인한다.</x:v>
      </x:c>
      <x:c r="H4" s="36" t="str">
        <x:v>내부 ID를 고유하게 발급하고 복수 플랫폼 연동, 표시 이름 변경, 연동 해제, 계정 충돌을 감사 가능한 방식으로 처리한다.</x:v>
      </x:c>
      <x:c r="I4" s="36" t="str">
        <x:v>보안</x:v>
      </x:c>
      <x:c r="J4" s="36" t="str">
        <x:v>P0</x:v>
      </x:c>
      <x:c r="K4" s="36" t="str">
        <x:v>백엔드</x:v>
      </x:c>
      <x:c r="L4" s="36" t="str">
        <x:v>예</x:v>
      </x:c>
      <x:c r="M4" s="36" t="str">
        <x:v>미실시</x:v>
      </x:c>
      <x:c r="N4" s="36" t="str">
        <x:v>미정</x:v>
      </x:c>
      <x:c r="O4" s="36" t="str">
        <x:v>미정</x:v>
      </x:c>
      <x:c r="P4" s="36"/>
      <x:c r="Q4" s="36"/>
      <x:c r="R4" s="44" t="str">
        <x:v>2026-07-10</x:v>
      </x:c>
      <x:c r="S4" s="36"/>
      <x:c r="T4" s="54"/>
      <x:c r="U4" s="54"/>
      <x:c r="V4" s="53" t="str">
        <x:v>착수 전</x:v>
      </x:c>
    </x:row>
    <x:row r="5" ht="42" customHeight="1">
      <x:c r="A5" s="36" t="str">
        <x:v>TC-BED-002-02</x:v>
      </x:c>
      <x:c r="B5" s="36" t="str">
        <x:v>BED-002</x:v>
      </x:c>
      <x:c r="C5" s="36" t="str">
        <x:v>백엔드·데이터·모더레이션</x:v>
      </x:c>
      <x:c r="D5" s="36" t="str">
        <x:v>예외·경계 시나리오: 내부 플레이어 ID·플랫폼 ID 연동</x:v>
      </x:c>
      <x:c r="E5" s="36" t="str">
        <x:v>허용되지 않은 상태, 잘못된 값, 중복, 만료, 권한 부족, 연결 끊김 입력으로 데이터 손상·정보 유출·클라이언트 상태 분기가 발생하지 않는지 확인한다.</x:v>
      </x:c>
      <x:c r="F5" s="36" t="str">
        <x:v>대상 기능이 포함된 알파 빌드와 디버그 입력, 네트워크 열화, 비정상 요청 재현 수단을 준비한다.</x:v>
      </x:c>
      <x:c r="G5" s="36" t="str">
        <x:v>1. 허용되지 않은 페이즈 또는 경계값 조건을 구성한다.
2. 내부 플레이어 ID·플랫폼 ID 연동에 대해 중복·무효·지연·연결 끊김을 포함한 요청을 전송한다.
3. 서버 거부, 롤백, 오류 표시와 감사 로그를 확인한다.
4. 모든 클라이언트의 상태가 일치하는지 확인한다.</x:v>
      </x:c>
      <x:c r="H5" s="36" t="str">
        <x:v>요청은 사양에 따라 거부되거나 안전하게 복구되며, 중복 반영, 데이터 손실, 정보 유출 또는 진행 중단이 발생하지 않는다. 오류와 상관관계 ID가 기록된다.</x:v>
      </x:c>
      <x:c r="I5" s="36" t="str">
        <x:v>보안</x:v>
      </x:c>
      <x:c r="J5" s="36" t="str">
        <x:v>P0</x:v>
      </x:c>
      <x:c r="K5" s="36" t="str">
        <x:v>백엔드</x:v>
      </x:c>
      <x:c r="L5" s="36" t="str">
        <x:v>예</x:v>
      </x:c>
      <x:c r="M5" s="36" t="str">
        <x:v>미실시</x:v>
      </x:c>
      <x:c r="N5" s="36" t="str">
        <x:v>미정</x:v>
      </x:c>
      <x:c r="O5" s="36" t="str">
        <x:v>미정</x:v>
      </x:c>
      <x:c r="P5" s="36"/>
      <x:c r="Q5" s="36"/>
      <x:c r="R5" s="44" t="str">
        <x:v>2026-07-10</x:v>
      </x:c>
      <x:c r="S5" s="36"/>
      <x:c r="T5" s="54"/>
      <x:c r="U5" s="54"/>
      <x:c r="V5" s="53" t="str">
        <x:v>착수 전</x:v>
      </x:c>
    </x:row>
    <x:row r="6" ht="42" customHeight="1">
      <x:c r="A6" s="36" t="str">
        <x:v>TC-BED-003-01</x:v>
      </x:c>
      <x:c r="B6" s="36" t="str">
        <x:v>BED-003</x:v>
      </x:c>
      <x:c r="C6" s="36" t="str">
        <x:v>백엔드·데이터·모더레이션</x:v>
      </x:c>
      <x:c r="D6" s="36" t="str">
        <x:v>정상 시나리오: 프로필·설정·튜토리얼 상태 저장</x:v>
      </x:c>
      <x:c r="E6" s="36" t="str">
        <x:v>언어, 접근성, 튜토리얼 완료, 기본 프로필을 버전 관리해 저장하고 기기 설정과 계정 설정의 우선순위를 정의한다.</x:v>
      </x:c>
      <x:c r="F6" s="36" t="str">
        <x:v>대상 기능이 포함된 알파 빌드, 필요한 테스트 계정·룸 설정·로그 접근 권한을 준비한다.</x:v>
      </x:c>
      <x:c r="G6" s="36" t="str">
        <x:v>1. 사전 조건 상태를 구성한다.
2. 표준 설정에서 다음 테스트 대상을 실행한다: 프로필·설정·튜토리얼 상태 저장.
3. UI, 서버 상태와 로그·텔레메트리를 확인한다.
4. 필요하면 재입장 또는 재실행하여 재현성을 확인한다.</x:v>
      </x:c>
      <x:c r="H6" s="36" t="str">
        <x:v>언어, 접근성, 튜토리얼 완료, 기본 프로필을 버전 관리해 저장하고 기기 설정과 계정 설정의 우선순위를 정의한다.</x:v>
      </x:c>
      <x:c r="I6" s="36" t="str">
        <x:v>호환성</x:v>
      </x:c>
      <x:c r="J6" s="36" t="str">
        <x:v>P1</x:v>
      </x:c>
      <x:c r="K6" s="36" t="str">
        <x:v>백엔드</x:v>
      </x:c>
      <x:c r="L6" s="36" t="str">
        <x:v>예</x:v>
      </x:c>
      <x:c r="M6" s="36" t="str">
        <x:v>미실시</x:v>
      </x:c>
      <x:c r="N6" s="36" t="str">
        <x:v>미정</x:v>
      </x:c>
      <x:c r="O6" s="36" t="str">
        <x:v>미정</x:v>
      </x:c>
      <x:c r="P6" s="36"/>
      <x:c r="Q6" s="36"/>
      <x:c r="R6" s="44" t="str">
        <x:v>2026-07-10</x:v>
      </x:c>
      <x:c r="S6" s="36"/>
      <x:c r="T6" s="54"/>
      <x:c r="U6" s="54"/>
      <x:c r="V6" s="53" t="str">
        <x:v>착수 전</x:v>
      </x:c>
    </x:row>
    <x:row r="7" ht="42" customHeight="1">
      <x:c r="A7" s="36" t="str">
        <x:v>TC-BED-004-01</x:v>
      </x:c>
      <x:c r="B7" s="36" t="str">
        <x:v>BED-004</x:v>
      </x:c>
      <x:c r="C7" s="36" t="str">
        <x:v>백엔드·데이터·모더레이션</x:v>
      </x:c>
      <x:c r="D7" s="36" t="str">
        <x:v>정상 시나리오: 외형 아이템 보유·장착 데이터</x:v>
      </x:c>
      <x:c r="E7" s="36" t="str">
        <x:v>아이템 보유, 장착, 획득 경로, 중복 변환, 만료를 서버에서 관리하고 보유하지 않은 아이템의 장착 요청을 거부한다.</x:v>
      </x:c>
      <x:c r="F7" s="36" t="str">
        <x:v>대상 기능이 포함된 출시 후 빌드, 필요한 테스트 계정·룸 설정·로그 접근 권한을 준비한다.</x:v>
      </x:c>
      <x:c r="G7" s="36" t="str">
        <x:v>1. 사전 조건 상태를 구성한다.
2. 표준 설정에서 다음 테스트 대상을 실행한다: 외형 아이템 보유·장착 데이터.
3. UI, 서버 상태와 로그·텔레메트리를 확인한다.
4. 필요하면 재입장 또는 재실행하여 재현성을 확인한다.</x:v>
      </x:c>
      <x:c r="H7" s="36" t="str">
        <x:v>아이템 보유, 장착, 획득 경로, 중복 변환, 만료를 서버에서 관리하고 보유하지 않은 아이템의 장착 요청을 거부한다.</x:v>
      </x:c>
      <x:c r="I7" s="36" t="str">
        <x:v>보안</x:v>
      </x:c>
      <x:c r="J7" s="36" t="str">
        <x:v>P2</x:v>
      </x:c>
      <x:c r="K7" s="36" t="str">
        <x:v>백엔드</x:v>
      </x:c>
      <x:c r="L7" s="36" t="str">
        <x:v>예</x:v>
      </x:c>
      <x:c r="M7" s="36" t="str">
        <x:v>미실시</x:v>
      </x:c>
      <x:c r="N7" s="36" t="str">
        <x:v>미정</x:v>
      </x:c>
      <x:c r="O7" s="36" t="str">
        <x:v>미정</x:v>
      </x:c>
      <x:c r="P7" s="36"/>
      <x:c r="Q7" s="36"/>
      <x:c r="R7" s="44" t="str">
        <x:v>2026-07-10</x:v>
      </x:c>
      <x:c r="S7" s="36"/>
      <x:c r="T7" s="54"/>
      <x:c r="U7" s="54"/>
      <x:c r="V7" s="53" t="str">
        <x:v>착수 전</x:v>
      </x:c>
    </x:row>
    <x:row r="8" ht="42" customHeight="1">
      <x:c r="A8" s="36" t="str">
        <x:v>TC-BED-005-01</x:v>
      </x:c>
      <x:c r="B8" s="36" t="str">
        <x:v>BED-005</x:v>
      </x:c>
      <x:c r="C8" s="36" t="str">
        <x:v>백엔드·데이터·모더레이션</x:v>
      </x:c>
      <x:c r="D8" s="36" t="str">
        <x:v>정상 시나리오: 제품·DLC·플랫폼 권리 확인</x:v>
      </x:c>
      <x:c r="E8" s="36" t="str">
        <x:v>상품 권리를 플랫폼에서 검증하고 캐시 만료, 환불, 오프라인, 복수 기기 사용을 일관되게 처리한다.</x:v>
      </x:c>
      <x:c r="F8" s="36" t="str">
        <x:v>대상 기능이 포함된 출시 빌드, 필요한 테스트 계정·룸 설정·로그 접근 권한을 준비한다.</x:v>
      </x:c>
      <x:c r="G8" s="36" t="str">
        <x:v>1. 사전 조건 상태를 구성한다.
2. 표준 설정에서 다음 테스트 대상을 실행한다: 제품·DLC·플랫폼 권리 확인.
3. UI, 서버 상태와 로그·텔레메트리를 확인한다.
4. 필요하면 재입장 또는 재실행하여 재현성을 확인한다.</x:v>
      </x:c>
      <x:c r="H8" s="36" t="str">
        <x:v>상품 권리를 플랫폼에서 검증하고 캐시 만료, 환불, 오프라인, 복수 기기 사용을 일관되게 처리한다.</x:v>
      </x:c>
      <x:c r="I8" s="36" t="str">
        <x:v>보안</x:v>
      </x:c>
      <x:c r="J8" s="36" t="str">
        <x:v>P0</x:v>
      </x:c>
      <x:c r="K8" s="36" t="str">
        <x:v>백엔드</x:v>
      </x:c>
      <x:c r="L8" s="36" t="str">
        <x:v>예</x:v>
      </x:c>
      <x:c r="M8" s="36" t="str">
        <x:v>미실시</x:v>
      </x:c>
      <x:c r="N8" s="36" t="str">
        <x:v>미정</x:v>
      </x:c>
      <x:c r="O8" s="36" t="str">
        <x:v>미정</x:v>
      </x:c>
      <x:c r="P8" s="36"/>
      <x:c r="Q8" s="36"/>
      <x:c r="R8" s="44" t="str">
        <x:v>2026-07-10</x:v>
      </x:c>
      <x:c r="S8" s="36"/>
      <x:c r="T8" s="54"/>
      <x:c r="U8" s="54"/>
      <x:c r="V8" s="53" t="str">
        <x:v>착수 전</x:v>
      </x:c>
    </x:row>
    <x:row r="9" ht="42" customHeight="1">
      <x:c r="A9" s="36" t="str">
        <x:v>TC-BED-005-02</x:v>
      </x:c>
      <x:c r="B9" s="36" t="str">
        <x:v>BED-005</x:v>
      </x:c>
      <x:c r="C9" s="36" t="str">
        <x:v>백엔드·데이터·모더레이션</x:v>
      </x:c>
      <x:c r="D9" s="36" t="str">
        <x:v>예외·경계 시나리오: 제품·DLC·플랫폼 권리 확인</x:v>
      </x:c>
      <x:c r="E9" s="36" t="str">
        <x:v>허용되지 않은 상태, 잘못된 값, 중복, 만료, 권한 부족, 연결 끊김 입력으로 데이터 손상·정보 유출·클라이언트 상태 분기가 발생하지 않는지 확인한다.</x:v>
      </x:c>
      <x:c r="F9" s="36" t="str">
        <x:v>대상 기능이 포함된 출시 빌드와 디버그 입력, 네트워크 열화, 비정상 요청 재현 수단을 준비한다.</x:v>
      </x:c>
      <x:c r="G9" s="36" t="str">
        <x:v>1. 허용되지 않은 페이즈 또는 경계값 조건을 구성한다.
2. 제품·DLC·플랫폼 권리 확인에 대해 중복·무효·지연·연결 끊김을 포함한 요청을 전송한다.
3. 서버 거부, 롤백, 오류 표시와 감사 로그를 확인한다.
4. 모든 클라이언트의 상태가 일치하는지 확인한다.</x:v>
      </x:c>
      <x:c r="H9" s="36" t="str">
        <x:v>요청은 사양에 따라 거부되거나 안전하게 복구되며, 중복 반영, 데이터 손실, 정보 유출 또는 진행 중단이 발생하지 않는다. 오류와 상관관계 ID가 기록된다.</x:v>
      </x:c>
      <x:c r="I9" s="36" t="str">
        <x:v>보안</x:v>
      </x:c>
      <x:c r="J9" s="36" t="str">
        <x:v>P0</x:v>
      </x:c>
      <x:c r="K9" s="36" t="str">
        <x:v>백엔드</x:v>
      </x:c>
      <x:c r="L9" s="36" t="str">
        <x:v>예</x:v>
      </x:c>
      <x:c r="M9" s="36" t="str">
        <x:v>미실시</x:v>
      </x:c>
      <x:c r="N9" s="36" t="str">
        <x:v>미정</x:v>
      </x:c>
      <x:c r="O9" s="36" t="str">
        <x:v>미정</x:v>
      </x:c>
      <x:c r="P9" s="36"/>
      <x:c r="Q9" s="36"/>
      <x:c r="R9" s="44" t="str">
        <x:v>2026-07-10</x:v>
      </x:c>
      <x:c r="S9" s="36"/>
      <x:c r="T9" s="54"/>
      <x:c r="U9" s="54"/>
      <x:c r="V9" s="53" t="str">
        <x:v>착수 전</x:v>
      </x:c>
    </x:row>
    <x:row r="10" ht="42" customHeight="1">
      <x:c r="A10" s="36" t="str">
        <x:v>TC-BED-006-01</x:v>
      </x:c>
      <x:c r="B10" s="36" t="str">
        <x:v>BED-006</x:v>
      </x:c>
      <x:c r="C10" s="36" t="str">
        <x:v>백엔드·데이터·모더레이션</x:v>
      </x:c>
      <x:c r="D10" s="36" t="str">
        <x:v>정상 시나리오: 매치 결과·역할·투표 이력 저장</x:v>
      </x:c>
      <x:c r="E10" s="36" t="str">
        <x:v>매치 ID, 참가자, 버전, 역할, 승패, 일차, 투표, 종료 사유를 저장하고 공개용 데이터와 내부 운영 데이터를 분리한다.</x:v>
      </x:c>
      <x:c r="F10" s="36" t="str">
        <x:v>대상 기능이 포함된 MVP 빌드, 필요한 테스트 계정·룸 설정·로그 접근 권한을 준비한다.</x:v>
      </x:c>
      <x:c r="G10" s="36" t="str">
        <x:v>1. 사전 조건 상태를 구성한다.
2. 표준 설정에서 다음 테스트 대상을 실행한다: 매치 결과·역할·투표 이력 저장.
3. UI, 서버 상태와 로그·텔레메트리를 확인한다.
4. 필요하면 재입장 또는 재실행하여 재현성을 확인한다.</x:v>
      </x:c>
      <x:c r="H10" s="36" t="str">
        <x:v>매치 ID, 참가자, 버전, 역할, 승패, 일차, 투표, 종료 사유를 저장하고 공개용 데이터와 내부 운영 데이터를 분리한다.</x:v>
      </x:c>
      <x:c r="I10" s="36" t="str">
        <x:v>통합</x:v>
      </x:c>
      <x:c r="J10" s="36" t="str">
        <x:v>P0</x:v>
      </x:c>
      <x:c r="K10" s="36" t="str">
        <x:v>백엔드</x:v>
      </x:c>
      <x:c r="L10" s="36" t="str">
        <x:v>예</x:v>
      </x:c>
      <x:c r="M10" s="36" t="str">
        <x:v>미실시</x:v>
      </x:c>
      <x:c r="N10" s="36" t="str">
        <x:v>미정</x:v>
      </x:c>
      <x:c r="O10" s="36" t="str">
        <x:v>미정</x:v>
      </x:c>
      <x:c r="P10" s="36"/>
      <x:c r="Q10" s="36"/>
      <x:c r="R10" s="44" t="str">
        <x:v>2026-07-10</x:v>
      </x:c>
      <x:c r="S10" s="36"/>
      <x:c r="T10" s="54"/>
      <x:c r="U10" s="54"/>
      <x:c r="V10" s="53" t="str">
        <x:v>착수 전</x:v>
      </x:c>
    </x:row>
    <x:row r="11" ht="42" customHeight="1">
      <x:c r="A11" s="36" t="str">
        <x:v>TC-BED-006-02</x:v>
      </x:c>
      <x:c r="B11" s="36" t="str">
        <x:v>BED-006</x:v>
      </x:c>
      <x:c r="C11" s="36" t="str">
        <x:v>백엔드·데이터·모더레이션</x:v>
      </x:c>
      <x:c r="D11" s="36" t="str">
        <x:v>예외·경계 시나리오: 매치 결과·역할·투표 이력 저장</x:v>
      </x:c>
      <x:c r="E11" s="36" t="str">
        <x:v>허용되지 않은 상태, 잘못된 값, 중복, 만료, 권한 부족, 연결 끊김 입력으로 데이터 손상·정보 유출·클라이언트 상태 분기가 발생하지 않는지 확인한다.</x:v>
      </x:c>
      <x:c r="F11" s="36" t="str">
        <x:v>대상 기능이 포함된 MVP 빌드와 디버그 입력, 네트워크 열화, 비정상 요청 재현 수단을 준비한다.</x:v>
      </x:c>
      <x:c r="G11" s="36" t="str">
        <x:v>1. 허용되지 않은 페이즈 또는 경계값 조건을 구성한다.
2. 매치 결과·역할·투표 이력 저장에 대해 중복·무효·지연·연결 끊김을 포함한 요청을 전송한다.
3. 서버 거부, 롤백, 오류 표시와 감사 로그를 확인한다.
4. 모든 클라이언트의 상태가 일치하는지 확인한다.</x:v>
      </x:c>
      <x:c r="H11" s="36" t="str">
        <x:v>요청은 사양에 따라 거부되거나 안전하게 복구되며, 중복 반영, 데이터 손실, 정보 유출 또는 진행 중단이 발생하지 않는다. 오류와 상관관계 ID가 기록된다.</x:v>
      </x:c>
      <x:c r="I11" s="36" t="str">
        <x:v>통합</x:v>
      </x:c>
      <x:c r="J11" s="36" t="str">
        <x:v>P0</x:v>
      </x:c>
      <x:c r="K11" s="36" t="str">
        <x:v>백엔드</x:v>
      </x:c>
      <x:c r="L11" s="36" t="str">
        <x:v>예</x:v>
      </x:c>
      <x:c r="M11" s="36" t="str">
        <x:v>미실시</x:v>
      </x:c>
      <x:c r="N11" s="36" t="str">
        <x:v>미정</x:v>
      </x:c>
      <x:c r="O11" s="36" t="str">
        <x:v>미정</x:v>
      </x:c>
      <x:c r="P11" s="36"/>
      <x:c r="Q11" s="36"/>
      <x:c r="R11" s="44" t="str">
        <x:v>2026-07-10</x:v>
      </x:c>
      <x:c r="S11" s="36"/>
      <x:c r="T11" s="54"/>
      <x:c r="U11" s="54"/>
      <x:c r="V11" s="53" t="str">
        <x:v>착수 전</x:v>
      </x:c>
    </x:row>
    <x:row r="12" ht="42" customHeight="1">
      <x:c r="A12" s="36" t="str">
        <x:v>TC-BED-007-01</x:v>
      </x:c>
      <x:c r="B12" s="36" t="str">
        <x:v>BED-007</x:v>
      </x:c>
      <x:c r="C12" s="36" t="str">
        <x:v>백엔드·데이터·모더레이션</x:v>
      </x:c>
      <x:c r="D12" s="36" t="str">
        <x:v>정상 시나리오: 보상·진행도 멱등 트랜잭션</x:v>
      </x:c>
      <x:c r="E12" s="36" t="str">
        <x:v>매치 ID와 플레이어 ID를 멱등 키로 사용해 보상을 한 번만 지급하고 실패 시 안전하게 재전송할 수 있는 상태를 유지한다.</x:v>
      </x:c>
      <x:c r="F12" s="36" t="str">
        <x:v>대상 기능이 포함된 출시 후 빌드, 필요한 테스트 계정·룸 설정·로그 접근 권한을 준비한다.</x:v>
      </x:c>
      <x:c r="G12" s="36" t="str">
        <x:v>1. 사전 조건 상태를 구성한다.
2. 표준 설정에서 다음 테스트 대상을 실행한다: 보상·진행도 멱등 트랜잭션.
3. UI, 서버 상태와 로그·텔레메트리를 확인한다.
4. 필요하면 재입장 또는 재실행하여 재현성을 확인한다.</x:v>
      </x:c>
      <x:c r="H12" s="36" t="str">
        <x:v>매치 ID와 플레이어 ID를 멱등 키로 사용해 보상을 한 번만 지급하고 실패 시 안전하게 재전송할 수 있는 상태를 유지한다.</x:v>
      </x:c>
      <x:c r="I12" s="36" t="str">
        <x:v>보안</x:v>
      </x:c>
      <x:c r="J12" s="36" t="str">
        <x:v>P1</x:v>
      </x:c>
      <x:c r="K12" s="36" t="str">
        <x:v>백엔드</x:v>
      </x:c>
      <x:c r="L12" s="36" t="str">
        <x:v>예</x:v>
      </x:c>
      <x:c r="M12" s="36" t="str">
        <x:v>미실시</x:v>
      </x:c>
      <x:c r="N12" s="36" t="str">
        <x:v>미정</x:v>
      </x:c>
      <x:c r="O12" s="36" t="str">
        <x:v>미정</x:v>
      </x:c>
      <x:c r="P12" s="36"/>
      <x:c r="Q12" s="36"/>
      <x:c r="R12" s="44" t="str">
        <x:v>2026-07-10</x:v>
      </x:c>
      <x:c r="S12" s="36"/>
      <x:c r="T12" s="54"/>
      <x:c r="U12" s="54"/>
      <x:c r="V12" s="53" t="str">
        <x:v>착수 전</x:v>
      </x:c>
    </x:row>
    <x:row r="13" ht="42" customHeight="1">
      <x:c r="A13" s="36" t="str">
        <x:v>TC-BED-008-01</x:v>
      </x:c>
      <x:c r="B13" s="36" t="str">
        <x:v>BED-008</x:v>
      </x:c>
      <x:c r="C13" s="36" t="str">
        <x:v>백엔드·데이터·모더레이션</x:v>
      </x:c>
      <x:c r="D13" s="36" t="str">
        <x:v>정상 시나리오: 게임플레이·UX·네트워크 이벤트 수집</x:v>
      </x:c>
      <x:c r="E13" s="36" t="str">
        <x:v>페이즈, 메모 작성·부착, 투표, 최종 재판, 이탈, 연결 품질을 버전 있는 이벤트로 수집하고 비공개 정보와 개인 정보는 최소화한다.</x:v>
      </x:c>
      <x:c r="F13" s="36" t="str">
        <x:v>대상 기능이 포함된 알파 빌드, 필요한 테스트 계정·룸 설정·로그 접근 권한을 준비한다.</x:v>
      </x:c>
      <x:c r="G13" s="36" t="str">
        <x:v>1. 사전 조건 상태를 구성한다.
2. 표준 설정에서 다음 테스트 대상을 실행한다: 게임플레이·UX·네트워크 이벤트 수집.
3. UI, 서버 상태와 로그·텔레메트리를 확인한다.
4. 필요하면 재입장 또는 재실행하여 재현성을 확인한다.</x:v>
      </x:c>
      <x:c r="H13" s="36" t="str">
        <x:v>페이즈, 메모 작성·부착, 투표, 최종 재판, 이탈, 연결 품질을 버전 있는 이벤트로 수집하고 비공개 정보와 개인 정보는 최소화한다.</x:v>
      </x:c>
      <x:c r="I13" s="36" t="str">
        <x:v>운영</x:v>
      </x:c>
      <x:c r="J13" s="36" t="str">
        <x:v>P0</x:v>
      </x:c>
      <x:c r="K13" s="36" t="str">
        <x:v>백엔드</x:v>
      </x:c>
      <x:c r="L13" s="36" t="str">
        <x:v>예</x:v>
      </x:c>
      <x:c r="M13" s="36" t="str">
        <x:v>미실시</x:v>
      </x:c>
      <x:c r="N13" s="36" t="str">
        <x:v>미정</x:v>
      </x:c>
      <x:c r="O13" s="36" t="str">
        <x:v>미정</x:v>
      </x:c>
      <x:c r="P13" s="36"/>
      <x:c r="Q13" s="36"/>
      <x:c r="R13" s="44" t="str">
        <x:v>2026-07-10</x:v>
      </x:c>
      <x:c r="S13" s="36"/>
      <x:c r="T13" s="54"/>
      <x:c r="U13" s="54"/>
      <x:c r="V13" s="53" t="str">
        <x:v>착수 전</x:v>
      </x:c>
    </x:row>
    <x:row r="14" ht="42" customHeight="1">
      <x:c r="A14" s="36" t="str">
        <x:v>TC-BED-008-02</x:v>
      </x:c>
      <x:c r="B14" s="36" t="str">
        <x:v>BED-008</x:v>
      </x:c>
      <x:c r="C14" s="36" t="str">
        <x:v>백엔드·데이터·모더레이션</x:v>
      </x:c>
      <x:c r="D14" s="36" t="str">
        <x:v>예외·경계 시나리오: 게임플레이·UX·네트워크 이벤트 수집</x:v>
      </x:c>
      <x:c r="E14" s="36" t="str">
        <x:v>허용되지 않은 상태, 잘못된 값, 중복, 만료, 권한 부족, 연결 끊김 입력으로 데이터 손상·정보 유출·클라이언트 상태 분기가 발생하지 않는지 확인한다.</x:v>
      </x:c>
      <x:c r="F14" s="36" t="str">
        <x:v>대상 기능이 포함된 알파 빌드와 디버그 입력, 네트워크 열화, 비정상 요청 재현 수단을 준비한다.</x:v>
      </x:c>
      <x:c r="G14" s="36" t="str">
        <x:v>1. 허용되지 않은 페이즈 또는 경계값 조건을 구성한다.
2. 게임플레이·UX·네트워크 이벤트 수집에 대해 중복·무효·지연·연결 끊김을 포함한 요청을 전송한다.
3. 서버 거부, 롤백, 오류 표시와 감사 로그를 확인한다.
4. 모든 클라이언트의 상태가 일치하는지 확인한다.</x:v>
      </x:c>
      <x:c r="H14" s="36" t="str">
        <x:v>요청은 사양에 따라 거부되거나 안전하게 복구되며, 중복 반영, 데이터 손실, 정보 유출 또는 진행 중단이 발생하지 않는다. 오류와 상관관계 ID가 기록된다.</x:v>
      </x:c>
      <x:c r="I14" s="36" t="str">
        <x:v>운영</x:v>
      </x:c>
      <x:c r="J14" s="36" t="str">
        <x:v>P0</x:v>
      </x:c>
      <x:c r="K14" s="36" t="str">
        <x:v>백엔드</x:v>
      </x:c>
      <x:c r="L14" s="36" t="str">
        <x:v>예</x:v>
      </x:c>
      <x:c r="M14" s="36" t="str">
        <x:v>미실시</x:v>
      </x:c>
      <x:c r="N14" s="36" t="str">
        <x:v>미정</x:v>
      </x:c>
      <x:c r="O14" s="36" t="str">
        <x:v>미정</x:v>
      </x:c>
      <x:c r="P14" s="36"/>
      <x:c r="Q14" s="36"/>
      <x:c r="R14" s="44" t="str">
        <x:v>2026-07-10</x:v>
      </x:c>
      <x:c r="S14" s="36"/>
      <x:c r="T14" s="54"/>
      <x:c r="U14" s="54"/>
      <x:c r="V14" s="53" t="str">
        <x:v>착수 전</x:v>
      </x:c>
    </x:row>
    <x:row r="15" ht="42" customHeight="1">
      <x:c r="A15" s="36" t="str">
        <x:v>TC-BED-009-01</x:v>
      </x:c>
      <x:c r="B15" s="36" t="str">
        <x:v>BED-009</x:v>
      </x:c>
      <x:c r="C15" s="36" t="str">
        <x:v>백엔드·데이터·모더레이션</x:v>
      </x:c>
      <x:c r="D15" s="36" t="str">
        <x:v>정상 시나리오: 신고·음소거·차단 기반</x:v>
      </x:c>
      <x:c r="E15" s="36" t="str">
        <x:v>매치 중 또는 종료 후 플레이어를 신고하고 로컬 음소거와 계정 차단을 적용할 수 있으며 대상 매치 ID와 사유 코드를 저장한다.</x:v>
      </x:c>
      <x:c r="F15" s="36" t="str">
        <x:v>대상 기능이 포함된 베타 빌드, 필요한 테스트 계정·룸 설정·로그 접근 권한을 준비한다.</x:v>
      </x:c>
      <x:c r="G15" s="36" t="str">
        <x:v>1. 사전 조건 상태를 구성한다.
2. 표준 설정에서 다음 테스트 대상을 실행한다: 신고·음소거·차단 기반.
3. UI, 서버 상태와 로그·텔레메트리를 확인한다.
4. 필요하면 재입장 또는 재실행하여 재현성을 확인한다.</x:v>
      </x:c>
      <x:c r="H15" s="36" t="str">
        <x:v>매치 중 또는 종료 후 플레이어를 신고하고 로컬 음소거와 계정 차단을 적용할 수 있으며 대상 매치 ID와 사유 코드를 저장한다.</x:v>
      </x:c>
      <x:c r="I15" s="36" t="str">
        <x:v>운영</x:v>
      </x:c>
      <x:c r="J15" s="36" t="str">
        <x:v>P0</x:v>
      </x:c>
      <x:c r="K15" s="36" t="str">
        <x:v>백엔드</x:v>
      </x:c>
      <x:c r="L15" s="36" t="str">
        <x:v>예</x:v>
      </x:c>
      <x:c r="M15" s="36" t="str">
        <x:v>미실시</x:v>
      </x:c>
      <x:c r="N15" s="36" t="str">
        <x:v>미정</x:v>
      </x:c>
      <x:c r="O15" s="36" t="str">
        <x:v>미정</x:v>
      </x:c>
      <x:c r="P15" s="36"/>
      <x:c r="Q15" s="36"/>
      <x:c r="R15" s="44" t="str">
        <x:v>2026-07-10</x:v>
      </x:c>
      <x:c r="S15" s="36"/>
      <x:c r="T15" s="54"/>
      <x:c r="U15" s="54"/>
      <x:c r="V15" s="53" t="str">
        <x:v>착수 전</x:v>
      </x:c>
    </x:row>
    <x:row r="16" ht="42" customHeight="1">
      <x:c r="A16" s="36" t="str">
        <x:v>TC-BED-009-02</x:v>
      </x:c>
      <x:c r="B16" s="36" t="str">
        <x:v>BED-009</x:v>
      </x:c>
      <x:c r="C16" s="36" t="str">
        <x:v>백엔드·데이터·모더레이션</x:v>
      </x:c>
      <x:c r="D16" s="36" t="str">
        <x:v>예외·경계 시나리오: 신고·음소거·차단 기반</x:v>
      </x:c>
      <x:c r="E16" s="36" t="str">
        <x:v>허용되지 않은 상태, 잘못된 값, 중복, 만료, 권한 부족, 연결 끊김 입력으로 데이터 손상·정보 유출·클라이언트 상태 분기가 발생하지 않는지 확인한다.</x:v>
      </x:c>
      <x:c r="F16" s="36" t="str">
        <x:v>대상 기능이 포함된 베타 빌드와 디버그 입력, 네트워크 열화, 비정상 요청 재현 수단을 준비한다.</x:v>
      </x:c>
      <x:c r="G16" s="36" t="str">
        <x:v>1. 허용되지 않은 페이즈 또는 경계값 조건을 구성한다.
2. 신고·음소거·차단 기반에 대해 중복·무효·지연·연결 끊김을 포함한 요청을 전송한다.
3. 서버 거부, 롤백, 오류 표시와 감사 로그를 확인한다.
4. 모든 클라이언트의 상태가 일치하는지 확인한다.</x:v>
      </x:c>
      <x:c r="H16" s="36" t="str">
        <x:v>요청은 사양에 따라 거부되거나 안전하게 복구되며, 중복 반영, 데이터 손실, 정보 유출 또는 진행 중단이 발생하지 않는다. 오류와 상관관계 ID가 기록된다.</x:v>
      </x:c>
      <x:c r="I16" s="36" t="str">
        <x:v>운영</x:v>
      </x:c>
      <x:c r="J16" s="36" t="str">
        <x:v>P0</x:v>
      </x:c>
      <x:c r="K16" s="36" t="str">
        <x:v>백엔드</x:v>
      </x:c>
      <x:c r="L16" s="36" t="str">
        <x:v>예</x:v>
      </x:c>
      <x:c r="M16" s="36" t="str">
        <x:v>미실시</x:v>
      </x:c>
      <x:c r="N16" s="36" t="str">
        <x:v>미정</x:v>
      </x:c>
      <x:c r="O16" s="36" t="str">
        <x:v>미정</x:v>
      </x:c>
      <x:c r="P16" s="36"/>
      <x:c r="Q16" s="36"/>
      <x:c r="R16" s="44" t="str">
        <x:v>2026-07-10</x:v>
      </x:c>
      <x:c r="S16" s="36"/>
      <x:c r="T16" s="54"/>
      <x:c r="U16" s="54"/>
      <x:c r="V16" s="53" t="str">
        <x:v>착수 전</x:v>
      </x:c>
    </x:row>
    <x:row r="17" ht="42" customHeight="1">
      <x:c r="A17" s="36" t="str">
        <x:v>TC-BED-010-01</x:v>
      </x:c>
      <x:c r="B17" s="36" t="str">
        <x:v>BED-010</x:v>
      </x:c>
      <x:c r="C17" s="36" t="str">
        <x:v>백엔드·데이터·모더레이션</x:v>
      </x:c>
      <x:c r="D17" s="36" t="str">
        <x:v>정상 시나리오: 자유 텍스트·표시 이름 모더레이션</x:v>
      </x:c>
      <x:c r="E17" s="36" t="str">
        <x:v>표시 이름과 향후 자유 입력을 금칙어, 개인 정보, 스팸, 지역 요건으로 검사하되 MVP 프리셋 문구에는 불필요한 오탐을 적용하지 않는다.</x:v>
      </x:c>
      <x:c r="F17" s="36" t="str">
        <x:v>대상 기능이 포함된 출시 빌드, 필요한 테스트 계정·룸 설정·로그 접근 권한을 준비한다.</x:v>
      </x:c>
      <x:c r="G17" s="36" t="str">
        <x:v>1. 사전 조건 상태를 구성한다.
2. 표준 설정에서 다음 테스트 대상을 실행한다: 자유 텍스트·표시 이름 모더레이션.
3. UI, 서버 상태와 로그·텔레메트리를 확인한다.
4. 필요하면 재입장 또는 재실행하여 재현성을 확인한다.</x:v>
      </x:c>
      <x:c r="H17" s="36" t="str">
        <x:v>표시 이름과 향후 자유 입력을 금칙어, 개인 정보, 스팸, 지역 요건으로 검사하되 MVP 프리셋 문구에는 불필요한 오탐을 적용하지 않는다.</x:v>
      </x:c>
      <x:c r="I17" s="36" t="str">
        <x:v>보안</x:v>
      </x:c>
      <x:c r="J17" s="36" t="str">
        <x:v>P0</x:v>
      </x:c>
      <x:c r="K17" s="36" t="str">
        <x:v>백엔드</x:v>
      </x:c>
      <x:c r="L17" s="36" t="str">
        <x:v>예</x:v>
      </x:c>
      <x:c r="M17" s="36" t="str">
        <x:v>미실시</x:v>
      </x:c>
      <x:c r="N17" s="36" t="str">
        <x:v>미정</x:v>
      </x:c>
      <x:c r="O17" s="36" t="str">
        <x:v>미정</x:v>
      </x:c>
      <x:c r="P17" s="36"/>
      <x:c r="Q17" s="36"/>
      <x:c r="R17" s="44" t="str">
        <x:v>2026-07-10</x:v>
      </x:c>
      <x:c r="S17" s="36"/>
      <x:c r="T17" s="54"/>
      <x:c r="U17" s="54"/>
      <x:c r="V17" s="53" t="str">
        <x:v>착수 전</x:v>
      </x:c>
    </x:row>
    <x:row r="18" ht="42" customHeight="1">
      <x:c r="A18" s="36" t="str">
        <x:v>TC-BED-010-02</x:v>
      </x:c>
      <x:c r="B18" s="36" t="str">
        <x:v>BED-010</x:v>
      </x:c>
      <x:c r="C18" s="36" t="str">
        <x:v>백엔드·데이터·모더레이션</x:v>
      </x:c>
      <x:c r="D18" s="36" t="str">
        <x:v>예외·경계 시나리오: 자유 텍스트·표시 이름 모더레이션</x:v>
      </x:c>
      <x:c r="E18" s="36" t="str">
        <x:v>허용되지 않은 상태, 잘못된 값, 중복, 만료, 권한 부족, 연결 끊김 입력으로 데이터 손상·정보 유출·클라이언트 상태 분기가 발생하지 않는지 확인한다.</x:v>
      </x:c>
      <x:c r="F18" s="36" t="str">
        <x:v>대상 기능이 포함된 출시 빌드와 디버그 입력, 네트워크 열화, 비정상 요청 재현 수단을 준비한다.</x:v>
      </x:c>
      <x:c r="G18" s="36" t="str">
        <x:v>1. 허용되지 않은 페이즈 또는 경계값 조건을 구성한다.
2. 자유 텍스트·표시 이름 모더레이션에 대해 중복·무효·지연·연결 끊김을 포함한 요청을 전송한다.
3. 서버 거부, 롤백, 오류 표시와 감사 로그를 확인한다.
4. 모든 클라이언트의 상태가 일치하는지 확인한다.</x:v>
      </x:c>
      <x:c r="H18" s="36" t="str">
        <x:v>요청은 사양에 따라 거부되거나 안전하게 복구되며, 중복 반영, 데이터 손실, 정보 유출 또는 진행 중단이 발생하지 않는다. 오류와 상관관계 ID가 기록된다.</x:v>
      </x:c>
      <x:c r="I18" s="36" t="str">
        <x:v>보안</x:v>
      </x:c>
      <x:c r="J18" s="36" t="str">
        <x:v>P0</x:v>
      </x:c>
      <x:c r="K18" s="36" t="str">
        <x:v>백엔드</x:v>
      </x:c>
      <x:c r="L18" s="36" t="str">
        <x:v>예</x:v>
      </x:c>
      <x:c r="M18" s="36" t="str">
        <x:v>미실시</x:v>
      </x:c>
      <x:c r="N18" s="36" t="str">
        <x:v>미정</x:v>
      </x:c>
      <x:c r="O18" s="36" t="str">
        <x:v>미정</x:v>
      </x:c>
      <x:c r="P18" s="36"/>
      <x:c r="Q18" s="36"/>
      <x:c r="R18" s="44" t="str">
        <x:v>2026-07-10</x:v>
      </x:c>
      <x:c r="S18" s="36"/>
      <x:c r="T18" s="54"/>
      <x:c r="U18" s="54"/>
      <x:c r="V18" s="53" t="str">
        <x:v>착수 전</x:v>
      </x:c>
    </x:row>
    <x:row r="19" ht="42" customHeight="1">
      <x:c r="A19" s="36" t="str">
        <x:v>TC-BED-011-01</x:v>
      </x:c>
      <x:c r="B19" s="36" t="str">
        <x:v>BED-011</x:v>
      </x:c>
      <x:c r="C19" s="36" t="str">
        <x:v>백엔드·데이터·모더레이션</x:v>
      </x:c>
      <x:c r="D19" s="36" t="str">
        <x:v>정상 시나리오: 음성 신고 메타데이터·증거 정책</x:v>
      </x:c>
      <x:c r="E19" s="36" t="str">
        <x:v>음성 녹음 여부, 사용자 동의, 보관 기간, 암호화, 접근 권한, 삭제 정책을 법무 승인하고 녹음하지 않더라도 세션 메타데이터를 신고와 연결한다.</x:v>
      </x:c>
      <x:c r="F19" s="36" t="str">
        <x:v>대상 기능이 포함된 출시 빌드, 필요한 테스트 계정·룸 설정·로그 접근 권한을 준비한다.</x:v>
      </x:c>
      <x:c r="G19" s="36" t="str">
        <x:v>1. 사전 조건 상태를 구성한다.
2. 표준 설정에서 다음 테스트 대상을 실행한다: 음성 신고 메타데이터·증거 정책.
3. UI, 서버 상태와 로그·텔레메트리를 확인한다.
4. 필요하면 재입장 또는 재실행하여 재현성을 확인한다.</x:v>
      </x:c>
      <x:c r="H19" s="36" t="str">
        <x:v>음성 녹음 여부, 사용자 동의, 보관 기간, 암호화, 접근 권한, 삭제 정책을 법무 승인하고 녹음하지 않더라도 세션 메타데이터를 신고와 연결한다.</x:v>
      </x:c>
      <x:c r="I19" s="36" t="str">
        <x:v>운영</x:v>
      </x:c>
      <x:c r="J19" s="36" t="str">
        <x:v>P0</x:v>
      </x:c>
      <x:c r="K19" s="36" t="str">
        <x:v>백엔드</x:v>
      </x:c>
      <x:c r="L19" s="36" t="str">
        <x:v>예</x:v>
      </x:c>
      <x:c r="M19" s="36" t="str">
        <x:v>미실시</x:v>
      </x:c>
      <x:c r="N19" s="36" t="str">
        <x:v>미정</x:v>
      </x:c>
      <x:c r="O19" s="36" t="str">
        <x:v>미정</x:v>
      </x:c>
      <x:c r="P19" s="36"/>
      <x:c r="Q19" s="36"/>
      <x:c r="R19" s="44" t="str">
        <x:v>2026-07-10</x:v>
      </x:c>
      <x:c r="S19" s="36"/>
      <x:c r="T19" s="54"/>
      <x:c r="U19" s="54"/>
      <x:c r="V19" s="53" t="str">
        <x:v>착수 전</x:v>
      </x:c>
    </x:row>
    <x:row r="20" ht="42" customHeight="1">
      <x:c r="A20" s="36" t="str">
        <x:v>TC-BED-011-02</x:v>
      </x:c>
      <x:c r="B20" s="36" t="str">
        <x:v>BED-011</x:v>
      </x:c>
      <x:c r="C20" s="36" t="str">
        <x:v>백엔드·데이터·모더레이션</x:v>
      </x:c>
      <x:c r="D20" s="36" t="str">
        <x:v>예외·경계 시나리오: 음성 신고 메타데이터·증거 정책</x:v>
      </x:c>
      <x:c r="E20" s="36" t="str">
        <x:v>허용되지 않은 상태, 잘못된 값, 중복, 만료, 권한 부족, 연결 끊김 입력으로 데이터 손상·정보 유출·클라이언트 상태 분기가 발생하지 않는지 확인한다.</x:v>
      </x:c>
      <x:c r="F20" s="36" t="str">
        <x:v>대상 기능이 포함된 출시 빌드와 디버그 입력, 네트워크 열화, 비정상 요청 재현 수단을 준비한다.</x:v>
      </x:c>
      <x:c r="G20" s="36" t="str">
        <x:v>1. 허용되지 않은 페이즈 또는 경계값 조건을 구성한다.
2. 음성 신고 메타데이터·증거 정책에 대해 중복·무효·지연·연결 끊김을 포함한 요청을 전송한다.
3. 서버 거부, 롤백, 오류 표시와 감사 로그를 확인한다.
4. 모든 클라이언트의 상태가 일치하는지 확인한다.</x:v>
      </x:c>
      <x:c r="H20" s="36" t="str">
        <x:v>요청은 사양에 따라 거부되거나 안전하게 복구되며, 중복 반영, 데이터 손실, 정보 유출 또는 진행 중단이 발생하지 않는다. 오류와 상관관계 ID가 기록된다.</x:v>
      </x:c>
      <x:c r="I20" s="36" t="str">
        <x:v>운영</x:v>
      </x:c>
      <x:c r="J20" s="36" t="str">
        <x:v>P0</x:v>
      </x:c>
      <x:c r="K20" s="36" t="str">
        <x:v>백엔드</x:v>
      </x:c>
      <x:c r="L20" s="36" t="str">
        <x:v>예</x:v>
      </x:c>
      <x:c r="M20" s="36" t="str">
        <x:v>미실시</x:v>
      </x:c>
      <x:c r="N20" s="36" t="str">
        <x:v>미정</x:v>
      </x:c>
      <x:c r="O20" s="36" t="str">
        <x:v>미정</x:v>
      </x:c>
      <x:c r="P20" s="36"/>
      <x:c r="Q20" s="36"/>
      <x:c r="R20" s="44" t="str">
        <x:v>2026-07-10</x:v>
      </x:c>
      <x:c r="S20" s="36"/>
      <x:c r="T20" s="54"/>
      <x:c r="U20" s="54"/>
      <x:c r="V20" s="53" t="str">
        <x:v>착수 전</x:v>
      </x:c>
    </x:row>
    <x:row r="21" ht="42" customHeight="1">
      <x:c r="A21" s="36" t="str">
        <x:v>TC-BED-012-01</x:v>
      </x:c>
      <x:c r="B21" s="36" t="str">
        <x:v>BED-012</x:v>
      </x:c>
      <x:c r="C21" s="36" t="str">
        <x:v>백엔드·데이터·모더레이션</x:v>
      </x:c>
      <x:c r="D21" s="36" t="str">
        <x:v>정상 시나리오: 음성·텔레메트리·개인정보 동의 관리</x:v>
      </x:c>
      <x:c r="E21" s="36" t="str">
        <x:v>동의 문구 버전, 지역, 시각, 철회 상태를 기록하고 동의 전에는 관련 기능을 시작하지 않는다. 문구가 변경되면 재동의를 요청할 수 있다.</x:v>
      </x:c>
      <x:c r="F21" s="36" t="str">
        <x:v>대상 기능이 포함된 출시 빌드, 필요한 테스트 계정·룸 설정·로그 접근 권한을 준비한다.</x:v>
      </x:c>
      <x:c r="G21" s="36" t="str">
        <x:v>1. 사전 조건 상태를 구성한다.
2. 표준 설정에서 다음 테스트 대상을 실행한다: 음성·텔레메트리·개인정보 동의 관리.
3. UI, 서버 상태와 로그·텔레메트리를 확인한다.
4. 필요하면 재입장 또는 재실행하여 재현성을 확인한다.</x:v>
      </x:c>
      <x:c r="H21" s="36" t="str">
        <x:v>동의 문구 버전, 지역, 시각, 철회 상태를 기록하고 동의 전에는 관련 기능을 시작하지 않는다. 문구가 변경되면 재동의를 요청할 수 있다.</x:v>
      </x:c>
      <x:c r="I21" s="36" t="str">
        <x:v>운영</x:v>
      </x:c>
      <x:c r="J21" s="36" t="str">
        <x:v>P0</x:v>
      </x:c>
      <x:c r="K21" s="36" t="str">
        <x:v>백엔드</x:v>
      </x:c>
      <x:c r="L21" s="36" t="str">
        <x:v>예</x:v>
      </x:c>
      <x:c r="M21" s="36" t="str">
        <x:v>미실시</x:v>
      </x:c>
      <x:c r="N21" s="36" t="str">
        <x:v>미정</x:v>
      </x:c>
      <x:c r="O21" s="36" t="str">
        <x:v>미정</x:v>
      </x:c>
      <x:c r="P21" s="36"/>
      <x:c r="Q21" s="36"/>
      <x:c r="R21" s="44" t="str">
        <x:v>2026-07-10</x:v>
      </x:c>
      <x:c r="S21" s="36"/>
      <x:c r="T21" s="54"/>
      <x:c r="U21" s="54"/>
      <x:c r="V21" s="53" t="str">
        <x:v>착수 전</x:v>
      </x:c>
    </x:row>
    <x:row r="22" ht="42" customHeight="1">
      <x:c r="A22" s="36" t="str">
        <x:v>TC-BED-012-02</x:v>
      </x:c>
      <x:c r="B22" s="36" t="str">
        <x:v>BED-012</x:v>
      </x:c>
      <x:c r="C22" s="36" t="str">
        <x:v>백엔드·데이터·모더레이션</x:v>
      </x:c>
      <x:c r="D22" s="36" t="str">
        <x:v>예외·경계 시나리오: 음성·텔레메트리·개인정보 동의 관리</x:v>
      </x:c>
      <x:c r="E22" s="36" t="str">
        <x:v>허용되지 않은 상태, 잘못된 값, 중복, 만료, 권한 부족, 연결 끊김 입력으로 데이터 손상·정보 유출·클라이언트 상태 분기가 발생하지 않는지 확인한다.</x:v>
      </x:c>
      <x:c r="F22" s="36" t="str">
        <x:v>대상 기능이 포함된 출시 빌드와 디버그 입력, 네트워크 열화, 비정상 요청 재현 수단을 준비한다.</x:v>
      </x:c>
      <x:c r="G22" s="36" t="str">
        <x:v>1. 허용되지 않은 페이즈 또는 경계값 조건을 구성한다.
2. 음성·텔레메트리·개인정보 동의 관리에 대해 중복·무효·지연·연결 끊김을 포함한 요청을 전송한다.
3. 서버 거부, 롤백, 오류 표시와 감사 로그를 확인한다.
4. 모든 클라이언트의 상태가 일치하는지 확인한다.</x:v>
      </x:c>
      <x:c r="H22" s="36" t="str">
        <x:v>요청은 사양에 따라 거부되거나 안전하게 복구되며, 중복 반영, 데이터 손실, 정보 유출 또는 진행 중단이 발생하지 않는다. 오류와 상관관계 ID가 기록된다.</x:v>
      </x:c>
      <x:c r="I22" s="36" t="str">
        <x:v>운영</x:v>
      </x:c>
      <x:c r="J22" s="36" t="str">
        <x:v>P0</x:v>
      </x:c>
      <x:c r="K22" s="36" t="str">
        <x:v>백엔드</x:v>
      </x:c>
      <x:c r="L22" s="36" t="str">
        <x:v>예</x:v>
      </x:c>
      <x:c r="M22" s="36" t="str">
        <x:v>미실시</x:v>
      </x:c>
      <x:c r="N22" s="36" t="str">
        <x:v>미정</x:v>
      </x:c>
      <x:c r="O22" s="36" t="str">
        <x:v>미정</x:v>
      </x:c>
      <x:c r="P22" s="36"/>
      <x:c r="Q22" s="36"/>
      <x:c r="R22" s="44" t="str">
        <x:v>2026-07-10</x:v>
      </x:c>
      <x:c r="S22" s="36"/>
      <x:c r="T22" s="54"/>
      <x:c r="U22" s="54"/>
      <x:c r="V22" s="53" t="str">
        <x:v>착수 전</x:v>
      </x:c>
    </x:row>
    <x:row r="23" ht="42" customHeight="1">
      <x:c r="A23" s="36" t="str">
        <x:v>TC-BED-013-01</x:v>
      </x:c>
      <x:c r="B23" s="36" t="str">
        <x:v>BED-013</x:v>
      </x:c>
      <x:c r="C23" s="36" t="str">
        <x:v>백엔드·데이터·모더레이션</x:v>
      </x:c>
      <x:c r="D23" s="36" t="str">
        <x:v>정상 시나리오: 연령·지역·보호자·크로스플레이 제한</x:v>
      </x:c>
      <x:c r="E23" s="36" t="str">
        <x:v>플랫폼 제공 정보와 동의 상태를 기준으로 음성, 텍스트, 초대, UGC, 상점을 제어하고 실제 연령 정보는 게임 클라이언트로 전송하지 않는다.</x:v>
      </x:c>
      <x:c r="F23" s="36" t="str">
        <x:v>대상 기능이 포함된 출시 빌드, 필요한 테스트 계정·룸 설정·로그 접근 권한을 준비한다.</x:v>
      </x:c>
      <x:c r="G23" s="36" t="str">
        <x:v>1. 사전 조건 상태를 구성한다.
2. 표준 설정에서 다음 테스트 대상을 실행한다: 연령·지역·보호자·크로스플레이 제한.
3. UI, 서버 상태와 로그·텔레메트리를 확인한다.
4. 필요하면 재입장 또는 재실행하여 재현성을 확인한다.</x:v>
      </x:c>
      <x:c r="H23" s="36" t="str">
        <x:v>플랫폼 제공 정보와 동의 상태를 기준으로 음성, 텍스트, 초대, UGC, 상점을 제어하고 실제 연령 정보는 게임 클라이언트로 전송하지 않는다.</x:v>
      </x:c>
      <x:c r="I23" s="36" t="str">
        <x:v>보안</x:v>
      </x:c>
      <x:c r="J23" s="36" t="str">
        <x:v>P0</x:v>
      </x:c>
      <x:c r="K23" s="36" t="str">
        <x:v>백엔드</x:v>
      </x:c>
      <x:c r="L23" s="36" t="str">
        <x:v>예</x:v>
      </x:c>
      <x:c r="M23" s="36" t="str">
        <x:v>미실시</x:v>
      </x:c>
      <x:c r="N23" s="36" t="str">
        <x:v>미정</x:v>
      </x:c>
      <x:c r="O23" s="36" t="str">
        <x:v>미정</x:v>
      </x:c>
      <x:c r="P23" s="36"/>
      <x:c r="Q23" s="36"/>
      <x:c r="R23" s="44" t="str">
        <x:v>2026-07-10</x:v>
      </x:c>
      <x:c r="S23" s="36"/>
      <x:c r="T23" s="54"/>
      <x:c r="U23" s="54"/>
      <x:c r="V23" s="53" t="str">
        <x:v>착수 전</x:v>
      </x:c>
    </x:row>
    <x:row r="24" ht="42" customHeight="1">
      <x:c r="A24" s="36" t="str">
        <x:v>TC-BED-013-02</x:v>
      </x:c>
      <x:c r="B24" s="36" t="str">
        <x:v>BED-013</x:v>
      </x:c>
      <x:c r="C24" s="36" t="str">
        <x:v>백엔드·데이터·모더레이션</x:v>
      </x:c>
      <x:c r="D24" s="36" t="str">
        <x:v>예외·경계 시나리오: 연령·지역·보호자·크로스플레이 제한</x:v>
      </x:c>
      <x:c r="E24" s="36" t="str">
        <x:v>허용되지 않은 상태, 잘못된 값, 중복, 만료, 권한 부족, 연결 끊김 입력으로 데이터 손상·정보 유출·클라이언트 상태 분기가 발생하지 않는지 확인한다.</x:v>
      </x:c>
      <x:c r="F24" s="36" t="str">
        <x:v>대상 기능이 포함된 출시 빌드와 디버그 입력, 네트워크 열화, 비정상 요청 재현 수단을 준비한다.</x:v>
      </x:c>
      <x:c r="G24" s="36" t="str">
        <x:v>1. 허용되지 않은 페이즈 또는 경계값 조건을 구성한다.
2. 연령·지역·보호자·크로스플레이 제한에 대해 중복·무효·지연·연결 끊김을 포함한 요청을 전송한다.
3. 서버 거부, 롤백, 오류 표시와 감사 로그를 확인한다.
4. 모든 클라이언트의 상태가 일치하는지 확인한다.</x:v>
      </x:c>
      <x:c r="H24" s="36" t="str">
        <x:v>요청은 사양에 따라 거부되거나 안전하게 복구되며, 중복 반영, 데이터 손실, 정보 유출 또는 진행 중단이 발생하지 않는다. 오류와 상관관계 ID가 기록된다.</x:v>
      </x:c>
      <x:c r="I24" s="36" t="str">
        <x:v>보안</x:v>
      </x:c>
      <x:c r="J24" s="36" t="str">
        <x:v>P0</x:v>
      </x:c>
      <x:c r="K24" s="36" t="str">
        <x:v>백엔드</x:v>
      </x:c>
      <x:c r="L24" s="36" t="str">
        <x:v>예</x:v>
      </x:c>
      <x:c r="M24" s="36" t="str">
        <x:v>미실시</x:v>
      </x:c>
      <x:c r="N24" s="36" t="str">
        <x:v>미정</x:v>
      </x:c>
      <x:c r="O24" s="36" t="str">
        <x:v>미정</x:v>
      </x:c>
      <x:c r="P24" s="36"/>
      <x:c r="Q24" s="36"/>
      <x:c r="R24" s="44" t="str">
        <x:v>2026-07-10</x:v>
      </x:c>
      <x:c r="S24" s="36"/>
      <x:c r="T24" s="54"/>
      <x:c r="U24" s="54"/>
      <x:c r="V24" s="53" t="str">
        <x:v>착수 전</x:v>
      </x:c>
    </x:row>
    <x:row r="25" ht="42" customHeight="1">
      <x:c r="A25" s="36" t="str">
        <x:v>TC-BED-014-01</x:v>
      </x:c>
      <x:c r="B25" s="36" t="str">
        <x:v>BED-014</x:v>
      </x:c>
      <x:c r="C25" s="36" t="str">
        <x:v>백엔드·데이터·모더레이션</x:v>
      </x:c>
      <x:c r="D25" s="36" t="str">
        <x:v>정상 시나리오: 데이터 보관·내보내기·삭제 요청</x:v>
      </x:c>
      <x:c r="E25" s="36" t="str">
        <x:v>데이터 분류별 보관 기간을 적용하고 접근, 내보내기, 삭제 요청을 감사 가능하게 처리한다. 법적 보존 대상 데이터는 분리한다.</x:v>
      </x:c>
      <x:c r="F25" s="36" t="str">
        <x:v>대상 기능이 포함된 출시 빌드, 필요한 테스트 계정·룸 설정·로그 접근 권한을 준비한다.</x:v>
      </x:c>
      <x:c r="G25" s="36" t="str">
        <x:v>1. 사전 조건 상태를 구성한다.
2. 표준 설정에서 다음 테스트 대상을 실행한다: 데이터 보관·내보내기·삭제 요청.
3. UI, 서버 상태와 로그·텔레메트리를 확인한다.
4. 필요하면 재입장 또는 재실행하여 재현성을 확인한다.</x:v>
      </x:c>
      <x:c r="H25" s="36" t="str">
        <x:v>데이터 분류별 보관 기간을 적용하고 접근, 내보내기, 삭제 요청을 감사 가능하게 처리한다. 법적 보존 대상 데이터는 분리한다.</x:v>
      </x:c>
      <x:c r="I25" s="36" t="str">
        <x:v>운영</x:v>
      </x:c>
      <x:c r="J25" s="36" t="str">
        <x:v>P0</x:v>
      </x:c>
      <x:c r="K25" s="36" t="str">
        <x:v>백엔드</x:v>
      </x:c>
      <x:c r="L25" s="36" t="str">
        <x:v>예</x:v>
      </x:c>
      <x:c r="M25" s="36" t="str">
        <x:v>미실시</x:v>
      </x:c>
      <x:c r="N25" s="36" t="str">
        <x:v>미정</x:v>
      </x:c>
      <x:c r="O25" s="36" t="str">
        <x:v>미정</x:v>
      </x:c>
      <x:c r="P25" s="36"/>
      <x:c r="Q25" s="36"/>
      <x:c r="R25" s="44" t="str">
        <x:v>2026-07-10</x:v>
      </x:c>
      <x:c r="S25" s="36"/>
      <x:c r="T25" s="54"/>
      <x:c r="U25" s="54"/>
      <x:c r="V25" s="53" t="str">
        <x:v>착수 전</x:v>
      </x:c>
    </x:row>
    <x:row r="26" ht="42" customHeight="1">
      <x:c r="A26" s="36" t="str">
        <x:v>TC-BED-014-02</x:v>
      </x:c>
      <x:c r="B26" s="36" t="str">
        <x:v>BED-014</x:v>
      </x:c>
      <x:c r="C26" s="36" t="str">
        <x:v>백엔드·데이터·모더레이션</x:v>
      </x:c>
      <x:c r="D26" s="36" t="str">
        <x:v>예외·경계 시나리오: 데이터 보관·내보내기·삭제 요청</x:v>
      </x:c>
      <x:c r="E26" s="36" t="str">
        <x:v>허용되지 않은 상태, 잘못된 값, 중복, 만료, 권한 부족, 연결 끊김 입력으로 데이터 손상·정보 유출·클라이언트 상태 분기가 발생하지 않는지 확인한다.</x:v>
      </x:c>
      <x:c r="F26" s="36" t="str">
        <x:v>대상 기능이 포함된 출시 빌드와 디버그 입력, 네트워크 열화, 비정상 요청 재현 수단을 준비한다.</x:v>
      </x:c>
      <x:c r="G26" s="36" t="str">
        <x:v>1. 허용되지 않은 페이즈 또는 경계값 조건을 구성한다.
2. 데이터 보관·내보내기·삭제 요청에 대해 중복·무효·지연·연결 끊김을 포함한 요청을 전송한다.
3. 서버 거부, 롤백, 오류 표시와 감사 로그를 확인한다.
4. 모든 클라이언트의 상태가 일치하는지 확인한다.</x:v>
      </x:c>
      <x:c r="H26" s="36" t="str">
        <x:v>요청은 사양에 따라 거부되거나 안전하게 복구되며, 중복 반영, 데이터 손실, 정보 유출 또는 진행 중단이 발생하지 않는다. 오류와 상관관계 ID가 기록된다.</x:v>
      </x:c>
      <x:c r="I26" s="36" t="str">
        <x:v>운영</x:v>
      </x:c>
      <x:c r="J26" s="36" t="str">
        <x:v>P0</x:v>
      </x:c>
      <x:c r="K26" s="36" t="str">
        <x:v>백엔드</x:v>
      </x:c>
      <x:c r="L26" s="36" t="str">
        <x:v>예</x:v>
      </x:c>
      <x:c r="M26" s="36" t="str">
        <x:v>미실시</x:v>
      </x:c>
      <x:c r="N26" s="36" t="str">
        <x:v>미정</x:v>
      </x:c>
      <x:c r="O26" s="36" t="str">
        <x:v>미정</x:v>
      </x:c>
      <x:c r="P26" s="36"/>
      <x:c r="Q26" s="36"/>
      <x:c r="R26" s="44" t="str">
        <x:v>2026-07-10</x:v>
      </x:c>
      <x:c r="S26" s="36"/>
      <x:c r="T26" s="54"/>
      <x:c r="U26" s="54"/>
      <x:c r="V26" s="53" t="str">
        <x:v>착수 전</x:v>
      </x:c>
    </x:row>
    <x:row r="27" ht="42" customHeight="1">
      <x:c r="A27" s="36" t="str">
        <x:v>TC-BED-015-01</x:v>
      </x:c>
      <x:c r="B27" s="36" t="str">
        <x:v>BED-015</x:v>
      </x:c>
      <x:c r="C27" s="36" t="str">
        <x:v>백엔드·데이터·모더레이션</x:v>
      </x:c>
      <x:c r="D27" s="36" t="str">
        <x:v>정상 시나리오: 게임 규칙·콘텐츠 설정 버전 배포</x:v>
      </x:c>
      <x:c r="E27" s="36" t="str">
        <x:v>서명된 설정 버전을 환경, 빌드, 지역별로 배포하고 매치 시작 시 고정해 진행 중에는 변경하지 않는다. 과거 버전을 재현할 수 있다.</x:v>
      </x:c>
      <x:c r="F27" s="36" t="str">
        <x:v>대상 기능이 포함된 MVP 빌드, 필요한 테스트 계정·룸 설정·로그 접근 권한을 준비한다.</x:v>
      </x:c>
      <x:c r="G27" s="36" t="str">
        <x:v>1. 사전 조건 상태를 구성한다.
2. 표준 설정에서 다음 테스트 대상을 실행한다: 게임 규칙·콘텐츠 설정 버전 배포.
3. UI, 서버 상태와 로그·텔레메트리를 확인한다.
4. 필요하면 재입장 또는 재실행하여 재현성을 확인한다.</x:v>
      </x:c>
      <x:c r="H27" s="36" t="str">
        <x:v>서명된 설정 버전을 환경, 빌드, 지역별로 배포하고 매치 시작 시 고정해 진행 중에는 변경하지 않는다. 과거 버전을 재현할 수 있다.</x:v>
      </x:c>
      <x:c r="I27" s="36" t="str">
        <x:v>호환성</x:v>
      </x:c>
      <x:c r="J27" s="36" t="str">
        <x:v>P0</x:v>
      </x:c>
      <x:c r="K27" s="36" t="str">
        <x:v>백엔드</x:v>
      </x:c>
      <x:c r="L27" s="36" t="str">
        <x:v>예</x:v>
      </x:c>
      <x:c r="M27" s="36" t="str">
        <x:v>미실시</x:v>
      </x:c>
      <x:c r="N27" s="36" t="str">
        <x:v>미정</x:v>
      </x:c>
      <x:c r="O27" s="36" t="str">
        <x:v>미정</x:v>
      </x:c>
      <x:c r="P27" s="36"/>
      <x:c r="Q27" s="36"/>
      <x:c r="R27" s="44" t="str">
        <x:v>2026-07-10</x:v>
      </x:c>
      <x:c r="S27" s="36"/>
      <x:c r="T27" s="54"/>
      <x:c r="U27" s="54"/>
      <x:c r="V27" s="53" t="str">
        <x:v>착수 전</x:v>
      </x:c>
    </x:row>
    <x:row r="28" ht="42" customHeight="1">
      <x:c r="A28" s="36" t="str">
        <x:v>TC-BED-015-02</x:v>
      </x:c>
      <x:c r="B28" s="36" t="str">
        <x:v>BED-015</x:v>
      </x:c>
      <x:c r="C28" s="36" t="str">
        <x:v>백엔드·데이터·모더레이션</x:v>
      </x:c>
      <x:c r="D28" s="36" t="str">
        <x:v>예외·경계 시나리오: 게임 규칙·콘텐츠 설정 버전 배포</x:v>
      </x:c>
      <x:c r="E28" s="36" t="str">
        <x:v>허용되지 않은 상태, 잘못된 값, 중복, 만료, 권한 부족, 연결 끊김 입력으로 데이터 손상·정보 유출·클라이언트 상태 분기가 발생하지 않는지 확인한다.</x:v>
      </x:c>
      <x:c r="F28" s="36" t="str">
        <x:v>대상 기능이 포함된 MVP 빌드와 디버그 입력, 네트워크 열화, 비정상 요청 재현 수단을 준비한다.</x:v>
      </x:c>
      <x:c r="G28" s="36" t="str">
        <x:v>1. 허용되지 않은 페이즈 또는 경계값 조건을 구성한다.
2. 게임 규칙·콘텐츠 설정 버전 배포에 대해 중복·무효·지연·연결 끊김을 포함한 요청을 전송한다.
3. 서버 거부, 롤백, 오류 표시와 감사 로그를 확인한다.
4. 모든 클라이언트의 상태가 일치하는지 확인한다.</x:v>
      </x:c>
      <x:c r="H28" s="36" t="str">
        <x:v>요청은 사양에 따라 거부되거나 안전하게 복구되며, 중복 반영, 데이터 손실, 정보 유출 또는 진행 중단이 발생하지 않는다. 오류와 상관관계 ID가 기록된다.</x:v>
      </x:c>
      <x:c r="I28" s="36" t="str">
        <x:v>호환성</x:v>
      </x:c>
      <x:c r="J28" s="36" t="str">
        <x:v>P0</x:v>
      </x:c>
      <x:c r="K28" s="36" t="str">
        <x:v>백엔드</x:v>
      </x:c>
      <x:c r="L28" s="36" t="str">
        <x:v>예</x:v>
      </x:c>
      <x:c r="M28" s="36" t="str">
        <x:v>미실시</x:v>
      </x:c>
      <x:c r="N28" s="36" t="str">
        <x:v>미정</x:v>
      </x:c>
      <x:c r="O28" s="36" t="str">
        <x:v>미정</x:v>
      </x:c>
      <x:c r="P28" s="36"/>
      <x:c r="Q28" s="36"/>
      <x:c r="R28" s="44" t="str">
        <x:v>2026-07-10</x:v>
      </x:c>
      <x:c r="S28" s="36"/>
      <x:c r="T28" s="54"/>
      <x:c r="U28" s="54"/>
      <x:c r="V28" s="53" t="str">
        <x:v>착수 전</x:v>
      </x:c>
    </x:row>
    <x:row r="29" ht="42" customHeight="1">
      <x:c r="A29" s="36" t="str">
        <x:v>TC-BED-016-01</x:v>
      </x:c>
      <x:c r="B29" s="36" t="str">
        <x:v>BED-016</x:v>
      </x:c>
      <x:c r="C29" s="36" t="str">
        <x:v>백엔드·데이터·모더레이션</x:v>
      </x:c>
      <x:c r="D29" s="36" t="str">
        <x:v>정상 시나리오: 기능 플래그·단계 배포·긴급 중지</x:v>
      </x:c>
      <x:c r="E29" s="36" t="str">
        <x:v>기능을 환경, 플랫폼, 지역, 비율별로 전환하고 의존 기능이 준비되지 않은 조합을 막는다. 변경은 승인, 감사, 롤백할 수 있다.</x:v>
      </x:c>
      <x:c r="F29" s="36" t="str">
        <x:v>대상 기능이 포함된 출시 빌드, 필요한 테스트 계정·룸 설정·로그 접근 권한을 준비한다.</x:v>
      </x:c>
      <x:c r="G29" s="36" t="str">
        <x:v>1. 사전 조건 상태를 구성한다.
2. 표준 설정에서 다음 테스트 대상을 실행한다: 기능 플래그·단계 배포·긴급 중지.
3. UI, 서버 상태와 로그·텔레메트리를 확인한다.
4. 필요하면 재입장 또는 재실행하여 재현성을 확인한다.</x:v>
      </x:c>
      <x:c r="H29" s="36" t="str">
        <x:v>기능을 환경, 플랫폼, 지역, 비율별로 전환하고 의존 기능이 준비되지 않은 조합을 막는다. 변경은 승인, 감사, 롤백할 수 있다.</x:v>
      </x:c>
      <x:c r="I29" s="36" t="str">
        <x:v>보안</x:v>
      </x:c>
      <x:c r="J29" s="36" t="str">
        <x:v>P0</x:v>
      </x:c>
      <x:c r="K29" s="36" t="str">
        <x:v>백엔드</x:v>
      </x:c>
      <x:c r="L29" s="36" t="str">
        <x:v>예</x:v>
      </x:c>
      <x:c r="M29" s="36" t="str">
        <x:v>미실시</x:v>
      </x:c>
      <x:c r="N29" s="36" t="str">
        <x:v>미정</x:v>
      </x:c>
      <x:c r="O29" s="36" t="str">
        <x:v>미정</x:v>
      </x:c>
      <x:c r="P29" s="36"/>
      <x:c r="Q29" s="36"/>
      <x:c r="R29" s="44" t="str">
        <x:v>2026-07-10</x:v>
      </x:c>
      <x:c r="S29" s="36"/>
      <x:c r="T29" s="54"/>
      <x:c r="U29" s="54"/>
      <x:c r="V29" s="53" t="str">
        <x:v>착수 전</x:v>
      </x:c>
    </x:row>
    <x:row r="30" ht="42" customHeight="1">
      <x:c r="A30" s="36" t="str">
        <x:v>TC-BED-016-02</x:v>
      </x:c>
      <x:c r="B30" s="36" t="str">
        <x:v>BED-016</x:v>
      </x:c>
      <x:c r="C30" s="36" t="str">
        <x:v>백엔드·데이터·모더레이션</x:v>
      </x:c>
      <x:c r="D30" s="36" t="str">
        <x:v>예외·경계 시나리오: 기능 플래그·단계 배포·긴급 중지</x:v>
      </x:c>
      <x:c r="E30" s="36" t="str">
        <x:v>허용되지 않은 상태, 잘못된 값, 중복, 만료, 권한 부족, 연결 끊김 입력으로 데이터 손상·정보 유출·클라이언트 상태 분기가 발생하지 않는지 확인한다.</x:v>
      </x:c>
      <x:c r="F30" s="36" t="str">
        <x:v>대상 기능이 포함된 출시 빌드와 디버그 입력, 네트워크 열화, 비정상 요청 재현 수단을 준비한다.</x:v>
      </x:c>
      <x:c r="G30" s="36" t="str">
        <x:v>1. 허용되지 않은 페이즈 또는 경계값 조건을 구성한다.
2. 기능 플래그·단계 배포·긴급 중지에 대해 중복·무효·지연·연결 끊김을 포함한 요청을 전송한다.
3. 서버 거부, 롤백, 오류 표시와 감사 로그를 확인한다.
4. 모든 클라이언트의 상태가 일치하는지 확인한다.</x:v>
      </x:c>
      <x:c r="H30" s="36" t="str">
        <x:v>요청은 사양에 따라 거부되거나 안전하게 복구되며, 중복 반영, 데이터 손실, 정보 유출 또는 진행 중단이 발생하지 않는다. 오류와 상관관계 ID가 기록된다.</x:v>
      </x:c>
      <x:c r="I30" s="36" t="str">
        <x:v>보안</x:v>
      </x:c>
      <x:c r="J30" s="36" t="str">
        <x:v>P0</x:v>
      </x:c>
      <x:c r="K30" s="36" t="str">
        <x:v>백엔드</x:v>
      </x:c>
      <x:c r="L30" s="36" t="str">
        <x:v>예</x:v>
      </x:c>
      <x:c r="M30" s="36" t="str">
        <x:v>미실시</x:v>
      </x:c>
      <x:c r="N30" s="36" t="str">
        <x:v>미정</x:v>
      </x:c>
      <x:c r="O30" s="36" t="str">
        <x:v>미정</x:v>
      </x:c>
      <x:c r="P30" s="36"/>
      <x:c r="Q30" s="36"/>
      <x:c r="R30" s="44" t="str">
        <x:v>2026-07-10</x:v>
      </x:c>
      <x:c r="S30" s="36"/>
      <x:c r="T30" s="54"/>
      <x:c r="U30" s="54"/>
      <x:c r="V30" s="53" t="str">
        <x:v>착수 전</x:v>
      </x:c>
    </x:row>
    <x:row r="31" ht="42" customHeight="1">
      <x:c r="A31" s="36" t="str">
        <x:v>TC-BED-017-01</x:v>
      </x:c>
      <x:c r="B31" s="36" t="str">
        <x:v>BED-017</x:v>
      </x:c>
      <x:c r="C31" s="36" t="str">
        <x:v>백엔드·데이터·모더레이션</x:v>
      </x:c>
      <x:c r="D31" s="36" t="str">
        <x:v>정상 시나리오: 서비스별 요청 제한·할당량</x:v>
      </x:c>
      <x:c r="E31" s="36" t="str">
        <x:v>인증, 룸, 신고, 설정, 상점 API에 계정, IP, 기기 단위 제한을 적용하고 요청 제한 코드와 재시도 가능 시각을 반환한다.</x:v>
      </x:c>
      <x:c r="F31" s="36" t="str">
        <x:v>대상 기능이 포함된 출시 빌드, 필요한 테스트 계정·룸 설정·로그 접근 권한을 준비한다.</x:v>
      </x:c>
      <x:c r="G31" s="36" t="str">
        <x:v>1. 사전 조건 상태를 구성한다.
2. 표준 설정에서 다음 테스트 대상을 실행한다: 서비스별 요청 제한·할당량.
3. UI, 서버 상태와 로그·텔레메트리를 확인한다.
4. 필요하면 재입장 또는 재실행하여 재현성을 확인한다.</x:v>
      </x:c>
      <x:c r="H31" s="36" t="str">
        <x:v>인증, 룸, 신고, 설정, 상점 API에 계정, IP, 기기 단위 제한을 적용하고 요청 제한 코드와 재시도 가능 시각을 반환한다.</x:v>
      </x:c>
      <x:c r="I31" s="36" t="str">
        <x:v>부하</x:v>
      </x:c>
      <x:c r="J31" s="36" t="str">
        <x:v>P0</x:v>
      </x:c>
      <x:c r="K31" s="36" t="str">
        <x:v>백엔드</x:v>
      </x:c>
      <x:c r="L31" s="36" t="str">
        <x:v>예</x:v>
      </x:c>
      <x:c r="M31" s="36" t="str">
        <x:v>미실시</x:v>
      </x:c>
      <x:c r="N31" s="36" t="str">
        <x:v>미정</x:v>
      </x:c>
      <x:c r="O31" s="36" t="str">
        <x:v>미정</x:v>
      </x:c>
      <x:c r="P31" s="36"/>
      <x:c r="Q31" s="36"/>
      <x:c r="R31" s="44" t="str">
        <x:v>2026-07-10</x:v>
      </x:c>
      <x:c r="S31" s="36"/>
      <x:c r="T31" s="54"/>
      <x:c r="U31" s="54"/>
      <x:c r="V31" s="53" t="str">
        <x:v>착수 전</x:v>
      </x:c>
    </x:row>
    <x:row r="32" ht="42" customHeight="1">
      <x:c r="A32" s="36" t="str">
        <x:v>TC-BED-017-02</x:v>
      </x:c>
      <x:c r="B32" s="36" t="str">
        <x:v>BED-017</x:v>
      </x:c>
      <x:c r="C32" s="36" t="str">
        <x:v>백엔드·데이터·모더레이션</x:v>
      </x:c>
      <x:c r="D32" s="36" t="str">
        <x:v>예외·경계 시나리오: 서비스별 요청 제한·할당량</x:v>
      </x:c>
      <x:c r="E32" s="36" t="str">
        <x:v>허용되지 않은 상태, 잘못된 값, 중복, 만료, 권한 부족, 연결 끊김 입력으로 데이터 손상·정보 유출·클라이언트 상태 분기가 발생하지 않는지 확인한다.</x:v>
      </x:c>
      <x:c r="F32" s="36" t="str">
        <x:v>대상 기능이 포함된 출시 빌드와 디버그 입력, 네트워크 열화, 비정상 요청 재현 수단을 준비한다.</x:v>
      </x:c>
      <x:c r="G32" s="36" t="str">
        <x:v>1. 허용되지 않은 페이즈 또는 경계값 조건을 구성한다.
2. 서비스별 요청 제한·할당량에 대해 중복·무효·지연·연결 끊김을 포함한 요청을 전송한다.
3. 서버 거부, 롤백, 오류 표시와 감사 로그를 확인한다.
4. 모든 클라이언트의 상태가 일치하는지 확인한다.</x:v>
      </x:c>
      <x:c r="H32" s="36" t="str">
        <x:v>요청은 사양에 따라 거부되거나 안전하게 복구되며, 중복 반영, 데이터 손실, 정보 유출 또는 진행 중단이 발생하지 않는다. 오류와 상관관계 ID가 기록된다.</x:v>
      </x:c>
      <x:c r="I32" s="36" t="str">
        <x:v>부하</x:v>
      </x:c>
      <x:c r="J32" s="36" t="str">
        <x:v>P0</x:v>
      </x:c>
      <x:c r="K32" s="36" t="str">
        <x:v>백엔드</x:v>
      </x:c>
      <x:c r="L32" s="36" t="str">
        <x:v>예</x:v>
      </x:c>
      <x:c r="M32" s="36" t="str">
        <x:v>미실시</x:v>
      </x:c>
      <x:c r="N32" s="36" t="str">
        <x:v>미정</x:v>
      </x:c>
      <x:c r="O32" s="36" t="str">
        <x:v>미정</x:v>
      </x:c>
      <x:c r="P32" s="36"/>
      <x:c r="Q32" s="36"/>
      <x:c r="R32" s="44" t="str">
        <x:v>2026-07-10</x:v>
      </x:c>
      <x:c r="S32" s="36"/>
      <x:c r="T32" s="54"/>
      <x:c r="U32" s="54"/>
      <x:c r="V32" s="53" t="str">
        <x:v>착수 전</x:v>
      </x:c>
    </x:row>
    <x:row r="33" ht="42" customHeight="1">
      <x:c r="A33" s="36" t="str">
        <x:v>TC-BED-018-01</x:v>
      </x:c>
      <x:c r="B33" s="36" t="str">
        <x:v>BED-018</x:v>
      </x:c>
      <x:c r="C33" s="36" t="str">
        <x:v>백엔드·데이터·모더레이션</x:v>
      </x:c>
      <x:c r="D33" s="36" t="str">
        <x:v>정상 시나리오: 서비스 오류 코드·상관관계 ID</x:v>
      </x:c>
      <x:c r="E33" s="36" t="str">
        <x:v>모든 API가 기계 판독 코드, 사용자 표시 키, 재시도 가능 여부, 상관관계 ID를 반환해 로그, 클라이언트, 고객 지원에서 추적할 수 있다.</x:v>
      </x:c>
      <x:c r="F33" s="36" t="str">
        <x:v>대상 기능이 포함된 MVP 빌드, 필요한 테스트 계정·룸 설정·로그 접근 권한을 준비한다.</x:v>
      </x:c>
      <x:c r="G33" s="36" t="str">
        <x:v>1. 사전 조건 상태를 구성한다.
2. 표준 설정에서 다음 테스트 대상을 실행한다: 서비스 오류 코드·상관관계 ID.
3. UI, 서버 상태와 로그·텔레메트리를 확인한다.
4. 필요하면 재입장 또는 재실행하여 재현성을 확인한다.</x:v>
      </x:c>
      <x:c r="H33" s="36" t="str">
        <x:v>모든 API가 기계 판독 코드, 사용자 표시 키, 재시도 가능 여부, 상관관계 ID를 반환해 로그, 클라이언트, 고객 지원에서 추적할 수 있다.</x:v>
      </x:c>
      <x:c r="I33" s="36" t="str">
        <x:v>운영</x:v>
      </x:c>
      <x:c r="J33" s="36" t="str">
        <x:v>P0</x:v>
      </x:c>
      <x:c r="K33" s="36" t="str">
        <x:v>백엔드</x:v>
      </x:c>
      <x:c r="L33" s="36" t="str">
        <x:v>예</x:v>
      </x:c>
      <x:c r="M33" s="36" t="str">
        <x:v>미실시</x:v>
      </x:c>
      <x:c r="N33" s="36" t="str">
        <x:v>미정</x:v>
      </x:c>
      <x:c r="O33" s="36" t="str">
        <x:v>미정</x:v>
      </x:c>
      <x:c r="P33" s="36"/>
      <x:c r="Q33" s="36"/>
      <x:c r="R33" s="44" t="str">
        <x:v>2026-07-10</x:v>
      </x:c>
      <x:c r="S33" s="36"/>
      <x:c r="T33" s="54"/>
      <x:c r="U33" s="54"/>
      <x:c r="V33" s="53" t="str">
        <x:v>착수 전</x:v>
      </x:c>
    </x:row>
    <x:row r="34" ht="42" customHeight="1">
      <x:c r="A34" s="36" t="str">
        <x:v>TC-BED-018-02</x:v>
      </x:c>
      <x:c r="B34" s="36" t="str">
        <x:v>BED-018</x:v>
      </x:c>
      <x:c r="C34" s="36" t="str">
        <x:v>백엔드·데이터·모더레이션</x:v>
      </x:c>
      <x:c r="D34" s="36" t="str">
        <x:v>예외·경계 시나리오: 서비스 오류 코드·상관관계 ID</x:v>
      </x:c>
      <x:c r="E34" s="36" t="str">
        <x:v>허용되지 않은 상태, 잘못된 값, 중복, 만료, 권한 부족, 연결 끊김 입력으로 데이터 손상·정보 유출·클라이언트 상태 분기가 발생하지 않는지 확인한다.</x:v>
      </x:c>
      <x:c r="F34" s="36" t="str">
        <x:v>대상 기능이 포함된 MVP 빌드와 디버그 입력, 네트워크 열화, 비정상 요청 재현 수단을 준비한다.</x:v>
      </x:c>
      <x:c r="G34" s="36" t="str">
        <x:v>1. 허용되지 않은 페이즈 또는 경계값 조건을 구성한다.
2. 서비스 오류 코드·상관관계 ID에 대해 중복·무효·지연·연결 끊김을 포함한 요청을 전송한다.
3. 서버 거부, 롤백, 오류 표시와 감사 로그를 확인한다.
4. 모든 클라이언트의 상태가 일치하는지 확인한다.</x:v>
      </x:c>
      <x:c r="H34" s="36" t="str">
        <x:v>요청은 사양에 따라 거부되거나 안전하게 복구되며, 중복 반영, 데이터 손실, 정보 유출 또는 진행 중단이 발생하지 않는다. 오류와 상관관계 ID가 기록된다.</x:v>
      </x:c>
      <x:c r="I34" s="36" t="str">
        <x:v>운영</x:v>
      </x:c>
      <x:c r="J34" s="36" t="str">
        <x:v>P0</x:v>
      </x:c>
      <x:c r="K34" s="36" t="str">
        <x:v>백엔드</x:v>
      </x:c>
      <x:c r="L34" s="36" t="str">
        <x:v>예</x:v>
      </x:c>
      <x:c r="M34" s="36" t="str">
        <x:v>미실시</x:v>
      </x:c>
      <x:c r="N34" s="36" t="str">
        <x:v>미정</x:v>
      </x:c>
      <x:c r="O34" s="36" t="str">
        <x:v>미정</x:v>
      </x:c>
      <x:c r="P34" s="36"/>
      <x:c r="Q34" s="36"/>
      <x:c r="R34" s="44" t="str">
        <x:v>2026-07-10</x:v>
      </x:c>
      <x:c r="S34" s="36"/>
      <x:c r="T34" s="54"/>
      <x:c r="U34" s="54"/>
      <x:c r="V34" s="53" t="str">
        <x:v>착수 전</x:v>
      </x:c>
    </x:row>
    <x:row r="35" ht="42" customHeight="1">
      <x:c r="A35" s="36" t="str">
        <x:v>TC-BED-019-01</x:v>
      </x:c>
      <x:c r="B35" s="36" t="str">
        <x:v>BED-019</x:v>
      </x:c>
      <x:c r="C35" s="36" t="str">
        <x:v>백엔드·데이터·모더레이션</x:v>
      </x:c>
      <x:c r="D35" s="36" t="str">
        <x:v>정상 시나리오: 서비스 상태·SLO·경보</x:v>
      </x:c>
      <x:c r="E35" s="36" t="str">
        <x:v>인증, 로비, 매치, 설정, 신고 서비스의 가용성, 지연, 오류율, 포화도를 모니터링하고 임계값 초과 시 담당자에게 알린다.</x:v>
      </x:c>
      <x:c r="F35" s="36" t="str">
        <x:v>대상 기능이 포함된 릴리스 후보 빌드, 필요한 테스트 계정·룸 설정·로그 접근 권한을 준비한다.</x:v>
      </x:c>
      <x:c r="G35" s="36" t="str">
        <x:v>1. 사전 조건 상태를 구성한다.
2. 표준 설정에서 다음 테스트 대상을 실행한다: 서비스 상태·SLO·경보.
3. UI, 서버 상태와 로그·텔레메트리를 확인한다.
4. 필요하면 재입장 또는 재실행하여 재현성을 확인한다.</x:v>
      </x:c>
      <x:c r="H35" s="36" t="str">
        <x:v>인증, 로비, 매치, 설정, 신고 서비스의 가용성, 지연, 오류율, 포화도를 모니터링하고 임계값 초과 시 담당자에게 알린다.</x:v>
      </x:c>
      <x:c r="I35" s="36" t="str">
        <x:v>운영</x:v>
      </x:c>
      <x:c r="J35" s="36" t="str">
        <x:v>P0</x:v>
      </x:c>
      <x:c r="K35" s="36" t="str">
        <x:v>백엔드</x:v>
      </x:c>
      <x:c r="L35" s="36" t="str">
        <x:v>예</x:v>
      </x:c>
      <x:c r="M35" s="36" t="str">
        <x:v>미실시</x:v>
      </x:c>
      <x:c r="N35" s="36" t="str">
        <x:v>미정</x:v>
      </x:c>
      <x:c r="O35" s="36" t="str">
        <x:v>미정</x:v>
      </x:c>
      <x:c r="P35" s="36"/>
      <x:c r="Q35" s="36"/>
      <x:c r="R35" s="44" t="str">
        <x:v>2026-07-10</x:v>
      </x:c>
      <x:c r="S35" s="36"/>
      <x:c r="T35" s="54"/>
      <x:c r="U35" s="54"/>
      <x:c r="V35" s="53" t="str">
        <x:v>착수 전</x:v>
      </x:c>
    </x:row>
    <x:row r="36" ht="42" customHeight="1">
      <x:c r="A36" s="36" t="str">
        <x:v>TC-BED-019-02</x:v>
      </x:c>
      <x:c r="B36" s="36" t="str">
        <x:v>BED-019</x:v>
      </x:c>
      <x:c r="C36" s="36" t="str">
        <x:v>백엔드·데이터·모더레이션</x:v>
      </x:c>
      <x:c r="D36" s="36" t="str">
        <x:v>예외·경계 시나리오: 서비스 상태·SLO·경보</x:v>
      </x:c>
      <x:c r="E36" s="36" t="str">
        <x:v>허용되지 않은 상태, 잘못된 값, 중복, 만료, 권한 부족, 연결 끊김 입력으로 데이터 손상·정보 유출·클라이언트 상태 분기가 발생하지 않는지 확인한다.</x:v>
      </x:c>
      <x:c r="F36" s="36" t="str">
        <x:v>대상 기능이 포함된 릴리스 후보 빌드와 디버그 입력, 네트워크 열화, 비정상 요청 재현 수단을 준비한다.</x:v>
      </x:c>
      <x:c r="G36" s="36" t="str">
        <x:v>1. 허용되지 않은 페이즈 또는 경계값 조건을 구성한다.
2. 서비스 상태·SLO·경보에 대해 중복·무효·지연·연결 끊김을 포함한 요청을 전송한다.
3. 서버 거부, 롤백, 오류 표시와 감사 로그를 확인한다.
4. 모든 클라이언트의 상태가 일치하는지 확인한다.</x:v>
      </x:c>
      <x:c r="H36" s="36" t="str">
        <x:v>요청은 사양에 따라 거부되거나 안전하게 복구되며, 중복 반영, 데이터 손실, 정보 유출 또는 진행 중단이 발생하지 않는다. 오류와 상관관계 ID가 기록된다.</x:v>
      </x:c>
      <x:c r="I36" s="36" t="str">
        <x:v>운영</x:v>
      </x:c>
      <x:c r="J36" s="36" t="str">
        <x:v>P0</x:v>
      </x:c>
      <x:c r="K36" s="36" t="str">
        <x:v>백엔드</x:v>
      </x:c>
      <x:c r="L36" s="36" t="str">
        <x:v>예</x:v>
      </x:c>
      <x:c r="M36" s="36" t="str">
        <x:v>미실시</x:v>
      </x:c>
      <x:c r="N36" s="36" t="str">
        <x:v>미정</x:v>
      </x:c>
      <x:c r="O36" s="36" t="str">
        <x:v>미정</x:v>
      </x:c>
      <x:c r="P36" s="36"/>
      <x:c r="Q36" s="36"/>
      <x:c r="R36" s="44" t="str">
        <x:v>2026-07-10</x:v>
      </x:c>
      <x:c r="S36" s="36"/>
      <x:c r="T36" s="54"/>
      <x:c r="U36" s="54"/>
      <x:c r="V36" s="53" t="str">
        <x:v>착수 전</x:v>
      </x:c>
    </x:row>
    <x:row r="37" ht="42" customHeight="1">
      <x:c r="A37" s="36" t="str">
        <x:v>TC-BED-020-01</x:v>
      </x:c>
      <x:c r="B37" s="36" t="str">
        <x:v>BED-020</x:v>
      </x:c>
      <x:c r="C37" s="36" t="str">
        <x:v>백엔드·데이터·모더레이션</x:v>
      </x:c>
      <x:c r="D37" s="36" t="str">
        <x:v>정상 시나리오: 관리 작업·권한 변경·제재 감사 로그</x:v>
      </x:c>
      <x:c r="E37" s="36" t="str">
        <x:v>실행자, 대상, 작업, 사유, 변경 전후 값, 시각, 상관관계 ID를 변조 방지 로그에 저장하고 조회 권한을 제한한다.</x:v>
      </x:c>
      <x:c r="F37" s="36" t="str">
        <x:v>대상 기능이 포함된 출시 빌드, 필요한 테스트 계정·룸 설정·로그 접근 권한을 준비한다.</x:v>
      </x:c>
      <x:c r="G37" s="36" t="str">
        <x:v>1. 사전 조건 상태를 구성한다.
2. 표준 설정에서 다음 테스트 대상을 실행한다: 관리 작업·권한 변경·제재 감사 로그.
3. UI, 서버 상태와 로그·텔레메트리를 확인한다.
4. 필요하면 재입장 또는 재실행하여 재현성을 확인한다.</x:v>
      </x:c>
      <x:c r="H37" s="36" t="str">
        <x:v>실행자, 대상, 작업, 사유, 변경 전후 값, 시각, 상관관계 ID를 변조 방지 로그에 저장하고 조회 권한을 제한한다.</x:v>
      </x:c>
      <x:c r="I37" s="36" t="str">
        <x:v>보안</x:v>
      </x:c>
      <x:c r="J37" s="36" t="str">
        <x:v>P0</x:v>
      </x:c>
      <x:c r="K37" s="36" t="str">
        <x:v>백엔드</x:v>
      </x:c>
      <x:c r="L37" s="36" t="str">
        <x:v>예</x:v>
      </x:c>
      <x:c r="M37" s="36" t="str">
        <x:v>미실시</x:v>
      </x:c>
      <x:c r="N37" s="36" t="str">
        <x:v>미정</x:v>
      </x:c>
      <x:c r="O37" s="36" t="str">
        <x:v>미정</x:v>
      </x:c>
      <x:c r="P37" s="36"/>
      <x:c r="Q37" s="36"/>
      <x:c r="R37" s="44" t="str">
        <x:v>2026-07-10</x:v>
      </x:c>
      <x:c r="S37" s="36"/>
      <x:c r="T37" s="54"/>
      <x:c r="U37" s="54"/>
      <x:c r="V37" s="53" t="str">
        <x:v>착수 전</x:v>
      </x:c>
    </x:row>
    <x:row r="38" ht="42" customHeight="1">
      <x:c r="A38" s="36" t="str">
        <x:v>TC-BED-020-02</x:v>
      </x:c>
      <x:c r="B38" s="36" t="str">
        <x:v>BED-020</x:v>
      </x:c>
      <x:c r="C38" s="36" t="str">
        <x:v>백엔드·데이터·모더레이션</x:v>
      </x:c>
      <x:c r="D38" s="36" t="str">
        <x:v>예외·경계 시나리오: 관리 작업·권한 변경·제재 감사 로그</x:v>
      </x:c>
      <x:c r="E38" s="36" t="str">
        <x:v>허용되지 않은 상태, 잘못된 값, 중복, 만료, 권한 부족, 연결 끊김 입력으로 데이터 손상·정보 유출·클라이언트 상태 분기가 발생하지 않는지 확인한다.</x:v>
      </x:c>
      <x:c r="F38" s="36" t="str">
        <x:v>대상 기능이 포함된 출시 빌드와 디버그 입력, 네트워크 열화, 비정상 요청 재현 수단을 준비한다.</x:v>
      </x:c>
      <x:c r="G38" s="36" t="str">
        <x:v>1. 허용되지 않은 페이즈 또는 경계값 조건을 구성한다.
2. 관리 작업·권한 변경·제재 감사 로그에 대해 중복·무효·지연·연결 끊김을 포함한 요청을 전송한다.
3. 서버 거부, 롤백, 오류 표시와 감사 로그를 확인한다.
4. 모든 클라이언트의 상태가 일치하는지 확인한다.</x:v>
      </x:c>
      <x:c r="H38" s="36" t="str">
        <x:v>요청은 사양에 따라 거부되거나 안전하게 복구되며, 중복 반영, 데이터 손실, 정보 유출 또는 진행 중단이 발생하지 않는다. 오류와 상관관계 ID가 기록된다.</x:v>
      </x:c>
      <x:c r="I38" s="36" t="str">
        <x:v>보안</x:v>
      </x:c>
      <x:c r="J38" s="36" t="str">
        <x:v>P0</x:v>
      </x:c>
      <x:c r="K38" s="36" t="str">
        <x:v>백엔드</x:v>
      </x:c>
      <x:c r="L38" s="36" t="str">
        <x:v>예</x:v>
      </x:c>
      <x:c r="M38" s="36" t="str">
        <x:v>미실시</x:v>
      </x:c>
      <x:c r="N38" s="36" t="str">
        <x:v>미정</x:v>
      </x:c>
      <x:c r="O38" s="36" t="str">
        <x:v>미정</x:v>
      </x:c>
      <x:c r="P38" s="36"/>
      <x:c r="Q38" s="36"/>
      <x:c r="R38" s="44" t="str">
        <x:v>2026-07-10</x:v>
      </x:c>
      <x:c r="S38" s="36"/>
      <x:c r="T38" s="54"/>
      <x:c r="U38" s="54"/>
      <x:c r="V38" s="53" t="str">
        <x:v>착수 전</x:v>
      </x:c>
    </x:row>
    <x:row r="39" ht="42" customHeight="1">
      <x:c r="A39" s="36" t="str">
        <x:v>TC-BED-021-01</x:v>
      </x:c>
      <x:c r="B39" s="36" t="str">
        <x:v>BED-021</x:v>
      </x:c>
      <x:c r="C39" s="36" t="str">
        <x:v>백엔드·데이터·모더레이션</x:v>
      </x:c>
      <x:c r="D39" s="36" t="str">
        <x:v>정상 시나리오: 플레이어·매치·신고·설정 관리 도구</x:v>
      </x:c>
      <x:c r="E39" s="36" t="str">
        <x:v>역할 기반 권한, 검색, 상세 조회, 제재·해제, 설정 배포, 감사 로그 조회를 제공하고 위험 작업은 2단계 확인 또는 승인을 요구한다.</x:v>
      </x:c>
      <x:c r="F39" s="36" t="str">
        <x:v>대상 기능이 포함된 출시 빌드, 필요한 테스트 계정·룸 설정·로그 접근 권한을 준비한다.</x:v>
      </x:c>
      <x:c r="G39" s="36" t="str">
        <x:v>1. 사전 조건 상태를 구성한다.
2. 표준 설정에서 다음 테스트 대상을 실행한다: 플레이어·매치·신고·설정 관리 도구.
3. UI, 서버 상태와 로그·텔레메트리를 확인한다.
4. 필요하면 재입장 또는 재실행하여 재현성을 확인한다.</x:v>
      </x:c>
      <x:c r="H39" s="36" t="str">
        <x:v>역할 기반 권한, 검색, 상세 조회, 제재·해제, 설정 배포, 감사 로그 조회를 제공하고 위험 작업은 2단계 확인 또는 승인을 요구한다.</x:v>
      </x:c>
      <x:c r="I39" s="36" t="str">
        <x:v>보안</x:v>
      </x:c>
      <x:c r="J39" s="36" t="str">
        <x:v>P0</x:v>
      </x:c>
      <x:c r="K39" s="36" t="str">
        <x:v>웹·관리자</x:v>
      </x:c>
      <x:c r="L39" s="36" t="str">
        <x:v>예</x:v>
      </x:c>
      <x:c r="M39" s="36" t="str">
        <x:v>미실시</x:v>
      </x:c>
      <x:c r="N39" s="36" t="str">
        <x:v>미정</x:v>
      </x:c>
      <x:c r="O39" s="36" t="str">
        <x:v>미정</x:v>
      </x:c>
      <x:c r="P39" s="36"/>
      <x:c r="Q39" s="36"/>
      <x:c r="R39" s="44" t="str">
        <x:v>2026-07-10</x:v>
      </x:c>
      <x:c r="S39" s="36"/>
      <x:c r="T39" s="54"/>
      <x:c r="U39" s="54"/>
      <x:c r="V39" s="53" t="str">
        <x:v>착수 전</x:v>
      </x:c>
    </x:row>
    <x:row r="40" ht="42" customHeight="1">
      <x:c r="A40" s="36" t="str">
        <x:v>TC-BED-021-02</x:v>
      </x:c>
      <x:c r="B40" s="36" t="str">
        <x:v>BED-021</x:v>
      </x:c>
      <x:c r="C40" s="36" t="str">
        <x:v>백엔드·데이터·모더레이션</x:v>
      </x:c>
      <x:c r="D40" s="36" t="str">
        <x:v>예외·경계 시나리오: 플레이어·매치·신고·설정 관리 도구</x:v>
      </x:c>
      <x:c r="E40" s="36" t="str">
        <x:v>허용되지 않은 상태, 잘못된 값, 중복, 만료, 권한 부족, 연결 끊김 입력으로 데이터 손상·정보 유출·클라이언트 상태 분기가 발생하지 않는지 확인한다.</x:v>
      </x:c>
      <x:c r="F40" s="36" t="str">
        <x:v>대상 기능이 포함된 출시 빌드와 디버그 입력, 네트워크 열화, 비정상 요청 재현 수단을 준비한다.</x:v>
      </x:c>
      <x:c r="G40" s="36" t="str">
        <x:v>1. 허용되지 않은 페이즈 또는 경계값 조건을 구성한다.
2. 플레이어·매치·신고·설정 관리 도구에 대해 중복·무효·지연·연결 끊김을 포함한 요청을 전송한다.
3. 서버 거부, 롤백, 오류 표시와 감사 로그를 확인한다.
4. 모든 클라이언트의 상태가 일치하는지 확인한다.</x:v>
      </x:c>
      <x:c r="H40" s="36" t="str">
        <x:v>요청은 사양에 따라 거부되거나 안전하게 복구되며, 중복 반영, 데이터 손실, 정보 유출 또는 진행 중단이 발생하지 않는다. 오류와 상관관계 ID가 기록된다.</x:v>
      </x:c>
      <x:c r="I40" s="36" t="str">
        <x:v>보안</x:v>
      </x:c>
      <x:c r="J40" s="36" t="str">
        <x:v>P0</x:v>
      </x:c>
      <x:c r="K40" s="36" t="str">
        <x:v>웹·관리자</x:v>
      </x:c>
      <x:c r="L40" s="36" t="str">
        <x:v>예</x:v>
      </x:c>
      <x:c r="M40" s="36" t="str">
        <x:v>미실시</x:v>
      </x:c>
      <x:c r="N40" s="36" t="str">
        <x:v>미정</x:v>
      </x:c>
      <x:c r="O40" s="36" t="str">
        <x:v>미정</x:v>
      </x:c>
      <x:c r="P40" s="36"/>
      <x:c r="Q40" s="36"/>
      <x:c r="R40" s="44" t="str">
        <x:v>2026-07-10</x:v>
      </x:c>
      <x:c r="S40" s="36"/>
      <x:c r="T40" s="54"/>
      <x:c r="U40" s="54"/>
      <x:c r="V40" s="53" t="str">
        <x:v>착수 전</x:v>
      </x:c>
    </x:row>
    <x:row r="41" ht="42" customHeight="1">
      <x:c r="A41" s="36" t="str">
        <x:v>TC-BED-022-01</x:v>
      </x:c>
      <x:c r="B41" s="36" t="str">
        <x:v>BED-022</x:v>
      </x:c>
      <x:c r="C41" s="36" t="str">
        <x:v>백엔드·데이터·모더레이션</x:v>
      </x:c>
      <x:c r="D41" s="36" t="str">
        <x:v>정상 시나리오: 경고·일시 정지·영구 정지·이의 제기</x:v>
      </x:c>
      <x:c r="E41" s="36" t="str">
        <x:v>제재 유형, 기간, 사유, 증거, 통지, 해제, 이의 제기를 관리하고 게임, 음성, 채팅, 상점 기능에 적절히 반영한다.</x:v>
      </x:c>
      <x:c r="F41" s="36" t="str">
        <x:v>대상 기능이 포함된 출시 빌드, 필요한 테스트 계정·룸 설정·로그 접근 권한을 준비한다.</x:v>
      </x:c>
      <x:c r="G41" s="36" t="str">
        <x:v>1. 사전 조건 상태를 구성한다.
2. 표준 설정에서 다음 테스트 대상을 실행한다: 경고·일시 정지·영구 정지·이의 제기.
3. UI, 서버 상태와 로그·텔레메트리를 확인한다.
4. 필요하면 재입장 또는 재실행하여 재현성을 확인한다.</x:v>
      </x:c>
      <x:c r="H41" s="36" t="str">
        <x:v>제재 유형, 기간, 사유, 증거, 통지, 해제, 이의 제기를 관리하고 게임, 음성, 채팅, 상점 기능에 적절히 반영한다.</x:v>
      </x:c>
      <x:c r="I41" s="36" t="str">
        <x:v>운영</x:v>
      </x:c>
      <x:c r="J41" s="36" t="str">
        <x:v>P0</x:v>
      </x:c>
      <x:c r="K41" s="36" t="str">
        <x:v>백엔드</x:v>
      </x:c>
      <x:c r="L41" s="36" t="str">
        <x:v>예</x:v>
      </x:c>
      <x:c r="M41" s="36" t="str">
        <x:v>미실시</x:v>
      </x:c>
      <x:c r="N41" s="36" t="str">
        <x:v>미정</x:v>
      </x:c>
      <x:c r="O41" s="36" t="str">
        <x:v>미정</x:v>
      </x:c>
      <x:c r="P41" s="36"/>
      <x:c r="Q41" s="36"/>
      <x:c r="R41" s="44" t="str">
        <x:v>2026-07-10</x:v>
      </x:c>
      <x:c r="S41" s="36"/>
      <x:c r="T41" s="54"/>
      <x:c r="U41" s="54"/>
      <x:c r="V41" s="53" t="str">
        <x:v>착수 전</x:v>
      </x:c>
    </x:row>
    <x:row r="42" ht="42" customHeight="1">
      <x:c r="A42" s="36" t="str">
        <x:v>TC-BED-022-02</x:v>
      </x:c>
      <x:c r="B42" s="36" t="str">
        <x:v>BED-022</x:v>
      </x:c>
      <x:c r="C42" s="36" t="str">
        <x:v>백엔드·데이터·모더레이션</x:v>
      </x:c>
      <x:c r="D42" s="36" t="str">
        <x:v>예외·경계 시나리오: 경고·일시 정지·영구 정지·이의 제기</x:v>
      </x:c>
      <x:c r="E42" s="36" t="str">
        <x:v>허용되지 않은 상태, 잘못된 값, 중복, 만료, 권한 부족, 연결 끊김 입력으로 데이터 손상·정보 유출·클라이언트 상태 분기가 발생하지 않는지 확인한다.</x:v>
      </x:c>
      <x:c r="F42" s="36" t="str">
        <x:v>대상 기능이 포함된 출시 빌드와 디버그 입력, 네트워크 열화, 비정상 요청 재현 수단을 준비한다.</x:v>
      </x:c>
      <x:c r="G42" s="36" t="str">
        <x:v>1. 허용되지 않은 페이즈 또는 경계값 조건을 구성한다.
2. 경고·일시 정지·영구 정지·이의 제기에 대해 중복·무효·지연·연결 끊김을 포함한 요청을 전송한다.
3. 서버 거부, 롤백, 오류 표시와 감사 로그를 확인한다.
4. 모든 클라이언트의 상태가 일치하는지 확인한다.</x:v>
      </x:c>
      <x:c r="H42" s="36" t="str">
        <x:v>요청은 사양에 따라 거부되거나 안전하게 복구되며, 중복 반영, 데이터 손실, 정보 유출 또는 진행 중단이 발생하지 않는다. 오류와 상관관계 ID가 기록된다.</x:v>
      </x:c>
      <x:c r="I42" s="36" t="str">
        <x:v>운영</x:v>
      </x:c>
      <x:c r="J42" s="36" t="str">
        <x:v>P0</x:v>
      </x:c>
      <x:c r="K42" s="36" t="str">
        <x:v>백엔드</x:v>
      </x:c>
      <x:c r="L42" s="36" t="str">
        <x:v>예</x:v>
      </x:c>
      <x:c r="M42" s="36" t="str">
        <x:v>미실시</x:v>
      </x:c>
      <x:c r="N42" s="36" t="str">
        <x:v>미정</x:v>
      </x:c>
      <x:c r="O42" s="36" t="str">
        <x:v>미정</x:v>
      </x:c>
      <x:c r="P42" s="36"/>
      <x:c r="Q42" s="36"/>
      <x:c r="R42" s="44" t="str">
        <x:v>2026-07-10</x:v>
      </x:c>
      <x:c r="S42" s="36"/>
      <x:c r="T42" s="54"/>
      <x:c r="U42" s="54"/>
      <x:c r="V42" s="53" t="str">
        <x:v>착수 전</x:v>
      </x:c>
    </x:row>
    <x:row r="43" ht="42" customHeight="1">
      <x:c r="A43" s="36" t="str">
        <x:v>TC-BED-023-01</x:v>
      </x:c>
      <x:c r="B43" s="36" t="str">
        <x:v>BED-023</x:v>
      </x:c>
      <x:c r="C43" s="36" t="str">
        <x:v>백엔드·데이터·모더레이션</x:v>
      </x:c>
      <x:c r="D43" s="36" t="str">
        <x:v>정상 시나리오: 크래시·서버 로그 수집·마스킹</x:v>
      </x:c>
      <x:c r="E43" s="36" t="str">
        <x:v>빌드, 플랫폼, 매치 ID, 상태 전환을 수집하고 역할, 채팅, 음성, 토큰, 개인 정보는 마스킹한다.</x:v>
      </x:c>
      <x:c r="F43" s="36" t="str">
        <x:v>대상 기능이 포함된 알파 빌드, 필요한 테스트 계정·룸 설정·로그 접근 권한을 준비한다.</x:v>
      </x:c>
      <x:c r="G43" s="36" t="str">
        <x:v>1. 사전 조건 상태를 구성한다.
2. 표준 설정에서 다음 테스트 대상을 실행한다: 크래시·서버 로그 수집·마스킹.
3. UI, 서버 상태와 로그·텔레메트리를 확인한다.
4. 필요하면 재입장 또는 재실행하여 재현성을 확인한다.</x:v>
      </x:c>
      <x:c r="H43" s="36" t="str">
        <x:v>빌드, 플랫폼, 매치 ID, 상태 전환을 수집하고 역할, 채팅, 음성, 토큰, 개인 정보는 마스킹한다.</x:v>
      </x:c>
      <x:c r="I43" s="36" t="str">
        <x:v>보안</x:v>
      </x:c>
      <x:c r="J43" s="36" t="str">
        <x:v>P0</x:v>
      </x:c>
      <x:c r="K43" s="36" t="str">
        <x:v>백엔드</x:v>
      </x:c>
      <x:c r="L43" s="36" t="str">
        <x:v>예</x:v>
      </x:c>
      <x:c r="M43" s="36" t="str">
        <x:v>미실시</x:v>
      </x:c>
      <x:c r="N43" s="36" t="str">
        <x:v>미정</x:v>
      </x:c>
      <x:c r="O43" s="36" t="str">
        <x:v>미정</x:v>
      </x:c>
      <x:c r="P43" s="36"/>
      <x:c r="Q43" s="36"/>
      <x:c r="R43" s="44" t="str">
        <x:v>2026-07-10</x:v>
      </x:c>
      <x:c r="S43" s="36"/>
      <x:c r="T43" s="54"/>
      <x:c r="U43" s="54"/>
      <x:c r="V43" s="53" t="str">
        <x:v>착수 전</x:v>
      </x:c>
    </x:row>
    <x:row r="44" ht="42" customHeight="1">
      <x:c r="A44" s="36" t="str">
        <x:v>TC-BED-023-02</x:v>
      </x:c>
      <x:c r="B44" s="36" t="str">
        <x:v>BED-023</x:v>
      </x:c>
      <x:c r="C44" s="36" t="str">
        <x:v>백엔드·데이터·모더레이션</x:v>
      </x:c>
      <x:c r="D44" s="36" t="str">
        <x:v>예외·경계 시나리오: 크래시·서버 로그 수집·마스킹</x:v>
      </x:c>
      <x:c r="E44" s="36" t="str">
        <x:v>허용되지 않은 상태, 잘못된 값, 중복, 만료, 권한 부족, 연결 끊김 입력으로 데이터 손상·정보 유출·클라이언트 상태 분기가 발생하지 않는지 확인한다.</x:v>
      </x:c>
      <x:c r="F44" s="36" t="str">
        <x:v>대상 기능이 포함된 알파 빌드와 디버그 입력, 네트워크 열화, 비정상 요청 재현 수단을 준비한다.</x:v>
      </x:c>
      <x:c r="G44" s="36" t="str">
        <x:v>1. 허용되지 않은 페이즈 또는 경계값 조건을 구성한다.
2. 크래시·서버 로그 수집·마스킹에 대해 중복·무효·지연·연결 끊김을 포함한 요청을 전송한다.
3. 서버 거부, 롤백, 오류 표시와 감사 로그를 확인한다.
4. 모든 클라이언트의 상태가 일치하는지 확인한다.</x:v>
      </x:c>
      <x:c r="H44" s="36" t="str">
        <x:v>요청은 사양에 따라 거부되거나 안전하게 복구되며, 중복 반영, 데이터 손실, 정보 유출 또는 진행 중단이 발생하지 않는다. 오류와 상관관계 ID가 기록된다.</x:v>
      </x:c>
      <x:c r="I44" s="36" t="str">
        <x:v>보안</x:v>
      </x:c>
      <x:c r="J44" s="36" t="str">
        <x:v>P0</x:v>
      </x:c>
      <x:c r="K44" s="36" t="str">
        <x:v>백엔드</x:v>
      </x:c>
      <x:c r="L44" s="36" t="str">
        <x:v>예</x:v>
      </x:c>
      <x:c r="M44" s="36" t="str">
        <x:v>미실시</x:v>
      </x:c>
      <x:c r="N44" s="36" t="str">
        <x:v>미정</x:v>
      </x:c>
      <x:c r="O44" s="36" t="str">
        <x:v>미정</x:v>
      </x:c>
      <x:c r="P44" s="36"/>
      <x:c r="Q44" s="36"/>
      <x:c r="R44" s="44" t="str">
        <x:v>2026-07-10</x:v>
      </x:c>
      <x:c r="S44" s="36"/>
      <x:c r="T44" s="54"/>
      <x:c r="U44" s="54"/>
      <x:c r="V44" s="53" t="str">
        <x:v>착수 전</x:v>
      </x:c>
    </x:row>
    <x:row r="45" ht="42" customHeight="1">
      <x:c r="A45" s="36" t="str">
        <x:v>TC-BED-024-01</x:v>
      </x:c>
      <x:c r="B45" s="36" t="str">
        <x:v>BED-024</x:v>
      </x:c>
      <x:c r="C45" s="36" t="str">
        <x:v>백엔드·데이터·모더레이션</x:v>
      </x:c>
      <x:c r="D45" s="36" t="str">
        <x:v>정상 시나리오: 분석 이벤트 검증·데이터 마트</x:v>
      </x:c>
      <x:c r="E45" s="36" t="str">
        <x:v>스키마 위반, 중복, 누락, 지연을 탐지하고 승률, 게임 시간, 메모 행동, 이탈, 네트워크 품질을 버전별로 분석할 수 있다.</x:v>
      </x:c>
      <x:c r="F45" s="36" t="str">
        <x:v>대상 기능이 포함된 베타 빌드, 필요한 테스트 계정·룸 설정·로그 접근 권한을 준비한다.</x:v>
      </x:c>
      <x:c r="G45" s="36" t="str">
        <x:v>1. 사전 조건 상태를 구성한다.
2. 표준 설정에서 다음 테스트 대상을 실행한다: 분석 이벤트 검증·데이터 마트.
3. UI, 서버 상태와 로그·텔레메트리를 확인한다.
4. 필요하면 재입장 또는 재실행하여 재현성을 확인한다.</x:v>
      </x:c>
      <x:c r="H45" s="36" t="str">
        <x:v>스키마 위반, 중복, 누락, 지연을 탐지하고 승률, 게임 시간, 메모 행동, 이탈, 네트워크 품질을 버전별로 분석할 수 있다.</x:v>
      </x:c>
      <x:c r="I45" s="36" t="str">
        <x:v>운영</x:v>
      </x:c>
      <x:c r="J45" s="36" t="str">
        <x:v>P1</x:v>
      </x:c>
      <x:c r="K45" s="36" t="str">
        <x:v>백엔드</x:v>
      </x:c>
      <x:c r="L45" s="36" t="str">
        <x:v>예</x:v>
      </x:c>
      <x:c r="M45" s="36" t="str">
        <x:v>미실시</x:v>
      </x:c>
      <x:c r="N45" s="36" t="str">
        <x:v>미정</x:v>
      </x:c>
      <x:c r="O45" s="36" t="str">
        <x:v>미정</x:v>
      </x:c>
      <x:c r="P45" s="36"/>
      <x:c r="Q45" s="36"/>
      <x:c r="R45" s="44" t="str">
        <x:v>2026-07-10</x:v>
      </x:c>
      <x:c r="S45" s="36"/>
      <x:c r="T45" s="54"/>
      <x:c r="U45" s="54"/>
      <x:c r="V45" s="53" t="str">
        <x:v>착수 전</x:v>
      </x:c>
    </x:row>
    <x:row r="46" ht="42" customHeight="1">
      <x:c r="A46" s="36" t="str">
        <x:v>TC-BED-025-01</x:v>
      </x:c>
      <x:c r="B46" s="36" t="str">
        <x:v>BED-025</x:v>
      </x:c>
      <x:c r="C46" s="36" t="str">
        <x:v>백엔드·데이터·모더레이션</x:v>
      </x:c>
      <x:c r="D46" s="36" t="str">
        <x:v>정상 시나리오: DB 스키마 마이그레이션·하위 호환</x:v>
      </x:c>
      <x:c r="E46" s="36" t="str">
        <x:v>확장→이관→정리 절차로 무중단 마이그레이션하고 이전 클라이언트와 병행 운영할 수 있다. 롤백 시 데이터 손실 범위를 정의한다.</x:v>
      </x:c>
      <x:c r="F46" s="36" t="str">
        <x:v>대상 기능이 포함된 릴리스 후보 빌드, 필요한 테스트 계정·룸 설정·로그 접근 권한을 준비한다.</x:v>
      </x:c>
      <x:c r="G46" s="36" t="str">
        <x:v>1. 사전 조건 상태를 구성한다.
2. 표준 설정에서 다음 테스트 대상을 실행한다: DB 스키마 마이그레이션·하위 호환.
3. UI, 서버 상태와 로그·텔레메트리를 확인한다.
4. 필요하면 재입장 또는 재실행하여 재현성을 확인한다.</x:v>
      </x:c>
      <x:c r="H46" s="36" t="str">
        <x:v>확장→이관→정리 절차로 무중단 마이그레이션하고 이전 클라이언트와 병행 운영할 수 있다. 롤백 시 데이터 손실 범위를 정의한다.</x:v>
      </x:c>
      <x:c r="I46" s="36" t="str">
        <x:v>호환성</x:v>
      </x:c>
      <x:c r="J46" s="36" t="str">
        <x:v>P0</x:v>
      </x:c>
      <x:c r="K46" s="36" t="str">
        <x:v>백엔드</x:v>
      </x:c>
      <x:c r="L46" s="36" t="str">
        <x:v>예</x:v>
      </x:c>
      <x:c r="M46" s="36" t="str">
        <x:v>미실시</x:v>
      </x:c>
      <x:c r="N46" s="36" t="str">
        <x:v>미정</x:v>
      </x:c>
      <x:c r="O46" s="36" t="str">
        <x:v>미정</x:v>
      </x:c>
      <x:c r="P46" s="36"/>
      <x:c r="Q46" s="36"/>
      <x:c r="R46" s="44" t="str">
        <x:v>2026-07-10</x:v>
      </x:c>
      <x:c r="S46" s="36"/>
      <x:c r="T46" s="54"/>
      <x:c r="U46" s="54"/>
      <x:c r="V46" s="53" t="str">
        <x:v>착수 전</x:v>
      </x:c>
    </x:row>
    <x:row r="47" ht="42" customHeight="1">
      <x:c r="A47" s="36" t="str">
        <x:v>TC-BED-025-02</x:v>
      </x:c>
      <x:c r="B47" s="36" t="str">
        <x:v>BED-025</x:v>
      </x:c>
      <x:c r="C47" s="36" t="str">
        <x:v>백엔드·데이터·모더레이션</x:v>
      </x:c>
      <x:c r="D47" s="36" t="str">
        <x:v>예외·경계 시나리오: DB 스키마 마이그레이션·하위 호환</x:v>
      </x:c>
      <x:c r="E47" s="36" t="str">
        <x:v>허용되지 않은 상태, 잘못된 값, 중복, 만료, 권한 부족, 연결 끊김 입력으로 데이터 손상·정보 유출·클라이언트 상태 분기가 발생하지 않는지 확인한다.</x:v>
      </x:c>
      <x:c r="F47" s="36" t="str">
        <x:v>대상 기능이 포함된 릴리스 후보 빌드와 디버그 입력, 네트워크 열화, 비정상 요청 재현 수단을 준비한다.</x:v>
      </x:c>
      <x:c r="G47" s="36" t="str">
        <x:v>1. 허용되지 않은 페이즈 또는 경계값 조건을 구성한다.
2. DB 스키마 마이그레이션·하위 호환에 대해 중복·무효·지연·연결 끊김을 포함한 요청을 전송한다.
3. 서버 거부, 롤백, 오류 표시와 감사 로그를 확인한다.
4. 모든 클라이언트의 상태가 일치하는지 확인한다.</x:v>
      </x:c>
      <x:c r="H47" s="36" t="str">
        <x:v>요청은 사양에 따라 거부되거나 안전하게 복구되며, 중복 반영, 데이터 손실, 정보 유출 또는 진행 중단이 발생하지 않는다. 오류와 상관관계 ID가 기록된다.</x:v>
      </x:c>
      <x:c r="I47" s="36" t="str">
        <x:v>호환성</x:v>
      </x:c>
      <x:c r="J47" s="36" t="str">
        <x:v>P0</x:v>
      </x:c>
      <x:c r="K47" s="36" t="str">
        <x:v>백엔드</x:v>
      </x:c>
      <x:c r="L47" s="36" t="str">
        <x:v>예</x:v>
      </x:c>
      <x:c r="M47" s="36" t="str">
        <x:v>미실시</x:v>
      </x:c>
      <x:c r="N47" s="36" t="str">
        <x:v>미정</x:v>
      </x:c>
      <x:c r="O47" s="36" t="str">
        <x:v>미정</x:v>
      </x:c>
      <x:c r="P47" s="36"/>
      <x:c r="Q47" s="36"/>
      <x:c r="R47" s="44" t="str">
        <x:v>2026-07-10</x:v>
      </x:c>
      <x:c r="S47" s="36"/>
      <x:c r="T47" s="54"/>
      <x:c r="U47" s="54"/>
      <x:c r="V47" s="53" t="str">
        <x:v>착수 전</x:v>
      </x:c>
    </x:row>
    <x:row r="48" ht="42" customHeight="1">
      <x:c r="A48" s="36" t="str">
        <x:v>TC-BED-026-01</x:v>
      </x:c>
      <x:c r="B48" s="36" t="str">
        <x:v>BED-026</x:v>
      </x:c>
      <x:c r="C48" s="36" t="str">
        <x:v>백엔드·데이터·모더레이션</x:v>
      </x:c>
      <x:c r="D48" s="36" t="str">
        <x:v>정상 시나리오: 백업·복원·재해 복구</x:v>
      </x:c>
      <x:c r="E48" s="36" t="str">
        <x:v>중요 데이터의 RPO와 RTO를 정의하고 정기 복원 시험으로 계정, 설정, 신고, 상점 원장을 복구할 수 있다.</x:v>
      </x:c>
      <x:c r="F48" s="36" t="str">
        <x:v>대상 기능이 포함된 릴리스 후보 빌드, 필요한 테스트 계정·룸 설정·로그 접근 권한을 준비한다.</x:v>
      </x:c>
      <x:c r="G48" s="36" t="str">
        <x:v>1. 사전 조건 상태를 구성한다.
2. 표준 설정에서 다음 테스트 대상을 실행한다: 백업·복원·재해 복구.
3. UI, 서버 상태와 로그·텔레메트리를 확인한다.
4. 필요하면 재입장 또는 재실행하여 재현성을 확인한다.</x:v>
      </x:c>
      <x:c r="H48" s="36" t="str">
        <x:v>중요 데이터의 RPO와 RTO를 정의하고 정기 복원 시험으로 계정, 설정, 신고, 상점 원장을 복구할 수 있다.</x:v>
      </x:c>
      <x:c r="I48" s="36" t="str">
        <x:v>운영</x:v>
      </x:c>
      <x:c r="J48" s="36" t="str">
        <x:v>P0</x:v>
      </x:c>
      <x:c r="K48" s="36" t="str">
        <x:v>백엔드</x:v>
      </x:c>
      <x:c r="L48" s="36" t="str">
        <x:v>예</x:v>
      </x:c>
      <x:c r="M48" s="36" t="str">
        <x:v>미실시</x:v>
      </x:c>
      <x:c r="N48" s="36" t="str">
        <x:v>미정</x:v>
      </x:c>
      <x:c r="O48" s="36" t="str">
        <x:v>미정</x:v>
      </x:c>
      <x:c r="P48" s="36"/>
      <x:c r="Q48" s="36"/>
      <x:c r="R48" s="44" t="str">
        <x:v>2026-07-10</x:v>
      </x:c>
      <x:c r="S48" s="36"/>
      <x:c r="T48" s="54"/>
      <x:c r="U48" s="54"/>
      <x:c r="V48" s="53" t="str">
        <x:v>착수 전</x:v>
      </x:c>
    </x:row>
    <x:row r="49" ht="42" customHeight="1">
      <x:c r="A49" s="36" t="str">
        <x:v>TC-BED-026-02</x:v>
      </x:c>
      <x:c r="B49" s="36" t="str">
        <x:v>BED-026</x:v>
      </x:c>
      <x:c r="C49" s="36" t="str">
        <x:v>백엔드·데이터·모더레이션</x:v>
      </x:c>
      <x:c r="D49" s="36" t="str">
        <x:v>예외·경계 시나리오: 백업·복원·재해 복구</x:v>
      </x:c>
      <x:c r="E49" s="36" t="str">
        <x:v>허용되지 않은 상태, 잘못된 값, 중복, 만료, 권한 부족, 연결 끊김 입력으로 데이터 손상·정보 유출·클라이언트 상태 분기가 발생하지 않는지 확인한다.</x:v>
      </x:c>
      <x:c r="F49" s="36" t="str">
        <x:v>대상 기능이 포함된 릴리스 후보 빌드와 디버그 입력, 네트워크 열화, 비정상 요청 재현 수단을 준비한다.</x:v>
      </x:c>
      <x:c r="G49" s="36" t="str">
        <x:v>1. 허용되지 않은 페이즈 또는 경계값 조건을 구성한다.
2. 백업·복원·재해 복구에 대해 중복·무효·지연·연결 끊김을 포함한 요청을 전송한다.
3. 서버 거부, 롤백, 오류 표시와 감사 로그를 확인한다.
4. 모든 클라이언트의 상태가 일치하는지 확인한다.</x:v>
      </x:c>
      <x:c r="H49" s="36" t="str">
        <x:v>요청은 사양에 따라 거부되거나 안전하게 복구되며, 중복 반영, 데이터 손실, 정보 유출 또는 진행 중단이 발생하지 않는다. 오류와 상관관계 ID가 기록된다.</x:v>
      </x:c>
      <x:c r="I49" s="36" t="str">
        <x:v>운영</x:v>
      </x:c>
      <x:c r="J49" s="36" t="str">
        <x:v>P0</x:v>
      </x:c>
      <x:c r="K49" s="36" t="str">
        <x:v>백엔드</x:v>
      </x:c>
      <x:c r="L49" s="36" t="str">
        <x:v>예</x:v>
      </x:c>
      <x:c r="M49" s="36" t="str">
        <x:v>미실시</x:v>
      </x:c>
      <x:c r="N49" s="36" t="str">
        <x:v>미정</x:v>
      </x:c>
      <x:c r="O49" s="36" t="str">
        <x:v>미정</x:v>
      </x:c>
      <x:c r="P49" s="36"/>
      <x:c r="Q49" s="36"/>
      <x:c r="R49" s="44" t="str">
        <x:v>2026-07-10</x:v>
      </x:c>
      <x:c r="S49" s="36"/>
      <x:c r="T49" s="54"/>
      <x:c r="U49" s="54"/>
      <x:c r="V49" s="53" t="str">
        <x:v>착수 전</x:v>
      </x:c>
    </x:row>
    <x:row r="50" ht="42" customHeight="1">
      <x:c r="A50" s="36" t="str">
        <x:v>TC-BED-027-01</x:v>
      </x:c>
      <x:c r="B50" s="36" t="str">
        <x:v>BED-027</x:v>
      </x:c>
      <x:c r="C50" s="36" t="str">
        <x:v>백엔드·데이터·모더레이션</x:v>
      </x:c>
      <x:c r="D50" s="36" t="str">
        <x:v>정상 시나리오: 비밀 정보·키·인증서 관리</x:v>
      </x:c>
      <x:c r="E50" s="36" t="str">
        <x:v>비밀 정보를 저장소, 로그, 클라이언트에 포함하지 않고 환경 분리, 최소 권한, 교체, 폐기 절차를 적용한다.</x:v>
      </x:c>
      <x:c r="F50" s="36" t="str">
        <x:v>대상 기능이 포함된 릴리스 후보 빌드, 필요한 테스트 계정·룸 설정·로그 접근 권한을 준비한다.</x:v>
      </x:c>
      <x:c r="G50" s="36" t="str">
        <x:v>1. 사전 조건 상태를 구성한다.
2. 표준 설정에서 다음 테스트 대상을 실행한다: 비밀 정보·키·인증서 관리.
3. UI, 서버 상태와 로그·텔레메트리를 확인한다.
4. 필요하면 재입장 또는 재실행하여 재현성을 확인한다.</x:v>
      </x:c>
      <x:c r="H50" s="36" t="str">
        <x:v>비밀 정보를 저장소, 로그, 클라이언트에 포함하지 않고 환경 분리, 최소 권한, 교체, 폐기 절차를 적용한다.</x:v>
      </x:c>
      <x:c r="I50" s="36" t="str">
        <x:v>보안</x:v>
      </x:c>
      <x:c r="J50" s="36" t="str">
        <x:v>P0</x:v>
      </x:c>
      <x:c r="K50" s="36" t="str">
        <x:v>백엔드</x:v>
      </x:c>
      <x:c r="L50" s="36" t="str">
        <x:v>예</x:v>
      </x:c>
      <x:c r="M50" s="36" t="str">
        <x:v>미실시</x:v>
      </x:c>
      <x:c r="N50" s="36" t="str">
        <x:v>미정</x:v>
      </x:c>
      <x:c r="O50" s="36" t="str">
        <x:v>미정</x:v>
      </x:c>
      <x:c r="P50" s="36"/>
      <x:c r="Q50" s="36"/>
      <x:c r="R50" s="44" t="str">
        <x:v>2026-07-10</x:v>
      </x:c>
      <x:c r="S50" s="36"/>
      <x:c r="T50" s="54"/>
      <x:c r="U50" s="54"/>
      <x:c r="V50" s="53" t="str">
        <x:v>착수 전</x:v>
      </x:c>
    </x:row>
    <x:row r="51" ht="42" customHeight="1">
      <x:c r="A51" s="36" t="str">
        <x:v>TC-BED-027-02</x:v>
      </x:c>
      <x:c r="B51" s="36" t="str">
        <x:v>BED-027</x:v>
      </x:c>
      <x:c r="C51" s="36" t="str">
        <x:v>백엔드·데이터·모더레이션</x:v>
      </x:c>
      <x:c r="D51" s="36" t="str">
        <x:v>예외·경계 시나리오: 비밀 정보·키·인증서 관리</x:v>
      </x:c>
      <x:c r="E51" s="36" t="str">
        <x:v>허용되지 않은 상태, 잘못된 값, 중복, 만료, 권한 부족, 연결 끊김 입력으로 데이터 손상·정보 유출·클라이언트 상태 분기가 발생하지 않는지 확인한다.</x:v>
      </x:c>
      <x:c r="F51" s="36" t="str">
        <x:v>대상 기능이 포함된 릴리스 후보 빌드와 디버그 입력, 네트워크 열화, 비정상 요청 재현 수단을 준비한다.</x:v>
      </x:c>
      <x:c r="G51" s="36" t="str">
        <x:v>1. 허용되지 않은 페이즈 또는 경계값 조건을 구성한다.
2. 비밀 정보·키·인증서 관리에 대해 중복·무효·지연·연결 끊김을 포함한 요청을 전송한다.
3. 서버 거부, 롤백, 오류 표시와 감사 로그를 확인한다.
4. 모든 클라이언트의 상태가 일치하는지 확인한다.</x:v>
      </x:c>
      <x:c r="H51" s="36" t="str">
        <x:v>요청은 사양에 따라 거부되거나 안전하게 복구되며, 중복 반영, 데이터 손실, 정보 유출 또는 진행 중단이 발생하지 않는다. 오류와 상관관계 ID가 기록된다.</x:v>
      </x:c>
      <x:c r="I51" s="36" t="str">
        <x:v>보안</x:v>
      </x:c>
      <x:c r="J51" s="36" t="str">
        <x:v>P0</x:v>
      </x:c>
      <x:c r="K51" s="36" t="str">
        <x:v>백엔드</x:v>
      </x:c>
      <x:c r="L51" s="36" t="str">
        <x:v>예</x:v>
      </x:c>
      <x:c r="M51" s="36" t="str">
        <x:v>미실시</x:v>
      </x:c>
      <x:c r="N51" s="36" t="str">
        <x:v>미정</x:v>
      </x:c>
      <x:c r="O51" s="36" t="str">
        <x:v>미정</x:v>
      </x:c>
      <x:c r="P51" s="36"/>
      <x:c r="Q51" s="36"/>
      <x:c r="R51" s="44" t="str">
        <x:v>2026-07-10</x:v>
      </x:c>
      <x:c r="S51" s="36"/>
      <x:c r="T51" s="54"/>
      <x:c r="U51" s="54"/>
      <x:c r="V51" s="53" t="str">
        <x:v>착수 전</x:v>
      </x:c>
    </x:row>
    <x:row r="52" ht="42" customHeight="1">
      <x:c r="A52" s="36" t="str">
        <x:v>TC-BED-028-01</x:v>
      </x:c>
      <x:c r="B52" s="36" t="str">
        <x:v>BED-028</x:v>
      </x:c>
      <x:c r="C52" s="36" t="str">
        <x:v>백엔드·데이터·모더레이션</x:v>
      </x:c>
      <x:c r="D52" s="36" t="str">
        <x:v>정상 시나리오: 단계 배포·호환성 확인·롤백</x:v>
      </x:c>
      <x:c r="E52" s="36" t="str">
        <x:v>카나리→단계 확대→전체 배포 절차, DB·설정·클라이언트 호환성, 중지 조건, 롤백을 자동화하고 변경 이력을 남긴다.</x:v>
      </x:c>
      <x:c r="F52" s="36" t="str">
        <x:v>대상 기능이 포함된 릴리스 후보 빌드, 필요한 테스트 계정·룸 설정·로그 접근 권한을 준비한다.</x:v>
      </x:c>
      <x:c r="G52" s="36" t="str">
        <x:v>1. 사전 조건 상태를 구성한다.
2. 표준 설정에서 다음 테스트 대상을 실행한다: 단계 배포·호환성 확인·롤백.
3. UI, 서버 상태와 로그·텔레메트리를 확인한다.
4. 필요하면 재입장 또는 재실행하여 재현성을 확인한다.</x:v>
      </x:c>
      <x:c r="H52" s="36" t="str">
        <x:v>카나리→단계 확대→전체 배포 절차, DB·설정·클라이언트 호환성, 중지 조건, 롤백을 자동화하고 변경 이력을 남긴다.</x:v>
      </x:c>
      <x:c r="I52" s="36" t="str">
        <x:v>운영</x:v>
      </x:c>
      <x:c r="J52" s="36" t="str">
        <x:v>P0</x:v>
      </x:c>
      <x:c r="K52" s="36" t="str">
        <x:v>백엔드</x:v>
      </x:c>
      <x:c r="L52" s="36" t="str">
        <x:v>예</x:v>
      </x:c>
      <x:c r="M52" s="36" t="str">
        <x:v>미실시</x:v>
      </x:c>
      <x:c r="N52" s="36" t="str">
        <x:v>미정</x:v>
      </x:c>
      <x:c r="O52" s="36" t="str">
        <x:v>미정</x:v>
      </x:c>
      <x:c r="P52" s="36"/>
      <x:c r="Q52" s="36"/>
      <x:c r="R52" s="44" t="str">
        <x:v>2026-07-10</x:v>
      </x:c>
      <x:c r="S52" s="36"/>
      <x:c r="T52" s="54"/>
      <x:c r="U52" s="54"/>
      <x:c r="V52" s="53" t="str">
        <x:v>착수 전</x:v>
      </x:c>
    </x:row>
    <x:row r="53" ht="42" customHeight="1">
      <x:c r="A53" s="36" t="str">
        <x:v>TC-BED-028-02</x:v>
      </x:c>
      <x:c r="B53" s="36" t="str">
        <x:v>BED-028</x:v>
      </x:c>
      <x:c r="C53" s="36" t="str">
        <x:v>백엔드·데이터·모더레이션</x:v>
      </x:c>
      <x:c r="D53" s="36" t="str">
        <x:v>예외·경계 시나리오: 단계 배포·호환성 확인·롤백</x:v>
      </x:c>
      <x:c r="E53" s="36" t="str">
        <x:v>허용되지 않은 상태, 잘못된 값, 중복, 만료, 권한 부족, 연결 끊김 입력으로 데이터 손상·정보 유출·클라이언트 상태 분기가 발생하지 않는지 확인한다.</x:v>
      </x:c>
      <x:c r="F53" s="36" t="str">
        <x:v>대상 기능이 포함된 릴리스 후보 빌드와 디버그 입력, 네트워크 열화, 비정상 요청 재현 수단을 준비한다.</x:v>
      </x:c>
      <x:c r="G53" s="36" t="str">
        <x:v>1. 허용되지 않은 페이즈 또는 경계값 조건을 구성한다.
2. 단계 배포·호환성 확인·롤백에 대해 중복·무효·지연·연결 끊김을 포함한 요청을 전송한다.
3. 서버 거부, 롤백, 오류 표시와 감사 로그를 확인한다.
4. 모든 클라이언트의 상태가 일치하는지 확인한다.</x:v>
      </x:c>
      <x:c r="H53" s="36" t="str">
        <x:v>요청은 사양에 따라 거부되거나 안전하게 복구되며, 중복 반영, 데이터 손실, 정보 유출 또는 진행 중단이 발생하지 않는다. 오류와 상관관계 ID가 기록된다.</x:v>
      </x:c>
      <x:c r="I53" s="36" t="str">
        <x:v>운영</x:v>
      </x:c>
      <x:c r="J53" s="36" t="str">
        <x:v>P0</x:v>
      </x:c>
      <x:c r="K53" s="36" t="str">
        <x:v>백엔드</x:v>
      </x:c>
      <x:c r="L53" s="36" t="str">
        <x:v>예</x:v>
      </x:c>
      <x:c r="M53" s="36" t="str">
        <x:v>미실시</x:v>
      </x:c>
      <x:c r="N53" s="36" t="str">
        <x:v>미정</x:v>
      </x:c>
      <x:c r="O53" s="36" t="str">
        <x:v>미정</x:v>
      </x:c>
      <x:c r="P53" s="36"/>
      <x:c r="Q53" s="36"/>
      <x:c r="R53" s="44" t="str">
        <x:v>2026-07-10</x:v>
      </x:c>
      <x:c r="S53" s="36"/>
      <x:c r="T53" s="54"/>
      <x:c r="U53" s="54"/>
      <x:c r="V53" s="53" t="str">
        <x:v>착수 전</x:v>
      </x:c>
    </x:row>
    <x:row r="54" ht="42" customHeight="1">
      <x:c r="A54" s="36" t="str">
        <x:v>TC-BED-029-01</x:v>
      </x:c>
      <x:c r="B54" s="36" t="str">
        <x:v>BED-029</x:v>
      </x:c>
      <x:c r="C54" s="36" t="str">
        <x:v>백엔드·데이터·모더레이션</x:v>
      </x:c>
      <x:c r="D54" s="36" t="str">
        <x:v>정상 시나리오: 외형 랜덤 상자 거래</x:v>
      </x:c>
      <x:c r="E54" s="36" t="str">
        <x:v>구매, 소비, 추첨, 지급, 중복 변환을 서버에서 멱등 처리하고 게임 성능에 영향을 주는 아이템은 포함하지 않는다.</x:v>
      </x:c>
      <x:c r="F54" s="36" t="str">
        <x:v>대상 기능이 포함된 출시 후 빌드, 필요한 테스트 계정·룸 설정·로그 접근 권한을 준비한다.</x:v>
      </x:c>
      <x:c r="G54" s="36" t="str">
        <x:v>1. 사전 조건 상태를 구성한다.
2. 표준 설정에서 다음 테스트 대상을 실행한다: 외형 랜덤 상자 거래.
3. UI, 서버 상태와 로그·텔레메트리를 확인한다.
4. 필요하면 재입장 또는 재실행하여 재현성을 확인한다.</x:v>
      </x:c>
      <x:c r="H54" s="36" t="str">
        <x:v>구매, 소비, 추첨, 지급, 중복 변환을 서버에서 멱등 처리하고 게임 성능에 영향을 주는 아이템은 포함하지 않는다.</x:v>
      </x:c>
      <x:c r="I54" s="36" t="str">
        <x:v>보안</x:v>
      </x:c>
      <x:c r="J54" s="36" t="str">
        <x:v>P3</x:v>
      </x:c>
      <x:c r="K54" s="36" t="str">
        <x:v>백엔드</x:v>
      </x:c>
      <x:c r="L54" s="36" t="str">
        <x:v>예</x:v>
      </x:c>
      <x:c r="M54" s="36" t="str">
        <x:v>미실시</x:v>
      </x:c>
      <x:c r="N54" s="36" t="str">
        <x:v>미정</x:v>
      </x:c>
      <x:c r="O54" s="36" t="str">
        <x:v>미정</x:v>
      </x:c>
      <x:c r="P54" s="36"/>
      <x:c r="Q54" s="36"/>
      <x:c r="R54" s="44" t="str">
        <x:v>2026-07-10</x:v>
      </x:c>
      <x:c r="S54" s="36"/>
      <x:c r="T54" s="54"/>
      <x:c r="U54" s="54"/>
      <x:c r="V54" s="53" t="str">
        <x:v>착수 전</x:v>
      </x:c>
    </x:row>
    <x:row r="55" ht="42" customHeight="1">
      <x:c r="A55" s="36" t="str">
        <x:v>TC-BED-030-01</x:v>
      </x:c>
      <x:c r="B55" s="36" t="str">
        <x:v>BED-030</x:v>
      </x:c>
      <x:c r="C55" s="36" t="str">
        <x:v>백엔드·데이터·모더레이션</x:v>
      </x:c>
      <x:c r="D55" s="36" t="str">
        <x:v>정상 시나리오: 확률 표시·지역 규제·구매 한도</x:v>
      </x:c>
      <x:c r="E55" s="36" t="str">
        <x:v>추첨 확률, 중복 처리, 제공 기간, 연령·지역 제한, 구매 이력, 환불, 한도를 규정에 맞게 적용하고 설정 버전을 감사 가능하게 관리한다.</x:v>
      </x:c>
      <x:c r="F55" s="36" t="str">
        <x:v>대상 기능이 포함된 출시 후 빌드, 필요한 테스트 계정·룸 설정·로그 접근 권한을 준비한다.</x:v>
      </x:c>
      <x:c r="G55" s="36" t="str">
        <x:v>1. 사전 조건 상태를 구성한다.
2. 표준 설정에서 다음 테스트 대상을 실행한다: 확률 표시·지역 규제·구매 한도.
3. UI, 서버 상태와 로그·텔레메트리를 확인한다.
4. 필요하면 재입장 또는 재실행하여 재현성을 확인한다.</x:v>
      </x:c>
      <x:c r="H55" s="36" t="str">
        <x:v>추첨 확률, 중복 처리, 제공 기간, 연령·지역 제한, 구매 이력, 환불, 한도를 규정에 맞게 적용하고 설정 버전을 감사 가능하게 관리한다.</x:v>
      </x:c>
      <x:c r="I55" s="36" t="str">
        <x:v>운영</x:v>
      </x:c>
      <x:c r="J55" s="36" t="str">
        <x:v>P3</x:v>
      </x:c>
      <x:c r="K55" s="36" t="str">
        <x:v>백엔드</x:v>
      </x:c>
      <x:c r="L55" s="36" t="str">
        <x:v>예</x:v>
      </x:c>
      <x:c r="M55" s="36" t="str">
        <x:v>미실시</x:v>
      </x:c>
      <x:c r="N55" s="36" t="str">
        <x:v>미정</x:v>
      </x:c>
      <x:c r="O55" s="36" t="str">
        <x:v>미정</x:v>
      </x:c>
      <x:c r="P55" s="36"/>
      <x:c r="Q55" s="36"/>
      <x:c r="R55" s="44" t="str">
        <x:v>2026-07-10</x:v>
      </x:c>
      <x:c r="S55" s="36"/>
      <x:c r="T55" s="54"/>
      <x:c r="U55" s="54"/>
      <x:c r="V55" s="53" t="str">
        <x:v>착수 전</x:v>
      </x:c>
    </x:row>
  </x:sheetData>
  <x:conditionalFormatting sqref="M2:M55">
    <x:cfRule type="expression" dxfId="10" priority="1">
      <x:formula>M2="완료"</x:formula>
    </x:cfRule>
    <x:cfRule type="expression" dxfId="11" priority="2">
      <x:formula>M2="통과"</x:formula>
    </x:cfRule>
    <x:cfRule type="expression" dxfId="12" priority="3">
      <x:formula>M2="차단"</x:formula>
    </x:cfRule>
    <x:cfRule type="expression" dxfId="13" priority="4">
      <x:formula>M2="실패"</x:formula>
    </x:cfRule>
    <x:cfRule type="expression" dxfId="14" priority="5">
      <x:formula>M2="구현 중"</x:formula>
    </x:cfRule>
    <x:cfRule type="expression" dxfId="15" priority="6">
      <x:formula>M2="QA 진행 중"</x:formula>
    </x:cfRule>
  </x:conditionalFormatting>
  <x:conditionalFormatting sqref="J2:J55">
    <x:cfRule type="expression" dxfId="16" priority="7">
      <x:formula>J2="P0"</x:formula>
    </x:cfRule>
    <x:cfRule type="expression" dxfId="17" priority="8">
      <x:formula>J2="P1"</x:formula>
    </x:cfRule>
  </x:conditionalFormatting>
  <x:conditionalFormatting sqref="V2:V55">
    <x:cfRule type="expression" dxfId="33" priority="9">
      <x:formula>V2="착수 전"</x:formula>
    </x:cfRule>
    <x:cfRule type="expression" dxfId="34" priority="10">
      <x:formula>V2="작업 중"</x:formula>
    </x:cfRule>
    <x:cfRule type="expression" dxfId="35" priority="11">
      <x:formula>V2="완료"</x:formula>
    </x:cfRule>
  </x:conditionalFormatting>
  <x:dataValidations count="6">
    <x:dataValidation type="list" sqref="I2:I55">
      <x:formula1>"기능,통합,경계값,네트워크,보안,성능,호환성,사용성,접근성,현지화,밸런스,운영,안전,부하"</x:formula1>
    </x:dataValidation>
    <x:dataValidation type="list" sqref="J2:J55">
      <x:formula1>"P0,P1,P2,P3"</x:formula1>
    </x:dataValidation>
    <x:dataValidation type="list" sqref="L2:L55">
      <x:formula1>"예,아니요,부분"</x:formula1>
    </x:dataValidation>
    <x:dataValidation type="list" sqref="M2:M55">
      <x:formula1>"미실시,진행 중,통과,실패,차단,대상 제외"</x:formula1>
    </x:dataValidation>
    <x:dataValidation type="list" sqref="K2:K55">
      <x:formula1>"전체,PC,콘솔,모바일,서버,백엔드,도구,웹·관리자"</x:formula1>
    </x:dataValidation>
    <x:dataValidation type="list" sqref="V2:V55">
      <x:formula1>"착수 전,작업 중,완료"</x:formula1>
    </x:dataValidation>
  </x:dataValidations>
  <x:pageMargins left="0.7" right="0.7" top="0.75" bottom="0.75" header="0.3" footer="0.3"/>
  <x:tableParts count="1">
    <x:tablePart xmlns:r="http://schemas.openxmlformats.org/officeDocument/2006/relationships" r:id="R6415b0bdd8d049b0"/>
  </x:tableParts>
</x:worksheet>
</file>

<file path=xl/worksheets/sheet7.xml><?xml version="1.0" encoding="utf-8"?>
<x:worksheet xmlns:x="http://schemas.openxmlformats.org/spreadsheetml/2006/main">
  <x:sheetFormatPr defaultRowHeight="15"/>
  <x:cols>
    <x:col min="1" max="1" width="13" hidden="0" customWidth="1"/>
    <x:col min="2" max="2" width="24" hidden="0" customWidth="1"/>
    <x:col min="3" max="3" width="18" hidden="0" customWidth="1"/>
    <x:col min="4" max="4" width="48" hidden="0" customWidth="1"/>
    <x:col min="5" max="5" width="36" hidden="0" customWidth="1"/>
    <x:col min="6" max="6" width="36" hidden="0" customWidth="1"/>
    <x:col min="7" max="7" width="12" hidden="0" customWidth="1"/>
    <x:col min="8" max="8" width="12" hidden="0" customWidth="1"/>
    <x:col min="9" max="9" width="10" hidden="0" customWidth="1"/>
    <x:col min="10" max="10" width="20" hidden="0" customWidth="1"/>
    <x:col min="11" max="11" width="48" hidden="0" customWidth="1"/>
    <x:col min="12" max="12" width="48" hidden="0" customWidth="1"/>
    <x:col min="13" max="13" width="14" hidden="0" customWidth="1"/>
    <x:col min="14" max="14" width="24" hidden="0" customWidth="1"/>
    <x:col min="15" max="15" width="13" hidden="0" customWidth="1"/>
    <x:col min="16" max="16" width="28" hidden="0" customWidth="1"/>
  </x:cols>
  <x:sheetData>
    <x:row r="1" ht="30" customHeight="1">
      <x:c r="A1" s="40" t="str">
        <x:v>위험 ID</x:v>
      </x:c>
      <x:c r="B1" s="40" t="str">
        <x:v>부문</x:v>
      </x:c>
      <x:c r="C1" s="40" t="str">
        <x:v>분류</x:v>
      </x:c>
      <x:c r="D1" s="40" t="str">
        <x:v>위험 내용</x:v>
      </x:c>
      <x:c r="E1" s="40" t="str">
        <x:v>발생 조건</x:v>
      </x:c>
      <x:c r="F1" s="40" t="str">
        <x:v>영향</x:v>
      </x:c>
      <x:c r="G1" s="40" t="str">
        <x:v>발생 확률</x:v>
      </x:c>
      <x:c r="H1" s="40" t="str">
        <x:v>영향도</x:v>
      </x:c>
      <x:c r="I1" s="40" t="str">
        <x:v>점수</x:v>
      </x:c>
      <x:c r="J1" s="40" t="str">
        <x:v>담당자</x:v>
      </x:c>
      <x:c r="K1" s="40" t="str">
        <x:v>예방 조치</x:v>
      </x:c>
      <x:c r="L1" s="40" t="str">
        <x:v>비상 대책</x:v>
      </x:c>
      <x:c r="M1" s="40" t="str">
        <x:v>상태</x:v>
      </x:c>
      <x:c r="N1" s="40" t="str">
        <x:v>관련 ID</x:v>
      </x:c>
      <x:c r="O1" s="40" t="str">
        <x:v>검토일</x:v>
      </x:c>
      <x:c r="P1" s="40" t="str">
        <x:v>비고</x:v>
      </x:c>
    </x:row>
    <x:row r="2" ht="42" customHeight="1">
      <x:c r="A2" s="36" t="str">
        <x:v>R-BED-01</x:v>
      </x:c>
      <x:c r="B2" s="36" t="str">
        <x:v>백엔드·데이터·모더레이션</x:v>
      </x:c>
      <x:c r="C2" s="36" t="str">
        <x:v>개인정보</x:v>
      </x:c>
      <x:c r="D2" s="36" t="str">
        <x:v>음성, 로그, 텔레메트리에 개인 정보가 남을 수 있다.</x:v>
      </x:c>
      <x:c r="E2" s="36" t="str">
        <x:v>수집 범위와 마스킹 부족</x:v>
      </x:c>
      <x:c r="F2" s="36" t="str">
        <x:v>법률·플랫폼 정책 위반</x:v>
      </x:c>
      <x:c r="G2" s="36" t="str">
        <x:v>중간</x:v>
      </x:c>
      <x:c r="H2" s="36" t="str">
        <x:v>높음</x:v>
      </x:c>
      <x:c r="I2" s="36" t="n">
        <x:f>IF(G2="높음",3,IF(G2="중간",2,1))*IF(H2="높음",3,IF(H2="중간",2,1))</x:f>
        <x:v>6</x:v>
      </x:c>
      <x:c r="J2" s="36" t="str">
        <x:v>개인정보 담당</x:v>
      </x:c>
      <x:c r="K2" s="36" t="str">
        <x:v>데이터 분류, 최소 수집, 보관 기한, 검토 절차를 적용한다.</x:v>
      </x:c>
      <x:c r="L2" s="36" t="str">
        <x:v>수집 중지, 데이터 삭제, 관련 보고를 수행한다.</x:v>
      </x:c>
      <x:c r="M2" s="36" t="str">
        <x:v>미대응</x:v>
      </x:c>
      <x:c r="N2" s="36" t="str">
        <x:v>BED-008,BED-011,BED-014,BED-023</x:v>
      </x:c>
      <x:c r="O2" s="44" t="str">
        <x:v>미정</x:v>
      </x:c>
      <x:c r="P2" s="36"/>
    </x:row>
    <x:row r="3" ht="42" customHeight="1">
      <x:c r="A3" s="36" t="str">
        <x:v>R-BED-02</x:v>
      </x:c>
      <x:c r="B3" s="36" t="str">
        <x:v>백엔드·데이터·모더레이션</x:v>
      </x:c>
      <x:c r="C3" s="36" t="str">
        <x:v>가용성</x:v>
      </x:c>
      <x:c r="D3" s="36" t="str">
        <x:v>인증 또는 로비 서비스 장애로 플레이할 수 없을 수 있다.</x:v>
      </x:c>
      <x:c r="E3" s="36" t="str">
        <x:v>단일 의존 구조와 모니터링 부족</x:v>
      </x:c>
      <x:c r="F3" s="36" t="str">
        <x:v>서비스 전면 중단</x:v>
      </x:c>
      <x:c r="G3" s="36" t="str">
        <x:v>중간</x:v>
      </x:c>
      <x:c r="H3" s="36" t="str">
        <x:v>높음</x:v>
      </x:c>
      <x:c r="I3" s="36" t="n">
        <x:f>IF(G3="높음",3,IF(G3="중간",2,1))*IF(H3="높음",3,IF(H3="중간",2,1))</x:f>
        <x:v>6</x:v>
      </x:c>
      <x:c r="J3" s="36" t="str">
        <x:v>백엔드 리드</x:v>
      </x:c>
      <x:c r="K3" s="36" t="str">
        <x:v>SLO, 이중화, 축소 운영을 준비한다.</x:v>
      </x:c>
      <x:c r="L3" s="36" t="str">
        <x:v>신규 매치 시작을 중지하고 상태를 공지한다.</x:v>
      </x:c>
      <x:c r="M3" s="36" t="str">
        <x:v>미대응</x:v>
      </x:c>
      <x:c r="N3" s="36" t="str">
        <x:v>BED-001,BED-019</x:v>
      </x:c>
      <x:c r="O3" s="44" t="str">
        <x:v>미정</x:v>
      </x:c>
      <x:c r="P3" s="36"/>
    </x:row>
    <x:row r="4" ht="42" customHeight="1">
      <x:c r="A4" s="36" t="str">
        <x:v>R-BED-03</x:v>
      </x:c>
      <x:c r="B4" s="36" t="str">
        <x:v>백엔드·데이터·모더레이션</x:v>
      </x:c>
      <x:c r="C4" s="36" t="str">
        <x:v>운영</x:v>
      </x:c>
      <x:c r="D4" s="36" t="str">
        <x:v>기능 플래그 오조작으로 불일치 구성이 배포될 수 있다.</x:v>
      </x:c>
      <x:c r="E4" s="36" t="str">
        <x:v>승인과 의존성 검증 부족</x:v>
      </x:c>
      <x:c r="F4" s="36" t="str">
        <x:v>광범위 장애</x:v>
      </x:c>
      <x:c r="G4" s="36" t="str">
        <x:v>낮음</x:v>
      </x:c>
      <x:c r="H4" s="36" t="str">
        <x:v>높음</x:v>
      </x:c>
      <x:c r="I4" s="36" t="n">
        <x:f>IF(G4="높음",3,IF(G4="중간",2,1))*IF(H4="높음",3,IF(H4="중간",2,1))</x:f>
        <x:v>3</x:v>
      </x:c>
      <x:c r="J4" s="36" t="str">
        <x:v>라이브 운영 리드</x:v>
      </x:c>
      <x:c r="K4" s="36" t="str">
        <x:v>2인 승인, 자동 검증, 단계 배포를 적용한다.</x:v>
      </x:c>
      <x:c r="L4" s="36" t="str">
        <x:v>문제 설정을 즉시 롤백한다.</x:v>
      </x:c>
      <x:c r="M4" s="36" t="str">
        <x:v>미대응</x:v>
      </x:c>
      <x:c r="N4" s="36" t="str">
        <x:v>BED-016</x:v>
      </x:c>
      <x:c r="O4" s="44" t="str">
        <x:v>미정</x:v>
      </x:c>
      <x:c r="P4" s="36"/>
    </x:row>
    <x:row r="5" ht="42" customHeight="1">
      <x:c r="A5" s="36" t="str">
        <x:v>R-BED-04</x:v>
      </x:c>
      <x:c r="B5" s="36" t="str">
        <x:v>백엔드·데이터·모더레이션</x:v>
      </x:c>
      <x:c r="C5" s="36" t="str">
        <x:v>상점 규정</x:v>
      </x:c>
      <x:c r="D5" s="36" t="str">
        <x:v>랜덤 상자가 지역별 규정을 위반할 수 있다.</x:v>
      </x:c>
      <x:c r="E5" s="36" t="str">
        <x:v>법무 검토, 연령 제한, 확률 표시 미비</x:v>
      </x:c>
      <x:c r="F5" s="36" t="str">
        <x:v>판매 중단·신뢰 하락</x:v>
      </x:c>
      <x:c r="G5" s="36" t="str">
        <x:v>중간</x:v>
      </x:c>
      <x:c r="H5" s="36" t="str">
        <x:v>높음</x:v>
      </x:c>
      <x:c r="I5" s="36" t="n">
        <x:f>IF(G5="높음",3,IF(G5="중간",2,1))*IF(H5="높음",3,IF(H5="중간",2,1))</x:f>
        <x:v>6</x:v>
      </x:c>
      <x:c r="J5" s="36" t="str">
        <x:v>제품·법무</x:v>
      </x:c>
      <x:c r="K5" s="36" t="str">
        <x:v>지역별 법무 승인을 출시 게이트로 관리한다.</x:v>
      </x:c>
      <x:c r="L5" s="36" t="str">
        <x:v>해당 지역에서 기능을 중지하고 필요 시 환불한다.</x:v>
      </x:c>
      <x:c r="M5" s="36" t="str">
        <x:v>미대응</x:v>
      </x:c>
      <x:c r="N5" s="36" t="str">
        <x:v>BED-029,BED-030</x:v>
      </x:c>
      <x:c r="O5" s="44" t="str">
        <x:v>미정</x:v>
      </x:c>
      <x:c r="P5" s="36"/>
    </x:row>
  </x:sheetData>
  <x:conditionalFormatting sqref="M2:M5">
    <x:cfRule type="expression" dxfId="18" priority="1">
      <x:formula>M2="완료"</x:formula>
    </x:cfRule>
    <x:cfRule type="expression" dxfId="19" priority="2">
      <x:formula>M2="통과"</x:formula>
    </x:cfRule>
    <x:cfRule type="expression" dxfId="20" priority="3">
      <x:formula>M2="차단"</x:formula>
    </x:cfRule>
    <x:cfRule type="expression" dxfId="21" priority="4">
      <x:formula>M2="실패"</x:formula>
    </x:cfRule>
    <x:cfRule type="expression" dxfId="22" priority="5">
      <x:formula>M2="구현 중"</x:formula>
    </x:cfRule>
    <x:cfRule type="expression" dxfId="23" priority="6">
      <x:formula>M2="QA 진행 중"</x:formula>
    </x:cfRule>
  </x:conditionalFormatting>
  <x:conditionalFormatting sqref="I2:I5">
    <x:cfRule type="colorScale" priority="7">
      <x:colorScale>
        <x:cfvo type="min"/>
        <x:cfvo type="percentile" val="50"/>
        <x:cfvo type="max"/>
        <x:color rgb="FFE2F0D9"/>
        <x:color rgb="FFFFF2CC"/>
        <x:color rgb="FFF4CCCC"/>
      </x:colorScale>
    </x:cfRule>
  </x:conditionalFormatting>
  <x:dataValidations count="3">
    <x:dataValidation type="list" sqref="G2:G5">
      <x:formula1>"높음,중간,낮음"</x:formula1>
    </x:dataValidation>
    <x:dataValidation type="list" sqref="H2:H5">
      <x:formula1>"높음,중간,낮음"</x:formula1>
    </x:dataValidation>
    <x:dataValidation type="list" sqref="M2:M5">
      <x:formula1>"미대응,대응 중,모니터링 중,수용,해결,종료"</x:formula1>
    </x:dataValidation>
  </x:dataValidations>
  <x:pageMargins left="0.7" right="0.7" top="0.75" bottom="0.75" header="0.3" footer="0.3"/>
  <x:tableParts count="1">
    <x:tablePart xmlns:r="http://schemas.openxmlformats.org/officeDocument/2006/relationships" r:id="Rccced48f2d95478e"/>
  </x:tableParts>
</x:worksheet>
</file>

<file path=xl/worksheets/sheet8.xml><?xml version="1.0" encoding="utf-8"?>
<x:worksheet xmlns:x="http://schemas.openxmlformats.org/spreadsheetml/2006/main">
  <x:sheetFormatPr defaultRowHeight="15"/>
  <x:cols>
    <x:col min="1" max="1" width="15" hidden="0" customWidth="1"/>
    <x:col min="2" max="2" width="24" hidden="0" customWidth="1"/>
    <x:col min="3" max="3" width="24" hidden="0" customWidth="1"/>
    <x:col min="4" max="4" width="48" hidden="0" customWidth="1"/>
    <x:col min="5" max="5" width="54" hidden="0" customWidth="1"/>
    <x:col min="6" max="6" width="42" hidden="0" customWidth="1"/>
    <x:col min="7" max="7" width="42" hidden="0" customWidth="1"/>
    <x:col min="8" max="8" width="14" hidden="0" customWidth="1"/>
    <x:col min="9" max="9" width="20" hidden="0" customWidth="1"/>
    <x:col min="10" max="10" width="13" hidden="0" customWidth="1"/>
    <x:col min="11" max="11" width="24" hidden="0" customWidth="1"/>
    <x:col min="12" max="12" width="48" hidden="0" customWidth="1"/>
    <x:col min="13" max="13" width="13" hidden="0" customWidth="1"/>
  </x:cols>
  <x:sheetData>
    <x:row r="1" ht="30" customHeight="1">
      <x:c r="A1" s="40" t="str">
        <x:v>의사결정 ID</x:v>
      </x:c>
      <x:c r="B1" s="40" t="str">
        <x:v>부문</x:v>
      </x:c>
      <x:c r="C1" s="40" t="str">
        <x:v>논점</x:v>
      </x:c>
      <x:c r="D1" s="40" t="str">
        <x:v>결정 질문</x:v>
      </x:c>
      <x:c r="E1" s="40" t="str">
        <x:v>선택지</x:v>
      </x:c>
      <x:c r="F1" s="40" t="str">
        <x:v>권고안</x:v>
      </x:c>
      <x:c r="G1" s="40" t="str">
        <x:v>최종 결정</x:v>
      </x:c>
      <x:c r="H1" s="40" t="str">
        <x:v>상태</x:v>
      </x:c>
      <x:c r="I1" s="40" t="str">
        <x:v>결정권자</x:v>
      </x:c>
      <x:c r="J1" s="40" t="str">
        <x:v>기한</x:v>
      </x:c>
      <x:c r="K1" s="40" t="str">
        <x:v>관련 ID</x:v>
      </x:c>
      <x:c r="L1" s="40" t="str">
        <x:v>판단 근거·증빙</x:v>
      </x:c>
      <x:c r="M1" s="40" t="str">
        <x:v>최종 갱신일</x:v>
      </x:c>
    </x:row>
    <x:row r="2" ht="42" customHeight="1">
      <x:c r="A2" s="36" t="str">
        <x:v>D-BED-01</x:v>
      </x:c>
      <x:c r="B2" s="36" t="str">
        <x:v>백엔드·데이터·모더레이션</x:v>
      </x:c>
      <x:c r="C2" s="36" t="str">
        <x:v>계정 정책</x:v>
      </x:c>
      <x:c r="D2" s="36" t="str">
        <x:v>게스트 플레이를 허용할 것인가?</x:v>
      </x:c>
      <x:c r="E2" s="36" t="str">
        <x:v>A: 허용 / B: 플랫폼 ID 필수</x:v>
      </x:c>
      <x:c r="F2" s="36" t="str">
        <x:v>플랫폼 ID를 필수로 하되 최초 진입 절차는 단순화한다.</x:v>
      </x:c>
      <x:c r="G2" s="36" t="str">
        <x:v>미정</x:v>
      </x:c>
      <x:c r="H2" s="36" t="str">
        <x:v>미정</x:v>
      </x:c>
      <x:c r="I2" s="36" t="str">
        <x:v>제품 책임자</x:v>
      </x:c>
      <x:c r="J2" s="44" t="str">
        <x:v>2026-07-31</x:v>
      </x:c>
      <x:c r="K2" s="36" t="str">
        <x:v>BED-001,BED-002</x:v>
      </x:c>
      <x:c r="L2" s="36" t="str">
        <x:v>신고, 차단, 재접속에 안정적인 식별자가 필요하다.</x:v>
      </x:c>
      <x:c r="M2" s="44" t="str">
        <x:v>2026-07-10</x:v>
      </x:c>
    </x:row>
    <x:row r="3" ht="42" customHeight="1">
      <x:c r="A3" s="36" t="str">
        <x:v>D-BED-02</x:v>
      </x:c>
      <x:c r="B3" s="36" t="str">
        <x:v>백엔드·데이터·모더레이션</x:v>
      </x:c>
      <x:c r="C3" s="36" t="str">
        <x:v>음성 신고 증거</x:v>
      </x:c>
      <x:c r="D3" s="36" t="str">
        <x:v>음성 신고를 위해 짧은 구간을 녹음할 것인가?</x:v>
      </x:c>
      <x:c r="E3" s="36" t="str">
        <x:v>A: 녹음 / B: 메타데이터만 / C: 지역별 적용</x:v>
      </x:c>
      <x:c r="F3" s="36" t="str">
        <x:v>법무와 플랫폼 심사를 마친 뒤 지역별로 적용한다.</x:v>
      </x:c>
      <x:c r="G3" s="36" t="str">
        <x:v>미정</x:v>
      </x:c>
      <x:c r="H3" s="36" t="str">
        <x:v>미정</x:v>
      </x:c>
      <x:c r="I3" s="36" t="str">
        <x:v>개인정보·법무</x:v>
      </x:c>
      <x:c r="J3" s="44" t="str">
        <x:v>2026-08-14</x:v>
      </x:c>
      <x:c r="K3" s="36" t="str">
        <x:v>BED-011,AUD-012</x:v>
      </x:c>
      <x:c r="L3" s="36" t="str">
        <x:v>법적 위험과 운영 비용이 높다.</x:v>
      </x:c>
      <x:c r="M3" s="44" t="str">
        <x:v>2026-07-10</x:v>
      </x:c>
    </x:row>
  </x:sheetData>
  <x:conditionalFormatting sqref="H2:H3">
    <x:cfRule type="expression" dxfId="24" priority="1">
      <x:formula>H2="완료"</x:formula>
    </x:cfRule>
    <x:cfRule type="expression" dxfId="25" priority="2">
      <x:formula>H2="통과"</x:formula>
    </x:cfRule>
    <x:cfRule type="expression" dxfId="26" priority="3">
      <x:formula>H2="차단"</x:formula>
    </x:cfRule>
    <x:cfRule type="expression" dxfId="27" priority="4">
      <x:formula>H2="실패"</x:formula>
    </x:cfRule>
    <x:cfRule type="expression" dxfId="28" priority="5">
      <x:formula>H2="구현 중"</x:formula>
    </x:cfRule>
    <x:cfRule type="expression" dxfId="29" priority="6">
      <x:formula>H2="QA 진행 중"</x:formula>
    </x:cfRule>
  </x:conditionalFormatting>
  <x:dataValidations count="1">
    <x:dataValidation type="list" sqref="H2:H3">
      <x:formula1>"미정,검토 중,승인,기각,보류"</x:formula1>
    </x:dataValidation>
  </x:dataValidations>
  <x:pageMargins left="0.7" right="0.7" top="0.75" bottom="0.75" header="0.3" footer="0.3"/>
  <x:tableParts count="1">
    <x:tablePart xmlns:r="http://schemas.openxmlformats.org/officeDocument/2006/relationships" r:id="R38d848cf01574e93"/>
  </x:tableParts>
</x:worksheet>
</file>

<file path=xl/worksheets/sheet9.xml><?xml version="1.0" encoding="utf-8"?>
<x:worksheet xmlns:x="http://schemas.openxmlformats.org/spreadsheetml/2006/main">
  <x:sheetFormatPr defaultRowHeight="15"/>
  <x:cols>
    <x:col min="1" max="1" width="23" hidden="0" customWidth="1"/>
    <x:col min="2" max="2" width="23" hidden="0" customWidth="1"/>
    <x:col min="3" max="3" width="23" hidden="0" customWidth="1"/>
    <x:col min="4" max="4" width="23" hidden="0" customWidth="1"/>
    <x:col min="5" max="5" width="23" hidden="0" customWidth="1"/>
    <x:col min="6" max="6" width="23" hidden="0" customWidth="1"/>
    <x:col min="7" max="7" width="23" hidden="0" customWidth="1"/>
    <x:col min="8" max="8" width="23" hidden="0" customWidth="1"/>
    <x:col min="9" max="9" width="23" hidden="0" customWidth="1"/>
    <x:col min="10" max="10" width="23" hidden="0" customWidth="1"/>
    <x:col min="11" max="11" width="23" hidden="0" customWidth="1"/>
    <x:col min="12" max="12" width="23" hidden="0" customWidth="1"/>
    <x:col min="13" max="13" width="23" hidden="0" customWidth="1"/>
  </x:cols>
  <x:sheetData>
    <x:row r="1">
      <x:c r="A1" s="33" t="str">
        <x:v>상태</x:v>
      </x:c>
      <x:c r="B1" s="33" t="str">
        <x:v>우선순위</x:v>
      </x:c>
      <x:c r="C1" s="33" t="str">
        <x:v>범위</x:v>
      </x:c>
      <x:c r="D1" s="33" t="str">
        <x:v>게이트</x:v>
      </x:c>
      <x:c r="E1" s="33" t="str">
        <x:v>위험도</x:v>
      </x:c>
      <x:c r="F1" s="33" t="str">
        <x:v>예상 규모</x:v>
      </x:c>
      <x:c r="G1" s="33" t="str">
        <x:v>QA 유형</x:v>
      </x:c>
      <x:c r="H1" s="33" t="str">
        <x:v>플랫폼</x:v>
      </x:c>
      <x:c r="I1" s="33" t="str">
        <x:v>권한 주체</x:v>
      </x:c>
      <x:c r="J1" s="33" t="str">
        <x:v>저장 범위</x:v>
      </x:c>
      <x:c r="K1" s="33" t="str">
        <x:v>QA 상태</x:v>
      </x:c>
      <x:c r="L1" s="33" t="str">
        <x:v>의사결정 상태</x:v>
      </x:c>
      <x:c r="M1" s="33" t="str">
        <x:v>위험 상태</x:v>
      </x:c>
    </x:row>
    <x:row r="2">
      <x:c r="A2" t="str">
        <x:v>미착수</x:v>
      </x:c>
      <x:c r="B2" t="str">
        <x:v>P0</x:v>
      </x:c>
      <x:c r="C2" t="str">
        <x:v>MVP</x:v>
      </x:c>
      <x:c r="D2" t="str">
        <x:v>필수</x:v>
      </x:c>
      <x:c r="E2" t="str">
        <x:v>높음</x:v>
      </x:c>
      <x:c r="F2" t="str">
        <x:v>XS</x:v>
      </x:c>
      <x:c r="G2" t="str">
        <x:v>기능</x:v>
      </x:c>
      <x:c r="H2" t="str">
        <x:v>전체</x:v>
      </x:c>
      <x:c r="I2" t="str">
        <x:v>서버 권한</x:v>
      </x:c>
      <x:c r="J2" t="str">
        <x:v>없음</x:v>
      </x:c>
      <x:c r="K2" t="str">
        <x:v>미실시</x:v>
      </x:c>
      <x:c r="L2" t="str">
        <x:v>미정</x:v>
      </x:c>
      <x:c r="M2" t="str">
        <x:v>미대응</x:v>
      </x:c>
    </x:row>
    <x:row r="3">
      <x:c r="A3" t="str">
        <x:v>사양 확인 중</x:v>
      </x:c>
      <x:c r="B3" t="str">
        <x:v>P1</x:v>
      </x:c>
      <x:c r="C3" t="str">
        <x:v>알파</x:v>
      </x:c>
      <x:c r="D3" t="str">
        <x:v>조건부</x:v>
      </x:c>
      <x:c r="E3" t="str">
        <x:v>중간</x:v>
      </x:c>
      <x:c r="F3" t="str">
        <x:v>S</x:v>
      </x:c>
      <x:c r="G3" t="str">
        <x:v>통합</x:v>
      </x:c>
      <x:c r="H3" t="str">
        <x:v>PC</x:v>
      </x:c>
      <x:c r="I3" t="str">
        <x:v>클라이언트 예측·서버 검증</x:v>
      </x:c>
      <x:c r="J3" t="str">
        <x:v>세션</x:v>
      </x:c>
      <x:c r="K3" t="str">
        <x:v>진행 중</x:v>
      </x:c>
      <x:c r="L3" t="str">
        <x:v>검토 중</x:v>
      </x:c>
      <x:c r="M3" t="str">
        <x:v>대응 중</x:v>
      </x:c>
    </x:row>
    <x:row r="4">
      <x:c r="A4" t="str">
        <x:v>구현 중</x:v>
      </x:c>
      <x:c r="B4" t="str">
        <x:v>P2</x:v>
      </x:c>
      <x:c r="C4" t="str">
        <x:v>베타</x:v>
      </x:c>
      <x:c r="D4" t="str">
        <x:v>권장</x:v>
      </x:c>
      <x:c r="E4" t="str">
        <x:v>낮음</x:v>
      </x:c>
      <x:c r="F4" t="str">
        <x:v>M</x:v>
      </x:c>
      <x:c r="G4" t="str">
        <x:v>경계값</x:v>
      </x:c>
      <x:c r="H4" t="str">
        <x:v>콘솔</x:v>
      </x:c>
      <x:c r="I4" t="str">
        <x:v>클라이언트 로컬</x:v>
      </x:c>
      <x:c r="J4" t="str">
        <x:v>매치</x:v>
      </x:c>
      <x:c r="K4" t="str">
        <x:v>통과</x:v>
      </x:c>
      <x:c r="L4" t="str">
        <x:v>승인됨</x:v>
      </x:c>
      <x:c r="M4" t="str">
        <x:v>모니터링</x:v>
      </x:c>
    </x:row>
    <x:row r="5">
      <x:c r="A5" t="str">
        <x:v>코드 리뷰</x:v>
      </x:c>
      <x:c r="B5" t="str">
        <x:v>P3</x:v>
      </x:c>
      <x:c r="C5" t="str">
        <x:v>릴리스 후보</x:v>
      </x:c>
      <x:c r="D5" t="str">
        <x:v>대상 제외</x:v>
      </x:c>
      <x:c r="E5"/>
      <x:c r="F5" t="str">
        <x:v>L</x:v>
      </x:c>
      <x:c r="G5" t="str">
        <x:v>네트워크</x:v>
      </x:c>
      <x:c r="H5" t="str">
        <x:v>모바일</x:v>
      </x:c>
      <x:c r="I5" t="str">
        <x:v>백엔드 권한</x:v>
      </x:c>
      <x:c r="J5" t="str">
        <x:v>계정</x:v>
      </x:c>
      <x:c r="K5" t="str">
        <x:v>실패</x:v>
      </x:c>
      <x:c r="L5" t="str">
        <x:v>반려</x:v>
      </x:c>
      <x:c r="M5" t="str">
        <x:v>수용</x:v>
      </x:c>
    </x:row>
    <x:row r="6">
      <x:c r="A6" t="str">
        <x:v>QA 진행 중</x:v>
      </x:c>
      <x:c r="B6"/>
      <x:c r="C6" t="str">
        <x:v>출시</x:v>
      </x:c>
      <x:c r="D6"/>
      <x:c r="E6"/>
      <x:c r="F6" t="str">
        <x:v>XL</x:v>
      </x:c>
      <x:c r="G6" t="str">
        <x:v>보안</x:v>
      </x:c>
      <x:c r="H6" t="str">
        <x:v>서버</x:v>
      </x:c>
      <x:c r="I6" t="str">
        <x:v>호스트 권한</x:v>
      </x:c>
      <x:c r="J6" t="str">
        <x:v>단말 로컬</x:v>
      </x:c>
      <x:c r="K6" t="str">
        <x:v>차단</x:v>
      </x:c>
      <x:c r="L6" t="str">
        <x:v>보류</x:v>
      </x:c>
      <x:c r="M6" t="str">
        <x:v>해소</x:v>
      </x:c>
    </x:row>
    <x:row r="7">
      <x:c r="A7" t="str">
        <x:v>차단</x:v>
      </x:c>
      <x:c r="B7"/>
      <x:c r="C7" t="str">
        <x:v>출시 후</x:v>
      </x:c>
      <x:c r="D7"/>
      <x:c r="E7"/>
      <x:c r="F7" t="str">
        <x:v>분할 필요</x:v>
      </x:c>
      <x:c r="G7" t="str">
        <x:v>성능</x:v>
      </x:c>
      <x:c r="H7" t="str">
        <x:v>백엔드</x:v>
      </x:c>
      <x:c r="I7" t="str">
        <x:v>콘텐츠 데이터</x:v>
      </x:c>
      <x:c r="J7" t="str">
        <x:v>백엔드</x:v>
      </x:c>
      <x:c r="K7" t="str">
        <x:v>대상 제외</x:v>
      </x:c>
      <x:c r="L7"/>
      <x:c r="M7" t="str">
        <x:v>종료</x:v>
      </x:c>
    </x:row>
    <x:row r="8">
      <x:c r="A8" t="str">
        <x:v>완료</x:v>
      </x:c>
      <x:c r="B8"/>
      <x:c r="C8" t="str">
        <x:v>대상 제외</x:v>
      </x:c>
      <x:c r="D8"/>
      <x:c r="E8"/>
      <x:c r="F8"/>
      <x:c r="G8" t="str">
        <x:v>호환성</x:v>
      </x:c>
      <x:c r="H8" t="str">
        <x:v>도구</x:v>
      </x:c>
      <x:c r="I8" t="str">
        <x:v>해당 없음</x:v>
      </x:c>
      <x:c r="J8" t="str">
        <x:v>감사 로그</x:v>
      </x:c>
      <x:c r="K8"/>
      <x:c r="L8"/>
      <x:c r="M8"/>
    </x:row>
    <x:row r="9">
      <x:c r="A9" t="str">
        <x:v>보류</x:v>
      </x:c>
      <x:c r="B9"/>
      <x:c r="C9"/>
      <x:c r="D9"/>
      <x:c r="E9"/>
      <x:c r="F9"/>
      <x:c r="G9" t="str">
        <x:v>사용성</x:v>
      </x:c>
      <x:c r="H9" t="str">
        <x:v>웹·관리자</x:v>
      </x:c>
      <x:c r="I9"/>
      <x:c r="J9"/>
      <x:c r="K9"/>
      <x:c r="L9"/>
      <x:c r="M9"/>
    </x:row>
    <x:row r="10">
      <x:c r="A10"/>
      <x:c r="B10"/>
      <x:c r="C10"/>
      <x:c r="D10"/>
      <x:c r="E10"/>
      <x:c r="F10"/>
      <x:c r="G10" t="str">
        <x:v>접근성</x:v>
      </x:c>
      <x:c r="H10"/>
      <x:c r="I10"/>
      <x:c r="J10"/>
      <x:c r="K10"/>
      <x:c r="L10"/>
      <x:c r="M10"/>
    </x:row>
    <x:row r="11">
      <x:c r="A11"/>
      <x:c r="B11"/>
      <x:c r="C11"/>
      <x:c r="D11"/>
      <x:c r="E11"/>
      <x:c r="F11"/>
      <x:c r="G11" t="str">
        <x:v>현지화</x:v>
      </x:c>
      <x:c r="H11"/>
      <x:c r="I11"/>
      <x:c r="J11"/>
      <x:c r="K11"/>
      <x:c r="L11"/>
      <x:c r="M11"/>
    </x:row>
    <x:row r="12">
      <x:c r="A12"/>
      <x:c r="B12"/>
      <x:c r="C12"/>
      <x:c r="D12"/>
      <x:c r="E12"/>
      <x:c r="F12"/>
      <x:c r="G12" t="str">
        <x:v>밸런스</x:v>
      </x:c>
      <x:c r="H12"/>
      <x:c r="I12"/>
      <x:c r="J12"/>
      <x:c r="K12"/>
      <x:c r="L12"/>
      <x:c r="M12"/>
    </x:row>
    <x:row r="13">
      <x:c r="A13"/>
      <x:c r="B13"/>
      <x:c r="C13"/>
      <x:c r="D13"/>
      <x:c r="E13"/>
      <x:c r="F13"/>
      <x:c r="G13" t="str">
        <x:v>운영</x:v>
      </x:c>
      <x:c r="H13"/>
      <x:c r="I13"/>
      <x:c r="J13"/>
      <x:c r="K13"/>
      <x:c r="L13"/>
      <x:c r="M13"/>
    </x:row>
  </x:sheetData>
  <x:pageMargins left="0.7" right="0.7" top="0.75" bottom="0.75" header="0.3" footer="0.3"/>
</x:worksheet>
</file>