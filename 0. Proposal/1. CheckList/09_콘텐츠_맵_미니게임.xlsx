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f824ef8984438e" /></Relationships>
</file>

<file path=xl/workbook.xml><?xml version="1.0" encoding="utf-8"?>
<x:workbook xmlns:x="http://schemas.openxmlformats.org/spreadsheetml/2006/main">
  <x:sheets>
    <x:sheet xmlns:r="http://schemas.openxmlformats.org/officeDocument/2006/relationships" name="00_개요" sheetId="1" r:id="R947d07171ce84b7d"/>
    <x:sheet xmlns:r="http://schemas.openxmlformats.org/officeDocument/2006/relationships" name="01_백로그" sheetId="2" r:id="Ref3471d526cd45b3"/>
    <x:sheet xmlns:r="http://schemas.openxmlformats.org/officeDocument/2006/relationships" name="02_맵_요구사항" sheetId="3" r:id="Rabd619f16a044487"/>
    <x:sheet xmlns:r="http://schemas.openxmlformats.org/officeDocument/2006/relationships" name="03_미니게임_카탈로그" sheetId="4" r:id="R17449a624c54406e"/>
    <x:sheet xmlns:r="http://schemas.openxmlformats.org/officeDocument/2006/relationships" name="04_밸런스_지표" sheetId="5" r:id="Rd228afe8a29f4ff9"/>
    <x:sheet xmlns:r="http://schemas.openxmlformats.org/officeDocument/2006/relationships" name="80_QA_케이스" sheetId="6" r:id="R4b8cce4e5ffc44d2"/>
    <x:sheet xmlns:r="http://schemas.openxmlformats.org/officeDocument/2006/relationships" name="90_리스크" sheetId="7" r:id="Rc78eb7bc485f486a"/>
    <x:sheet xmlns:r="http://schemas.openxmlformats.org/officeDocument/2006/relationships" name="91_의사결정" sheetId="8" r:id="Rafb5a496e8614b56"/>
    <x:sheet xmlns:r="http://schemas.openxmlformats.org/officeDocument/2006/relationships" name="99_목록" sheetId="9" r:id="R3426a627ec8746c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FFC000"/>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6bbba43cb2410d" /><Relationship Type="http://schemas.openxmlformats.org/officeDocument/2006/relationships/theme" Target="/xl/theme/theme1.xml" Id="R78f1da18324f4350" /><Relationship Type="http://schemas.openxmlformats.org/officeDocument/2006/relationships/sharedStrings" Target="/xl/sharedStrings.xml" Id="R59d03f3021a842f0" /><Relationship Type="http://schemas.openxmlformats.org/officeDocument/2006/relationships/worksheet" Target="/xl/worksheets/sheet1.xml" Id="R947d07171ce84b7d" /><Relationship Type="http://schemas.openxmlformats.org/officeDocument/2006/relationships/worksheet" Target="/xl/worksheets/sheet2.xml" Id="Ref3471d526cd45b3" /><Relationship Type="http://schemas.openxmlformats.org/officeDocument/2006/relationships/worksheet" Target="/xl/worksheets/sheet3.xml" Id="Rabd619f16a044487" /><Relationship Type="http://schemas.openxmlformats.org/officeDocument/2006/relationships/worksheet" Target="/xl/worksheets/sheet4.xml" Id="R17449a624c54406e" /><Relationship Type="http://schemas.openxmlformats.org/officeDocument/2006/relationships/worksheet" Target="/xl/worksheets/sheet5.xml" Id="Rd228afe8a29f4ff9" /><Relationship Type="http://schemas.openxmlformats.org/officeDocument/2006/relationships/worksheet" Target="/xl/worksheets/sheet6.xml" Id="R4b8cce4e5ffc44d2" /><Relationship Type="http://schemas.openxmlformats.org/officeDocument/2006/relationships/worksheet" Target="/xl/worksheets/sheet7.xml" Id="Rc78eb7bc485f486a" /><Relationship Type="http://schemas.openxmlformats.org/officeDocument/2006/relationships/worksheet" Target="/xl/worksheets/sheet8.xml" Id="Rafb5a496e8614b56" /><Relationship Type="http://schemas.openxmlformats.org/officeDocument/2006/relationships/worksheet" Target="/xl/worksheets/sheet9.xml" Id="R3426a627ec8746c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340ff7d37d245c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40ff7d37d245ce"/>
        </a:graphicData>
      </a:graphic>
    </xdr:graphicFrame>
    <xdr:clientData/>
  </xdr:twoCellAnchor>
</xdr:wsDr>
</file>

<file path=xl/tables/table1.xml><?xml version="1.0" encoding="utf-8"?>
<x:table xmlns:x="http://schemas.openxmlformats.org/spreadsheetml/2006/main" id="8" name="BacklogTable" displayName="BacklogTable" ref="A1:AJ36"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CNTSpec1" displayName="CNTSpec1" ref="A1:H7" headerRowCount="1">
  <x:tableColumns count="8">
    <x:tableColumn id="1" name="요구사항 ID"/>
    <x:tableColumn id="2" name="범주"/>
    <x:tableColumn id="3" name="요구사항"/>
    <x:tableColumn id="4" name="측정 방법"/>
    <x:tableColumn id="5" name="목표·범위"/>
    <x:tableColumn id="6" name="담당"/>
    <x:tableColumn id="7" name="관련 ID"/>
    <x:tableColumn id="8" name="상태"/>
  </x:tableColumns>
  <x:tableStyleInfo name="TableStyleMedium2" showRowStripes="1"/>
</x:table>
</file>

<file path=xl/tables/table3.xml><?xml version="1.0" encoding="utf-8"?>
<x:table xmlns:x="http://schemas.openxmlformats.org/spreadsheetml/2006/main" id="3" name="CNTSpec2" displayName="CNTSpec2" ref="A1:K5" headerRowCount="1">
  <x:tableColumns count="11">
    <x:tableColumn id="1" name="미니게임 ID"/>
    <x:tableColumn id="2" name="이름"/>
    <x:tableColumn id="3" name="인원"/>
    <x:tableColumn id="4" name="입력"/>
    <x:tableColumn id="5" name="목표 시간"/>
    <x:tableColumn id="6" name="난이도"/>
    <x:tableColumn id="7" name="보상"/>
    <x:tableColumn id="8" name="서버 검증"/>
    <x:tableColumn id="9" name="접근성"/>
    <x:tableColumn id="10" name="MVP"/>
    <x:tableColumn id="11" name="관련 ID"/>
  </x:tableColumns>
  <x:tableStyleInfo name="TableStyleMedium2" showRowStripes="1"/>
</x:table>
</file>

<file path=xl/tables/table4.xml><?xml version="1.0" encoding="utf-8"?>
<x:table xmlns:x="http://schemas.openxmlformats.org/spreadsheetml/2006/main" id="4" name="CNTSpec3" displayName="CNTSpec3" ref="A1:H7" headerRowCount="1">
  <x:tableColumns count="8">
    <x:tableColumn id="1" name="지표"/>
    <x:tableColumn id="2" name="정의"/>
    <x:tableColumn id="3" name="구분 기준"/>
    <x:tableColumn id="4" name="목표·질문"/>
    <x:tableColumn id="5" name="데이터 원천"/>
    <x:tableColumn id="6" name="주기"/>
    <x:tableColumn id="7" name="담당"/>
    <x:tableColumn id="8" name="관련 ID"/>
  </x:tableColumns>
  <x:tableStyleInfo name="TableStyleMedium2" showRowStripes="1"/>
</x:table>
</file>

<file path=xl/tables/table5.xml><?xml version="1.0" encoding="utf-8"?>
<x:table xmlns:x="http://schemas.openxmlformats.org/spreadsheetml/2006/main" id="9" name="QACasesTable" displayName="QACasesTable" ref="A1:V61"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9b7e1e265544588" /></Relationships>
</file>

<file path=xl/worksheets/_rels/sheet2.xml.rels>&#65279;<?xml version="1.0" encoding="utf-8"?><Relationships xmlns="http://schemas.openxmlformats.org/package/2006/relationships"><Relationship Type="http://schemas.openxmlformats.org/officeDocument/2006/relationships/table" Target="/xl/tables/table1.xml" Id="R1a61ddad1b1f42e0" /></Relationships>
</file>

<file path=xl/worksheets/_rels/sheet3.xml.rels>&#65279;<?xml version="1.0" encoding="utf-8"?><Relationships xmlns="http://schemas.openxmlformats.org/package/2006/relationships"><Relationship Type="http://schemas.openxmlformats.org/officeDocument/2006/relationships/table" Target="/xl/tables/table2.xml" Id="Rf76dd198fff84471" /></Relationships>
</file>

<file path=xl/worksheets/_rels/sheet4.xml.rels>&#65279;<?xml version="1.0" encoding="utf-8"?><Relationships xmlns="http://schemas.openxmlformats.org/package/2006/relationships"><Relationship Type="http://schemas.openxmlformats.org/officeDocument/2006/relationships/table" Target="/xl/tables/table3.xml" Id="R1c17ab62bb894484" /></Relationships>
</file>

<file path=xl/worksheets/_rels/sheet5.xml.rels>&#65279;<?xml version="1.0" encoding="utf-8"?><Relationships xmlns="http://schemas.openxmlformats.org/package/2006/relationships"><Relationship Type="http://schemas.openxmlformats.org/officeDocument/2006/relationships/table" Target="/xl/tables/table4.xml" Id="R5be95257184e4f30" /></Relationships>
</file>

<file path=xl/worksheets/_rels/sheet6.xml.rels>&#65279;<?xml version="1.0" encoding="utf-8"?><Relationships xmlns="http://schemas.openxmlformats.org/package/2006/relationships"><Relationship Type="http://schemas.openxmlformats.org/officeDocument/2006/relationships/table" Target="/xl/tables/table5.xml" Id="R658b4ed19e194bcb" /></Relationships>
</file>

<file path=xl/worksheets/_rels/sheet7.xml.rels>&#65279;<?xml version="1.0" encoding="utf-8"?><Relationships xmlns="http://schemas.openxmlformats.org/package/2006/relationships"><Relationship Type="http://schemas.openxmlformats.org/officeDocument/2006/relationships/table" Target="/xl/tables/table6.xml" Id="Raed4897e9ced42eb" /></Relationships>
</file>

<file path=xl/worksheets/_rels/sheet8.xml.rels>&#65279;<?xml version="1.0" encoding="utf-8"?><Relationships xmlns="http://schemas.openxmlformats.org/package/2006/relationships"><Relationship Type="http://schemas.openxmlformats.org/officeDocument/2006/relationships/table" Target="/xl/tables/table7.xml" Id="Ra9c8916419ab4940"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콘텐츠·맵·미니게임 구현 관리대장</x:v>
      </x:c>
      <x:c r="B1" s="5"/>
      <x:c r="C1" s="5"/>
      <x:c r="D1" s="5"/>
      <x:c r="E1" s="5"/>
      <x:c r="F1" s="5"/>
      <x:c r="G1" s="5"/>
      <x:c r="H1" s="5"/>
    </x:row>
    <x:row r="2" ht="28" customHeight="1">
      <x:c r="A2" s="13" t="str">
        <x:v>버전 2.0-ko / 갱신일 2026-07-10 / 담당 부문: 레벨·콘텐츠 디자인</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COUNTA('01_백로그'!A2:A36)</x:f>
        <x:v>35</x:v>
      </x:c>
      <x:c r="C5" s="27" t="str">
        <x:v>백로그 전체 수</x:v>
      </x:c>
      <x:c r="D5" s="27"/>
      <x:c r="E5" s="27" t="str">
        <x:v>미착수</x:v>
      </x:c>
      <x:c r="F5" s="27" t="n">
        <x:f>COUNTIF('01_백로그'!U2:U36,E5)</x:f>
        <x:v>35</x:v>
      </x:c>
      <x:c r="G5" s="28" t="n">
        <x:f>IFERROR(F5/$B$5,0)</x:f>
        <x:v>1</x:v>
      </x:c>
      <x:c r="H5" s="27"/>
    </x:row>
    <x:row r="6">
      <x:c r="A6" s="27" t="str">
        <x:v>MVP 작업</x:v>
      </x:c>
      <x:c r="B6" s="27" t="n">
        <x:f>COUNTIF('01_백로그'!I2:I36,"MVP")</x:f>
        <x:v>22</x:v>
      </x:c>
      <x:c r="C6" s="27" t="str">
        <x:v>MVP 범위</x:v>
      </x:c>
      <x:c r="D6" s="27"/>
      <x:c r="E6" s="27" t="str">
        <x:v>사양 확인 중</x:v>
      </x:c>
      <x:c r="F6" s="27" t="n">
        <x:f>COUNTIF('01_백로그'!U2:U36,E6)</x:f>
        <x:v>0</x:v>
      </x:c>
      <x:c r="G6" s="28" t="n">
        <x:f>IFERROR(F6/$B$5,0)</x:f>
        <x:v>0</x:v>
      </x:c>
      <x:c r="H6" s="27"/>
    </x:row>
    <x:row r="7">
      <x:c r="A7" s="27" t="str">
        <x:v>P0 미완료</x:v>
      </x:c>
      <x:c r="B7" s="27" t="n">
        <x:f>COUNTIFS('01_백로그'!J2:J36,"P0",'01_백로그'!U2:U36,"&lt;&gt;완료")</x:f>
        <x:v>25</x:v>
      </x:c>
      <x:c r="C7" s="27" t="str">
        <x:v>P0이며 완료되지 않은 항목</x:v>
      </x:c>
      <x:c r="D7" s="27"/>
      <x:c r="E7" s="27" t="str">
        <x:v>구현 중</x:v>
      </x:c>
      <x:c r="F7" s="27" t="n">
        <x:f>COUNTIF('01_백로그'!U2:U36,E7)</x:f>
        <x:v>0</x:v>
      </x:c>
      <x:c r="G7" s="28" t="n">
        <x:f>IFERROR(F7/$B$5,0)</x:f>
        <x:v>0</x:v>
      </x:c>
      <x:c r="H7" s="27"/>
    </x:row>
    <x:row r="8">
      <x:c r="A8" s="27" t="str">
        <x:v>차단</x:v>
      </x:c>
      <x:c r="B8" s="27" t="n">
        <x:f>COUNTIF('01_백로그'!U2:U36,"차단")</x:f>
        <x:v>0</x:v>
      </x:c>
      <x:c r="C8" s="27" t="str">
        <x:v>현재 진행을 막는 항목</x:v>
      </x:c>
      <x:c r="D8" s="27"/>
      <x:c r="E8" s="27" t="str">
        <x:v>코드 리뷰</x:v>
      </x:c>
      <x:c r="F8" s="27" t="n">
        <x:f>COUNTIF('01_백로그'!U2:U36,E8)</x:f>
        <x:v>0</x:v>
      </x:c>
      <x:c r="G8" s="28" t="n">
        <x:f>IFERROR(F8/$B$5,0)</x:f>
        <x:v>0</x:v>
      </x:c>
      <x:c r="H8" s="27"/>
    </x:row>
    <x:row r="9">
      <x:c r="A9" s="27" t="str">
        <x:v>완료</x:v>
      </x:c>
      <x:c r="B9" s="27" t="n">
        <x:f>COUNTIF('01_백로그'!U2:U36,"완료")</x:f>
        <x:v>0</x:v>
      </x:c>
      <x:c r="C9" s="27" t="str">
        <x:v>완료 정의·QA·증빙 충족</x:v>
      </x:c>
      <x:c r="D9" s="27"/>
      <x:c r="E9" s="27" t="str">
        <x:v>QA 진행 중</x:v>
      </x:c>
      <x:c r="F9" s="27" t="n">
        <x:f>COUNTIF('01_백로그'!U2:U36,E9)</x:f>
        <x:v>0</x:v>
      </x:c>
      <x:c r="G9" s="28" t="n">
        <x:f>IFERROR(F9/$B$5,0)</x:f>
        <x:v>0</x:v>
      </x:c>
      <x:c r="H9" s="27"/>
    </x:row>
    <x:row r="10">
      <x:c r="A10" s="27" t="str">
        <x:v>평균 진행률</x:v>
      </x:c>
      <x:c r="B10" s="28" t="n">
        <x:f>IFERROR(AVERAGE('01_백로그'!V2:V36),0)</x:f>
        <x:v>0</x:v>
      </x:c>
      <x:c r="C10" s="27" t="str">
        <x:v>상태별 진행률 환산 평균</x:v>
      </x:c>
      <x:c r="D10" s="27"/>
      <x:c r="E10" s="27" t="str">
        <x:v>차단</x:v>
      </x:c>
      <x:c r="F10" s="27" t="n">
        <x:f>COUNTIF('01_백로그'!U2:U36,E10)</x:f>
        <x:v>0</x:v>
      </x:c>
      <x:c r="G10" s="28" t="n">
        <x:f>IFERROR(F10/$B$5,0)</x:f>
        <x:v>0</x:v>
      </x:c>
      <x:c r="H10" s="27"/>
    </x:row>
    <x:row r="11">
      <x:c r="A11" s="27" t="str">
        <x:v>QA 합격률</x:v>
      </x:c>
      <x:c r="B11" s="28" t="n">
        <x:f>IFERROR(COUNTIF('80_QA_케이스'!M2:M61,"합격")/COUNTIF('80_QA_케이스'!M2:M61,"&lt;&gt;대상 제외"),0)</x:f>
        <x:v>0</x:v>
      </x:c>
      <x:c r="C11" s="27" t="str">
        <x:v>대상 QA 중 통과 비율</x:v>
      </x:c>
      <x:c r="D11" s="27"/>
      <x:c r="E11" s="27" t="str">
        <x:v>완료</x:v>
      </x:c>
      <x:c r="F11" s="27" t="n">
        <x:f>COUNTIF('01_백로그'!U2:U36,E11)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COUNTIF('01_백로그'!U2:U36,E12)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39b7e1e265544588"/>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CNT-001</x:v>
      </x:c>
      <x:c r="B2" s="36" t="str">
        <x:v>콘텐츠·맵·미니게임</x:v>
      </x:c>
      <x:c r="C2" s="36" t="str">
        <x:v>맵 디자인</x:v>
      </x:c>
      <x:c r="D2" s="36" t="str">
        <x:v>목표</x:v>
      </x:c>
      <x:c r="E2" s="36" t="str">
        <x:v>MVP 맵 게임플레이 설계 원칙</x:v>
      </x:c>
      <x:c r="F2" s="36" t="str">
        <x:v>게임 규칙, 운영 요구사항과 대상 플랫폼 제약을 충족하도록 MVP 맵 게임플레이 설계 원칙 기능을 구현하고 검증한다.</x:v>
      </x:c>
      <x:c r="G2" s="36" t="str">
        <x:v>근거리 대화, 등 뒤 접근, 관찰, 분산, 재집결이 자연스럽게 발생하는 동선과 4~6명에서 과밀·과소가 되지 않는 면적 기준을 정의한다.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맵</x:v>
      </x:c>
      <x:c r="M2" s="36" t="str">
        <x:v>MVP</x:v>
      </x:c>
      <x:c r="N2" s="36" t="str">
        <x:v>레벨·게임 디자인</x:v>
      </x:c>
      <x:c r="O2" s="36" t="str">
        <x:v>미정</x:v>
      </x:c>
      <x:c r="P2" s="36" t="str">
        <x:v>미정</x:v>
      </x:c>
      <x:c r="Q2" s="36" t="str">
        <x:v>전체</x:v>
      </x:c>
      <x:c r="R2" s="36" t="str">
        <x:v>콘텐츠 데이터</x:v>
      </x:c>
      <x:c r="S2" s="36" t="str">
        <x:v>없음</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밸런스</x:v>
      </x:c>
      <x:c r="AB2" s="36" t="str">
        <x:v>TC-CNT-001-01, TC-CNT-001-02</x:v>
      </x:c>
      <x:c r="AC2" s="36"/>
      <x:c r="AD2" s="36" t="str">
        <x:v>게임 기획서</x:v>
      </x:c>
      <x:c r="AE2" s="36"/>
      <x:c r="AF2" s="44" t="str">
        <x:v>2026-07-10</x:v>
      </x:c>
      <x:c r="AG2" s="36"/>
      <x:c r="AH2" s="54"/>
      <x:c r="AI2" s="54"/>
      <x:c r="AJ2" s="53" t="str">
        <x:v>착수 전</x:v>
      </x:c>
    </x:row>
    <x:row r="3" ht="42" customHeight="1">
      <x:c r="A3" s="36" t="str">
        <x:v>CNT-002</x:v>
      </x:c>
      <x:c r="B3" s="36" t="str">
        <x:v>콘텐츠·맵·미니게임</x:v>
      </x:c>
      <x:c r="C3" s="36" t="str">
        <x:v>맵 디자인</x:v>
      </x:c>
      <x:c r="D3" s="36" t="str">
        <x:v>동선</x:v>
      </x:c>
      <x:c r="E3" s="36" t="str">
        <x:v>주요 순환 동선·이동 시간·분기</x:v>
      </x:c>
      <x:c r="F3" s="36" t="str">
        <x:v>게임 규칙, 운영 요구사항과 대상 플랫폼 제약을 충족하도록 주요 순환 동선·이동 시간·분기 기능을 구현하고 검증한다.</x:v>
      </x:c>
      <x:c r="G3" s="36" t="str">
        <x:v>주요 지점 사이의 이동 시간, 순환로 수, 막다른 길, 지름길을 측정하고 한 플레이어가 항상 추적할 수 있는 지나치게 단순한 구조를 피한다.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맵</x:v>
      </x:c>
      <x:c r="M3" s="36" t="str">
        <x:v>MVP</x:v>
      </x:c>
      <x:c r="N3" s="36" t="str">
        <x:v>레벨·게임 디자인</x:v>
      </x:c>
      <x:c r="O3" s="36" t="str">
        <x:v>미정</x:v>
      </x:c>
      <x:c r="P3" s="36" t="str">
        <x:v>미정</x:v>
      </x:c>
      <x:c r="Q3" s="36" t="str">
        <x:v>전체</x:v>
      </x:c>
      <x:c r="R3" s="36" t="str">
        <x:v>콘텐츠 데이터</x:v>
      </x:c>
      <x:c r="S3" s="36" t="str">
        <x:v>없음</x:v>
      </x:c>
      <x:c r="T3" s="36" t="str">
        <x:v>XL</x:v>
      </x:c>
      <x:c r="U3" s="36" t="str">
        <x:v>미착수</x:v>
      </x:c>
      <x:c r="V3" s="46" t="n">
        <x:f>IF(U3="완료",1,IF(U3="QA 진행 중",0.8,IF(U3="코드 리뷰",0.65,IF(U3="구현 중",0.4,IF(U3="사양 확인 중",0.1,IF(U3="차단",0.4,0))))))</x:f>
        <x:v>0</x:v>
      </x:c>
      <x:c r="W3" s="36" t="str">
        <x:v>미정</x:v>
      </x:c>
      <x:c r="X3" s="44"/>
      <x:c r="Y3" s="36" t="str">
        <x:v>CNT-001</x:v>
      </x:c>
      <x:c r="Z3" s="36" t="str">
        <x:v>중간</x:v>
      </x:c>
      <x:c r="AA3" s="36" t="str">
        <x:v>밸런스</x:v>
      </x:c>
      <x:c r="AB3" s="36" t="str">
        <x:v>TC-CNT-002-01, TC-CNT-002-02</x:v>
      </x:c>
      <x:c r="AC3" s="36"/>
      <x:c r="AD3" s="36" t="str">
        <x:v>게임 기획서</x:v>
      </x:c>
      <x:c r="AE3" s="36"/>
      <x:c r="AF3" s="44" t="str">
        <x:v>2026-07-10</x:v>
      </x:c>
      <x:c r="AG3" s="36"/>
      <x:c r="AH3" s="54"/>
      <x:c r="AI3" s="54"/>
      <x:c r="AJ3" s="53" t="str">
        <x:v>착수 전</x:v>
      </x:c>
    </x:row>
    <x:row r="4" ht="42" customHeight="1">
      <x:c r="A4" s="36" t="str">
        <x:v>CNT-003</x:v>
      </x:c>
      <x:c r="B4" s="36" t="str">
        <x:v>콘텐츠·맵·미니게임</x:v>
      </x:c>
      <x:c r="C4" s="36" t="str">
        <x:v>맵 디자인</x:v>
      </x:c>
      <x:c r="D4" s="36" t="str">
        <x:v>야간 중앙 집결</x:v>
      </x:c>
      <x:c r="E4" s="36" t="str">
        <x:v>밤 중앙 관찰·투표 구역</x:v>
      </x:c>
      <x:c r="F4" s="36" t="str">
        <x:v>게임 규칙, 운영 요구사항과 대상 플랫폼 제약을 충족하도록 밤 중앙 관찰·투표 구역 기능을 구현하고 검증한다.</x:v>
      </x:c>
      <x:c r="G4" s="36" t="str">
        <x:v>모든 생존자가 서로의 등 메모를 관찰할 수 있고 차폐, 겹침, 이름표 간섭, 카메라 충돌이 적은 배치를 제공한다.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핵심 규칙</x:v>
      </x:c>
      <x:c r="M4" s="36" t="str">
        <x:v>MVP</x:v>
      </x:c>
      <x:c r="N4" s="36" t="str">
        <x:v>레벨·게임 디자인</x:v>
      </x:c>
      <x:c r="O4" s="36" t="str">
        <x:v>미정</x:v>
      </x:c>
      <x:c r="P4" s="36" t="str">
        <x:v>미정</x:v>
      </x:c>
      <x:c r="Q4" s="36" t="str">
        <x:v>전체</x:v>
      </x:c>
      <x:c r="R4" s="36" t="str">
        <x:v>콘텐츠 데이터</x:v>
      </x:c>
      <x:c r="S4" s="36" t="str">
        <x:v>없음</x:v>
      </x:c>
      <x:c r="T4" s="36" t="str">
        <x:v>L</x:v>
      </x:c>
      <x:c r="U4" s="36" t="str">
        <x:v>미착수</x:v>
      </x:c>
      <x:c r="V4" s="46" t="n">
        <x:f>IF(U4="완료",1,IF(U4="QA 진행 중",0.8,IF(U4="코드 리뷰",0.65,IF(U4="구현 중",0.4,IF(U4="사양 확인 중",0.1,IF(U4="차단",0.4,0))))))</x:f>
        <x:v>0</x:v>
      </x:c>
      <x:c r="W4" s="36" t="str">
        <x:v>미정</x:v>
      </x:c>
      <x:c r="X4" s="44"/>
      <x:c r="Y4" s="36" t="str">
        <x:v>CNT-001,CHR-012</x:v>
      </x:c>
      <x:c r="Z4" s="36" t="str">
        <x:v>중간</x:v>
      </x:c>
      <x:c r="AA4" s="36" t="str">
        <x:v>사용성</x:v>
      </x:c>
      <x:c r="AB4" s="36" t="str">
        <x:v>TC-CNT-003-01, TC-CNT-003-02</x:v>
      </x:c>
      <x:c r="AC4" s="36"/>
      <x:c r="AD4" s="36" t="str">
        <x:v>게임 기획서</x:v>
      </x:c>
      <x:c r="AE4" s="36"/>
      <x:c r="AF4" s="44" t="str">
        <x:v>2026-07-10</x:v>
      </x:c>
      <x:c r="AG4" s="36"/>
      <x:c r="AH4" s="54"/>
      <x:c r="AI4" s="54"/>
      <x:c r="AJ4" s="53" t="str">
        <x:v>착수 전</x:v>
      </x:c>
    </x:row>
    <x:row r="5" ht="42" customHeight="1">
      <x:c r="A5" s="36" t="str">
        <x:v>CNT-004</x:v>
      </x:c>
      <x:c r="B5" s="36" t="str">
        <x:v>콘텐츠·맵·미니게임</x:v>
      </x:c>
      <x:c r="C5" s="36" t="str">
        <x:v>맵 디자인</x:v>
      </x:c>
      <x:c r="D5" s="36" t="str">
        <x:v>스폰</x:v>
      </x:c>
      <x:c r="E5" s="36" t="str">
        <x:v>시작·재접속·밤 집결 스폰</x:v>
      </x:c>
      <x:c r="F5" s="36" t="str">
        <x:v>게임 규칙, 운영 요구사항과 대상 플랫폼 제약을 충족하도록 시작·재접속·밤 집결 스폰 기능을 구현하고 검증한다.</x:v>
      </x:c>
      <x:c r="G5" s="36" t="str">
        <x:v>참가 인원별 시작 위치, 재접속 위치, 중앙 집결 위치를 정의하고 다른 캐릭터, 벽, 위험 구역과 겹치지 않는다.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맵</x:v>
      </x:c>
      <x:c r="M5" s="36" t="str">
        <x:v>MVP</x:v>
      </x:c>
      <x:c r="N5" s="36" t="str">
        <x:v>레벨·게임 디자인</x:v>
      </x:c>
      <x:c r="O5" s="36" t="str">
        <x:v>미정</x:v>
      </x:c>
      <x:c r="P5" s="36" t="str">
        <x:v>미정</x:v>
      </x:c>
      <x:c r="Q5" s="36" t="str">
        <x:v>전체</x:v>
      </x:c>
      <x:c r="R5" s="36" t="str">
        <x:v>서버 권한</x:v>
      </x:c>
      <x:c r="S5" s="36" t="str">
        <x:v>없음</x:v>
      </x:c>
      <x:c r="T5" s="36" t="str">
        <x:v>M</x:v>
      </x:c>
      <x:c r="U5" s="36" t="str">
        <x:v>미착수</x:v>
      </x:c>
      <x:c r="V5" s="46" t="n">
        <x:f>IF(U5="완료",1,IF(U5="QA 진행 중",0.8,IF(U5="코드 리뷰",0.65,IF(U5="구현 중",0.4,IF(U5="사양 확인 중",0.1,IF(U5="차단",0.4,0))))))</x:f>
        <x:v>0</x:v>
      </x:c>
      <x:c r="W5" s="36" t="str">
        <x:v>미정</x:v>
      </x:c>
      <x:c r="X5" s="44"/>
      <x:c r="Y5" s="36" t="str">
        <x:v>CNT-002,CNT-003</x:v>
      </x:c>
      <x:c r="Z5" s="36" t="str">
        <x:v>중간</x:v>
      </x:c>
      <x:c r="AA5" s="36" t="str">
        <x:v>경계값</x:v>
      </x:c>
      <x:c r="AB5" s="36" t="str">
        <x:v>TC-CNT-004-01, TC-CNT-004-02</x:v>
      </x:c>
      <x:c r="AC5" s="36"/>
      <x:c r="AD5" s="36" t="str">
        <x:v>게임 기획서</x:v>
      </x:c>
      <x:c r="AE5" s="36"/>
      <x:c r="AF5" s="44" t="str">
        <x:v>2026-07-10</x:v>
      </x:c>
      <x:c r="AG5" s="36"/>
      <x:c r="AH5" s="54"/>
      <x:c r="AI5" s="54"/>
      <x:c r="AJ5" s="53" t="str">
        <x:v>착수 전</x:v>
      </x:c>
    </x:row>
    <x:row r="6" ht="42" customHeight="1">
      <x:c r="A6" s="36" t="str">
        <x:v>CNT-005</x:v>
      </x:c>
      <x:c r="B6" s="36" t="str">
        <x:v>콘텐츠·맵·미니게임</x:v>
      </x:c>
      <x:c r="C6" s="36" t="str">
        <x:v>맵 디자인</x:v>
      </x:c>
      <x:c r="D6" s="36" t="str">
        <x:v>룸</x:v>
      </x:c>
      <x:c r="E6" s="36" t="str">
        <x:v>대화·미니게임용 방 구성</x:v>
      </x:c>
      <x:c r="F6" s="36" t="str">
        <x:v>게임 규칙, 운영 요구사항과 대상 플랫폼 제약을 충족하도록 대화·미니게임용 방 구성 기능을 구현하고 검증한다.</x:v>
      </x:c>
      <x:c r="G6" s="36" t="str">
        <x:v>여러 소형 방과 공유 공간을 구성해 근거리 대화가 지역화되면서도 완전히 고립되지 않도록 하고 각 방에 입구, 출구, 고유 이름을 둔다.</x:v>
      </x:c>
      <x:c r="H6" s="36" t="str">
        <x:v>구현, 코드 리뷰, 사양 갱신, 대상 QA 케이스 실행, 로그·텔레메트리 확인과 관련 플랫폼 검증을 완료하고 미해결 P0·P1 결함이 없다.</x:v>
      </x:c>
      <x:c r="I6" s="36" t="str">
        <x:v>MVP</x:v>
      </x:c>
      <x:c r="J6" s="36" t="str">
        <x:v>P0</x:v>
      </x:c>
      <x:c r="K6" s="36" t="str">
        <x:v>필수</x:v>
      </x:c>
      <x:c r="L6" s="36" t="str">
        <x:v>맵</x:v>
      </x:c>
      <x:c r="M6" s="36" t="str">
        <x:v>MVP</x:v>
      </x:c>
      <x:c r="N6" s="36" t="str">
        <x:v>레벨·게임 디자인</x:v>
      </x:c>
      <x:c r="O6" s="36" t="str">
        <x:v>미정</x:v>
      </x:c>
      <x:c r="P6" s="36" t="str">
        <x:v>미정</x:v>
      </x:c>
      <x:c r="Q6" s="36" t="str">
        <x:v>전체</x:v>
      </x:c>
      <x:c r="R6" s="36" t="str">
        <x:v>콘텐츠 데이터</x:v>
      </x:c>
      <x:c r="S6" s="36" t="str">
        <x:v>없음</x:v>
      </x:c>
      <x:c r="T6" s="36" t="str">
        <x:v>L</x:v>
      </x:c>
      <x:c r="U6" s="36" t="str">
        <x:v>미착수</x:v>
      </x:c>
      <x:c r="V6" s="46" t="n">
        <x:f>IF(U6="완료",1,IF(U6="QA 진행 중",0.8,IF(U6="코드 리뷰",0.65,IF(U6="구현 중",0.4,IF(U6="사양 확인 중",0.1,IF(U6="차단",0.4,0))))))</x:f>
        <x:v>0</x:v>
      </x:c>
      <x:c r="W6" s="36" t="str">
        <x:v>미정</x:v>
      </x:c>
      <x:c r="X6" s="44"/>
      <x:c r="Y6" s="36" t="str">
        <x:v>CNT-002</x:v>
      </x:c>
      <x:c r="Z6" s="36" t="str">
        <x:v>중간</x:v>
      </x:c>
      <x:c r="AA6" s="36" t="str">
        <x:v>밸런스</x:v>
      </x:c>
      <x:c r="AB6" s="36" t="str">
        <x:v>TC-CNT-005-01, TC-CNT-005-02</x:v>
      </x:c>
      <x:c r="AC6" s="36"/>
      <x:c r="AD6" s="36" t="str">
        <x:v>게임 기획서</x:v>
      </x:c>
      <x:c r="AE6" s="36"/>
      <x:c r="AF6" s="44" t="str">
        <x:v>2026-07-10</x:v>
      </x:c>
      <x:c r="AG6" s="36"/>
      <x:c r="AH6" s="54"/>
      <x:c r="AI6" s="54"/>
      <x:c r="AJ6" s="53" t="str">
        <x:v>착수 전</x:v>
      </x:c>
    </x:row>
    <x:row r="7" ht="42" customHeight="1">
      <x:c r="A7" s="36" t="str">
        <x:v>CNT-006</x:v>
      </x:c>
      <x:c r="B7" s="36" t="str">
        <x:v>콘텐츠·맵·미니게임</x:v>
      </x:c>
      <x:c r="C7" s="36" t="str">
        <x:v>맵 디자인</x:v>
      </x:c>
      <x:c r="D7" s="36" t="str">
        <x:v>시야선</x:v>
      </x:c>
      <x:c r="E7" s="36" t="str">
        <x:v>등 뒤 접근·관찰·도주 시야 설계</x:v>
      </x:c>
      <x:c r="F7" s="36" t="str">
        <x:v>게임 규칙, 운영 요구사항과 대상 플랫폼 제약을 충족하도록 등 뒤 접근·관찰·도주 시야 설계 기능을 구현하고 검증한다.</x:v>
      </x:c>
      <x:c r="G7" s="36" t="str">
        <x:v>제3자가 메모 부착 동작을 관찰할 수 있는 시야와 완전 감시를 피하는 차폐를 함께 제공하고 카메라 각도 악용 지점을 제거한다.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핵심 규칙</x:v>
      </x:c>
      <x:c r="M7" s="36" t="str">
        <x:v>MVP</x:v>
      </x:c>
      <x:c r="N7" s="36" t="str">
        <x:v>레벨·게임 디자인</x:v>
      </x:c>
      <x:c r="O7" s="36" t="str">
        <x:v>미정</x:v>
      </x:c>
      <x:c r="P7" s="36" t="str">
        <x:v>미정</x:v>
      </x:c>
      <x:c r="Q7" s="36" t="str">
        <x:v>전체</x:v>
      </x:c>
      <x:c r="R7" s="36" t="str">
        <x:v>콘텐츠 데이터</x:v>
      </x:c>
      <x:c r="S7" s="36" t="str">
        <x:v>없음</x:v>
      </x:c>
      <x:c r="T7" s="36" t="str">
        <x:v>L</x:v>
      </x:c>
      <x:c r="U7" s="36" t="str">
        <x:v>미착수</x:v>
      </x:c>
      <x:c r="V7" s="46" t="n">
        <x:f>IF(U7="완료",1,IF(U7="QA 진행 중",0.8,IF(U7="코드 리뷰",0.65,IF(U7="구현 중",0.4,IF(U7="사양 확인 중",0.1,IF(U7="차단",0.4,0))))))</x:f>
        <x:v>0</x:v>
      </x:c>
      <x:c r="W7" s="36" t="str">
        <x:v>미정</x:v>
      </x:c>
      <x:c r="X7" s="44"/>
      <x:c r="Y7" s="36" t="str">
        <x:v>CNT-005,CHR-008</x:v>
      </x:c>
      <x:c r="Z7" s="36" t="str">
        <x:v>중간</x:v>
      </x:c>
      <x:c r="AA7" s="36" t="str">
        <x:v>밸런스</x:v>
      </x:c>
      <x:c r="AB7" s="36" t="str">
        <x:v>TC-CNT-006-01, TC-CNT-006-02</x:v>
      </x:c>
      <x:c r="AC7" s="36"/>
      <x:c r="AD7" s="36" t="str">
        <x:v>게임 기획서</x:v>
      </x:c>
      <x:c r="AE7" s="36"/>
      <x:c r="AF7" s="44" t="str">
        <x:v>2026-07-10</x:v>
      </x:c>
      <x:c r="AG7" s="36"/>
      <x:c r="AH7" s="54"/>
      <x:c r="AI7" s="54"/>
      <x:c r="AJ7" s="53" t="str">
        <x:v>착수 전</x:v>
      </x:c>
    </x:row>
    <x:row r="8" ht="42" customHeight="1">
      <x:c r="A8" s="36" t="str">
        <x:v>CNT-007</x:v>
      </x:c>
      <x:c r="B8" s="36" t="str">
        <x:v>콘텐츠·맵·미니게임</x:v>
      </x:c>
      <x:c r="C8" s="36" t="str">
        <x:v>맵 디자인</x:v>
      </x:c>
      <x:c r="D8" s="36" t="str">
        <x:v>음향 구역</x:v>
      </x:c>
      <x:c r="E8" s="36" t="str">
        <x:v>음성 거리·벽 차폐용 음향 볼륨</x:v>
      </x:c>
      <x:c r="F8" s="36" t="str">
        <x:v>게임 규칙, 운영 요구사항과 대상 플랫폼 제약을 충족하도록 음성 거리·벽 차폐용 음향 볼륨 기능을 구현하고 검증한다.</x:v>
      </x:c>
      <x:c r="G8" s="36" t="str">
        <x:v>방, 문, 통로, 층간에 음향 경계를 설정하고 시각적 벽과 음성 차폐 결과가 일치한다.</x:v>
      </x:c>
      <x:c r="H8" s="36" t="str">
        <x:v>구현, 코드 리뷰, 사양 갱신, 대상 QA 케이스 실행, 로그·텔레메트리 확인과 관련 플랫폼 검증을 완료하고 미해결 P0·P1 결함이 없다.</x:v>
      </x:c>
      <x:c r="I8" s="36" t="str">
        <x:v>알파</x:v>
      </x:c>
      <x:c r="J8" s="36" t="str">
        <x:v>P1</x:v>
      </x:c>
      <x:c r="K8" s="36" t="str">
        <x:v>필수</x:v>
      </x:c>
      <x:c r="L8" s="36" t="str">
        <x:v>음성</x:v>
      </x:c>
      <x:c r="M8" s="36" t="str">
        <x:v>알파</x:v>
      </x:c>
      <x:c r="N8" s="36" t="str">
        <x:v>레벨·게임 디자인</x:v>
      </x:c>
      <x:c r="O8" s="36" t="str">
        <x:v>미정</x:v>
      </x:c>
      <x:c r="P8" s="36" t="str">
        <x:v>미정</x:v>
      </x:c>
      <x:c r="Q8" s="36" t="str">
        <x:v>전체</x:v>
      </x:c>
      <x:c r="R8" s="36" t="str">
        <x:v>콘텐츠 데이터</x:v>
      </x:c>
      <x:c r="S8" s="36" t="str">
        <x:v>없음</x:v>
      </x:c>
      <x:c r="T8" s="36" t="str">
        <x:v>L</x:v>
      </x:c>
      <x:c r="U8" s="36" t="str">
        <x:v>미착수</x:v>
      </x:c>
      <x:c r="V8" s="46" t="n">
        <x:f>IF(U8="완료",1,IF(U8="QA 진행 중",0.8,IF(U8="코드 리뷰",0.65,IF(U8="구현 중",0.4,IF(U8="사양 확인 중",0.1,IF(U8="차단",0.4,0))))))</x:f>
        <x:v>0</x:v>
      </x:c>
      <x:c r="W8" s="36" t="str">
        <x:v>미정</x:v>
      </x:c>
      <x:c r="X8" s="44"/>
      <x:c r="Y8" s="36" t="str">
        <x:v>CNT-005,AUD-005</x:v>
      </x:c>
      <x:c r="Z8" s="36" t="str">
        <x:v>중간</x:v>
      </x:c>
      <x:c r="AA8" s="36" t="str">
        <x:v>사용성</x:v>
      </x:c>
      <x:c r="AB8" s="36" t="str">
        <x:v>TC-CNT-007-01</x:v>
      </x:c>
      <x:c r="AC8" s="36"/>
      <x:c r="AD8" s="36" t="str">
        <x:v>게임 기획서</x:v>
      </x:c>
      <x:c r="AE8" s="36"/>
      <x:c r="AF8" s="44" t="str">
        <x:v>2026-07-10</x:v>
      </x:c>
      <x:c r="AG8" s="36"/>
      <x:c r="AH8" s="54"/>
      <x:c r="AI8" s="54"/>
      <x:c r="AJ8" s="53" t="str">
        <x:v>착수 전</x:v>
      </x:c>
    </x:row>
    <x:row r="9" ht="42" customHeight="1">
      <x:c r="A9" s="36" t="str">
        <x:v>CNT-008</x:v>
      </x:c>
      <x:c r="B9" s="36" t="str">
        <x:v>콘텐츠·맵·미니게임</x:v>
      </x:c>
      <x:c r="C9" s="36" t="str">
        <x:v>맵 디자인</x:v>
      </x:c>
      <x:c r="D9" s="36" t="str">
        <x:v>부착 여유 공간</x:v>
      </x:c>
      <x:c r="E9" s="36" t="str">
        <x:v>메모 부착용 등 뒤 여유 공간</x:v>
      </x:c>
      <x:c r="F9" s="36" t="str">
        <x:v>게임 규칙, 운영 요구사항과 대상 플랫폼 제약을 충족하도록 메모 부착용 등 뒤 여유 공간 기능을 구현하고 검증한다.</x:v>
      </x:c>
      <x:c r="G9" s="36" t="str">
        <x:v>미니게임 단말, 벽 근처, 좁은 통로에서도 등 뒤 판정이 불가능하거나 잘못 동작하지 않도록 필요한 폭을 확보하고 문제 지점을 자동 탐지한다.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메모</x:v>
      </x:c>
      <x:c r="M9" s="36" t="str">
        <x:v>MVP</x:v>
      </x:c>
      <x:c r="N9" s="36" t="str">
        <x:v>레벨·게임 디자인</x:v>
      </x:c>
      <x:c r="O9" s="36" t="str">
        <x:v>미정</x:v>
      </x:c>
      <x:c r="P9" s="36" t="str">
        <x:v>미정</x:v>
      </x:c>
      <x:c r="Q9" s="36" t="str">
        <x:v>전체</x:v>
      </x:c>
      <x:c r="R9" s="36" t="str">
        <x:v>콘텐츠 데이터</x:v>
      </x:c>
      <x:c r="S9" s="36" t="str">
        <x:v>없음</x:v>
      </x:c>
      <x:c r="T9" s="36" t="str">
        <x:v>M</x:v>
      </x:c>
      <x:c r="U9" s="36" t="str">
        <x:v>미착수</x:v>
      </x:c>
      <x:c r="V9" s="46" t="n">
        <x:f>IF(U9="완료",1,IF(U9="QA 진행 중",0.8,IF(U9="코드 리뷰",0.65,IF(U9="구현 중",0.4,IF(U9="사양 확인 중",0.1,IF(U9="차단",0.4,0))))))</x:f>
        <x:v>0</x:v>
      </x:c>
      <x:c r="W9" s="36" t="str">
        <x:v>미정</x:v>
      </x:c>
      <x:c r="X9" s="44"/>
      <x:c r="Y9" s="36" t="str">
        <x:v>CNT-002,IGM-016</x:v>
      </x:c>
      <x:c r="Z9" s="36" t="str">
        <x:v>중간</x:v>
      </x:c>
      <x:c r="AA9" s="36" t="str">
        <x:v>기능</x:v>
      </x:c>
      <x:c r="AB9" s="36" t="str">
        <x:v>TC-CNT-008-01, TC-CNT-008-02</x:v>
      </x:c>
      <x:c r="AC9" s="36"/>
      <x:c r="AD9" s="36" t="str">
        <x:v>게임 기획서</x:v>
      </x:c>
      <x:c r="AE9" s="36"/>
      <x:c r="AF9" s="44" t="str">
        <x:v>2026-07-10</x:v>
      </x:c>
      <x:c r="AG9" s="36"/>
      <x:c r="AH9" s="54"/>
      <x:c r="AI9" s="54"/>
      <x:c r="AJ9" s="53" t="str">
        <x:v>착수 전</x:v>
      </x:c>
    </x:row>
    <x:row r="10" ht="42" customHeight="1">
      <x:c r="A10" s="36" t="str">
        <x:v>CNT-009</x:v>
      </x:c>
      <x:c r="B10" s="36" t="str">
        <x:v>콘텐츠·맵·미니게임</x:v>
      </x:c>
      <x:c r="C10" s="36" t="str">
        <x:v>맵 디자인</x:v>
      </x:c>
      <x:c r="D10" s="36" t="str">
        <x:v>스테이션 배치</x:v>
      </x:c>
      <x:c r="E10" s="36" t="str">
        <x:v>미니게임 단말 배치·분산</x:v>
      </x:c>
      <x:c r="F10" s="36" t="str">
        <x:v>게임 규칙, 운영 요구사항과 대상 플랫폼 제약을 충족하도록 미니게임 단말 배치·분산 기능을 구현하고 검증한다.</x:v>
      </x:c>
      <x:c r="G10" s="36" t="str">
        <x:v>3~5종의 단말을 편중 없이 배치해 모든 플레이어가 한 지점에 지나치게 집중하지 않고 고립과 알리바이 선택이 발생하도록 한다.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콘텐츠</x:v>
      </x:c>
      <x:c r="M10" s="36" t="str">
        <x:v>MVP</x:v>
      </x:c>
      <x:c r="N10" s="36" t="str">
        <x:v>레벨·게임 디자인</x:v>
      </x:c>
      <x:c r="O10" s="36" t="str">
        <x:v>미정</x:v>
      </x:c>
      <x:c r="P10" s="36" t="str">
        <x:v>미정</x:v>
      </x:c>
      <x:c r="Q10" s="36" t="str">
        <x:v>전체</x:v>
      </x:c>
      <x:c r="R10" s="36" t="str">
        <x:v>콘텐츠 데이터</x:v>
      </x:c>
      <x:c r="S10" s="36" t="str">
        <x:v>없음</x:v>
      </x:c>
      <x:c r="T10" s="36" t="str">
        <x:v>M</x:v>
      </x:c>
      <x:c r="U10" s="36" t="str">
        <x:v>미착수</x:v>
      </x:c>
      <x:c r="V10" s="46" t="n">
        <x:f>IF(U10="완료",1,IF(U10="QA 진행 중",0.8,IF(U10="코드 리뷰",0.65,IF(U10="구현 중",0.4,IF(U10="사양 확인 중",0.1,IF(U10="차단",0.4,0))))))</x:f>
        <x:v>0</x:v>
      </x:c>
      <x:c r="W10" s="36" t="str">
        <x:v>미정</x:v>
      </x:c>
      <x:c r="X10" s="44"/>
      <x:c r="Y10" s="36" t="str">
        <x:v>CNT-002,CNT-017</x:v>
      </x:c>
      <x:c r="Z10" s="36" t="str">
        <x:v>중간</x:v>
      </x:c>
      <x:c r="AA10" s="36" t="str">
        <x:v>밸런스</x:v>
      </x:c>
      <x:c r="AB10" s="36" t="str">
        <x:v>TC-CNT-009-01, TC-CNT-009-02</x:v>
      </x:c>
      <x:c r="AC10" s="36"/>
      <x:c r="AD10" s="36" t="str">
        <x:v>게임 기획서</x:v>
      </x:c>
      <x:c r="AE10" s="36"/>
      <x:c r="AF10" s="44" t="str">
        <x:v>2026-07-10</x:v>
      </x:c>
      <x:c r="AG10" s="36"/>
      <x:c r="AH10" s="54"/>
      <x:c r="AI10" s="54"/>
      <x:c r="AJ10" s="53" t="str">
        <x:v>착수 전</x:v>
      </x:c>
    </x:row>
    <x:row r="11" ht="42" customHeight="1">
      <x:c r="A11" s="36" t="str">
        <x:v>CNT-010</x:v>
      </x:c>
      <x:c r="B11" s="36" t="str">
        <x:v>콘텐츠·맵·미니게임</x:v>
      </x:c>
      <x:c r="C11" s="36" t="str">
        <x:v>맵 UX</x:v>
      </x:c>
      <x:c r="D11" s="36" t="str">
        <x:v>랜드마크</x:v>
      </x:c>
      <x:c r="E11" s="36" t="str">
        <x:v>랜드마크·방 이름·방향 안내</x:v>
      </x:c>
      <x:c r="F11" s="36" t="str">
        <x:v>게임 규칙, 운영 요구사항과 대상 플랫폼 제약을 충족하도록 랜드마크·방 이름·방향 안내 기능을 구현하고 검증한다.</x:v>
      </x:c>
      <x:c r="G11" s="36" t="str">
        <x:v>플레이어가 대화로 위치를 공유할 수 있는 고유한 외형과 이름을 제공하고 색상만에 의존하지 않는 길 안내를 사용한다.</x:v>
      </x:c>
      <x:c r="H11" s="36" t="str">
        <x:v>구현, 코드 리뷰, 사양 갱신, 대상 QA 케이스 실행, 로그·텔레메트리 확인과 관련 플랫폼 검증을 완료하고 미해결 P0·P1 결함이 없다.</x:v>
      </x:c>
      <x:c r="I11" s="36" t="str">
        <x:v>MVP</x:v>
      </x:c>
      <x:c r="J11" s="36" t="str">
        <x:v>P1</x:v>
      </x:c>
      <x:c r="K11" s="36" t="str">
        <x:v>필수</x:v>
      </x:c>
      <x:c r="L11" s="36" t="str">
        <x:v>이해도</x:v>
      </x:c>
      <x:c r="M11" s="36" t="str">
        <x:v>MVP</x:v>
      </x:c>
      <x:c r="N11" s="36" t="str">
        <x:v>레벨·게임 디자인</x:v>
      </x:c>
      <x:c r="O11" s="36" t="str">
        <x:v>미정</x:v>
      </x:c>
      <x:c r="P11" s="36" t="str">
        <x:v>미정</x:v>
      </x:c>
      <x:c r="Q11" s="36" t="str">
        <x:v>전체</x:v>
      </x:c>
      <x:c r="R11" s="36" t="str">
        <x:v>콘텐츠 데이터</x:v>
      </x:c>
      <x:c r="S11" s="36" t="str">
        <x:v>없음</x:v>
      </x:c>
      <x:c r="T11" s="36" t="str">
        <x:v>M</x:v>
      </x:c>
      <x:c r="U11" s="36" t="str">
        <x:v>미착수</x:v>
      </x:c>
      <x:c r="V11" s="46" t="n">
        <x:f>IF(U11="완료",1,IF(U11="QA 진행 중",0.8,IF(U11="코드 리뷰",0.65,IF(U11="구현 중",0.4,IF(U11="사양 확인 중",0.1,IF(U11="차단",0.4,0))))))</x:f>
        <x:v>0</x:v>
      </x:c>
      <x:c r="W11" s="36" t="str">
        <x:v>미정</x:v>
      </x:c>
      <x:c r="X11" s="44"/>
      <x:c r="Y11" s="36" t="str">
        <x:v>CNT-005,UIX-001</x:v>
      </x:c>
      <x:c r="Z11" s="36" t="str">
        <x:v>중간</x:v>
      </x:c>
      <x:c r="AA11" s="36" t="str">
        <x:v>사용성</x:v>
      </x:c>
      <x:c r="AB11" s="36" t="str">
        <x:v>TC-CNT-010-01</x:v>
      </x:c>
      <x:c r="AC11" s="36"/>
      <x:c r="AD11" s="36" t="str">
        <x:v>게임 기획서</x:v>
      </x:c>
      <x:c r="AE11" s="36"/>
      <x:c r="AF11" s="44" t="str">
        <x:v>2026-07-10</x:v>
      </x:c>
      <x:c r="AG11" s="36"/>
      <x:c r="AH11" s="54"/>
      <x:c r="AI11" s="54"/>
      <x:c r="AJ11" s="53" t="str">
        <x:v>착수 전</x:v>
      </x:c>
    </x:row>
    <x:row r="12" ht="42" customHeight="1">
      <x:c r="A12" s="36" t="str">
        <x:v>CNT-011</x:v>
      </x:c>
      <x:c r="B12" s="36" t="str">
        <x:v>콘텐츠·맵·미니게임</x:v>
      </x:c>
      <x:c r="C12" s="36" t="str">
        <x:v>맵 아트</x:v>
      </x:c>
      <x:c r="D12" s="36" t="str">
        <x:v>조명</x:v>
      </x:c>
      <x:c r="E12" s="36" t="str">
        <x:v>색상·LED·메모 판독성 조명</x:v>
      </x:c>
      <x:c r="F12" s="36" t="str">
        <x:v>게임 규칙, 운영 요구사항과 대상 플랫폼 제약을 충족하도록 색상·LED·메모 판독성 조명 기능을 구현하고 검증한다.</x:v>
      </x:c>
      <x:c r="G12" s="36" t="str">
        <x:v>낮·밤 연출에서도 플레이어 색상과 메모 색상을 식별할 수 있고 과도한 색 번짐, 블룸, 암부, 점멸을 피한다.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판독성</x:v>
      </x:c>
      <x:c r="M12" s="36" t="str">
        <x:v>MVP</x:v>
      </x:c>
      <x:c r="N12" s="36" t="str">
        <x:v>레벨·게임 디자인</x:v>
      </x:c>
      <x:c r="O12" s="36" t="str">
        <x:v>미정</x:v>
      </x:c>
      <x:c r="P12" s="36" t="str">
        <x:v>미정</x:v>
      </x:c>
      <x:c r="Q12" s="36" t="str">
        <x:v>전체</x:v>
      </x:c>
      <x:c r="R12" s="36" t="str">
        <x:v>콘텐츠 데이터</x:v>
      </x:c>
      <x:c r="S12" s="36" t="str">
        <x:v>없음</x:v>
      </x:c>
      <x:c r="T12" s="36" t="str">
        <x:v>L</x:v>
      </x:c>
      <x:c r="U12" s="36" t="str">
        <x:v>미착수</x:v>
      </x:c>
      <x:c r="V12" s="46" t="n">
        <x:f>IF(U12="완료",1,IF(U12="QA 진행 중",0.8,IF(U12="코드 리뷰",0.65,IF(U12="구현 중",0.4,IF(U12="사양 확인 중",0.1,IF(U12="차단",0.4,0))))))</x:f>
        <x:v>0</x:v>
      </x:c>
      <x:c r="W12" s="36" t="str">
        <x:v>미정</x:v>
      </x:c>
      <x:c r="X12" s="44"/>
      <x:c r="Y12" s="36" t="str">
        <x:v>CHR-005,CHR-011,CNT-003</x:v>
      </x:c>
      <x:c r="Z12" s="36" t="str">
        <x:v>중간</x:v>
      </x:c>
      <x:c r="AA12" s="36" t="str">
        <x:v>접근성</x:v>
      </x:c>
      <x:c r="AB12" s="36" t="str">
        <x:v>TC-CNT-011-01, TC-CNT-011-02</x:v>
      </x:c>
      <x:c r="AC12" s="36"/>
      <x:c r="AD12" s="36" t="str">
        <x:v>게임 기획서</x:v>
      </x:c>
      <x:c r="AE12" s="36"/>
      <x:c r="AF12" s="44" t="str">
        <x:v>2026-07-10</x:v>
      </x:c>
      <x:c r="AG12" s="36"/>
      <x:c r="AH12" s="54"/>
      <x:c r="AI12" s="54"/>
      <x:c r="AJ12" s="53" t="str">
        <x:v>착수 전</x:v>
      </x:c>
    </x:row>
    <x:row r="13" ht="42" customHeight="1">
      <x:c r="A13" s="36" t="str">
        <x:v>CNT-012</x:v>
      </x:c>
      <x:c r="B13" s="36" t="str">
        <x:v>콘텐츠·맵·미니게임</x:v>
      </x:c>
      <x:c r="C13" s="36" t="str">
        <x:v>맵 테크</x:v>
      </x:c>
      <x:c r="D13" s="36" t="str">
        <x:v>충돌·경계</x:v>
      </x:c>
      <x:c r="E13" s="36" t="str">
        <x:v>충돌·낙하·끼임·맵 이탈 방지</x:v>
      </x:c>
      <x:c r="F13" s="36" t="str">
        <x:v>게임 규칙, 운영 요구사항과 대상 플랫폼 제약을 충족하도록 충돌·낙하·끼임·맵 이탈 방지 기능을 구현하고 검증한다.</x:v>
      </x:c>
      <x:c r="G13" s="36" t="str">
        <x:v>이동, 밤 집결, 재접속, 메모 부착 중 끼임, 낙하, 맵 이탈이 없고 복귀 볼륨과 서버 위치 검증을 제공한다.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안정성</x:v>
      </x:c>
      <x:c r="M13" s="36" t="str">
        <x:v>MVP</x:v>
      </x:c>
      <x:c r="N13" s="36" t="str">
        <x:v>레벨·게임 디자인</x:v>
      </x:c>
      <x:c r="O13" s="36" t="str">
        <x:v>미정</x:v>
      </x:c>
      <x:c r="P13" s="36" t="str">
        <x:v>미정</x:v>
      </x:c>
      <x:c r="Q13" s="36" t="str">
        <x:v>전체</x:v>
      </x:c>
      <x:c r="R13" s="36" t="str">
        <x:v>서버 권한</x:v>
      </x:c>
      <x:c r="S13" s="36" t="str">
        <x:v>없음</x:v>
      </x:c>
      <x:c r="T13" s="36" t="str">
        <x:v>L</x:v>
      </x:c>
      <x:c r="U13" s="36" t="str">
        <x:v>미착수</x:v>
      </x:c>
      <x:c r="V13" s="46" t="n">
        <x:f>IF(U13="완료",1,IF(U13="QA 진행 중",0.8,IF(U13="코드 리뷰",0.65,IF(U13="구현 중",0.4,IF(U13="사양 확인 중",0.1,IF(U13="차단",0.4,0))))))</x:f>
        <x:v>0</x:v>
      </x:c>
      <x:c r="W13" s="36" t="str">
        <x:v>미정</x:v>
      </x:c>
      <x:c r="X13" s="44"/>
      <x:c r="Y13" s="36" t="str">
        <x:v>CNT-002,NET-009</x:v>
      </x:c>
      <x:c r="Z13" s="36" t="str">
        <x:v>중간</x:v>
      </x:c>
      <x:c r="AA13" s="36" t="str">
        <x:v>기능</x:v>
      </x:c>
      <x:c r="AB13" s="36" t="str">
        <x:v>TC-CNT-012-01, TC-CNT-012-02</x:v>
      </x:c>
      <x:c r="AC13" s="36"/>
      <x:c r="AD13" s="36" t="str">
        <x:v>게임 기획서</x:v>
      </x:c>
      <x:c r="AE13" s="36"/>
      <x:c r="AF13" s="44" t="str">
        <x:v>2026-07-10</x:v>
      </x:c>
      <x:c r="AG13" s="36"/>
      <x:c r="AH13" s="54"/>
      <x:c r="AI13" s="54"/>
      <x:c r="AJ13" s="53" t="str">
        <x:v>착수 전</x:v>
      </x:c>
    </x:row>
    <x:row r="14" ht="42" customHeight="1">
      <x:c r="A14" s="36" t="str">
        <x:v>CNT-013</x:v>
      </x:c>
      <x:c r="B14" s="36" t="str">
        <x:v>콘텐츠·맵·미니게임</x:v>
      </x:c>
      <x:c r="C14" s="36" t="str">
        <x:v>맵 테크</x:v>
      </x:c>
      <x:c r="D14" s="36" t="str">
        <x:v>카메라·FOV</x:v>
      </x:c>
      <x:c r="E14" s="36" t="str">
        <x:v>카메라 충돌·FOV별 판독성</x:v>
      </x:c>
      <x:c r="F14" s="36" t="str">
        <x:v>게임 규칙, 운영 요구사항과 대상 플랫폼 제약을 충족하도록 카메라 충돌·FOV별 판독성 기능을 구현하고 검증한다.</x:v>
      </x:c>
      <x:c r="G14" s="36" t="str">
        <x:v>벽 근처와 좁은 공간에서 카메라가 등 메모를 투시하거나 가리지 않고 지원 FOV와 화면 비율에서 주요 정보가 표시된다.</x:v>
      </x:c>
      <x:c r="H14" s="36" t="str">
        <x:v>구현, 코드 리뷰, 사양 갱신, 대상 QA 케이스 실행, 로그·텔레메트리 확인과 관련 플랫폼 검증을 완료하고 미해결 P0·P1 결함이 없다.</x:v>
      </x:c>
      <x:c r="I14" s="36" t="str">
        <x:v>MVP</x:v>
      </x:c>
      <x:c r="J14" s="36" t="str">
        <x:v>P0</x:v>
      </x:c>
      <x:c r="K14" s="36" t="str">
        <x:v>필수</x:v>
      </x:c>
      <x:c r="L14" s="36" t="str">
        <x:v>판독성</x:v>
      </x:c>
      <x:c r="M14" s="36" t="str">
        <x:v>MVP</x:v>
      </x:c>
      <x:c r="N14" s="36" t="str">
        <x:v>레벨·게임 디자인</x:v>
      </x:c>
      <x:c r="O14" s="36" t="str">
        <x:v>미정</x:v>
      </x:c>
      <x:c r="P14" s="36" t="str">
        <x:v>미정</x:v>
      </x:c>
      <x:c r="Q14" s="36" t="str">
        <x:v>전체</x:v>
      </x:c>
      <x:c r="R14" s="36" t="str">
        <x:v>클라이언트 로컬</x:v>
      </x:c>
      <x:c r="S14" s="36" t="str">
        <x:v>없음</x:v>
      </x:c>
      <x:c r="T14" s="36" t="str">
        <x:v>L</x:v>
      </x:c>
      <x:c r="U14" s="36" t="str">
        <x:v>미착수</x:v>
      </x:c>
      <x:c r="V14" s="46" t="n">
        <x:f>IF(U14="완료",1,IF(U14="QA 진행 중",0.8,IF(U14="코드 리뷰",0.65,IF(U14="구현 중",0.4,IF(U14="사양 확인 중",0.1,IF(U14="차단",0.4,0))))))</x:f>
        <x:v>0</x:v>
      </x:c>
      <x:c r="W14" s="36" t="str">
        <x:v>미정</x:v>
      </x:c>
      <x:c r="X14" s="44"/>
      <x:c r="Y14" s="36" t="str">
        <x:v>CNT-005,UIX-014,SET-005</x:v>
      </x:c>
      <x:c r="Z14" s="36" t="str">
        <x:v>중간</x:v>
      </x:c>
      <x:c r="AA14" s="36" t="str">
        <x:v>호환성</x:v>
      </x:c>
      <x:c r="AB14" s="36" t="str">
        <x:v>TC-CNT-013-01, TC-CNT-013-02</x:v>
      </x:c>
      <x:c r="AC14" s="36"/>
      <x:c r="AD14" s="36" t="str">
        <x:v>게임 기획서</x:v>
      </x:c>
      <x:c r="AE14" s="36"/>
      <x:c r="AF14" s="44" t="str">
        <x:v>2026-07-10</x:v>
      </x:c>
      <x:c r="AG14" s="36"/>
      <x:c r="AH14" s="54"/>
      <x:c r="AI14" s="54"/>
      <x:c r="AJ14" s="53" t="str">
        <x:v>착수 전</x:v>
      </x:c>
    </x:row>
    <x:row r="15" ht="42" customHeight="1">
      <x:c r="A15" s="36" t="str">
        <x:v>CNT-014</x:v>
      </x:c>
      <x:c r="B15" s="36" t="str">
        <x:v>콘텐츠·맵·미니게임</x:v>
      </x:c>
      <x:c r="C15" s="36" t="str">
        <x:v>맵 테크</x:v>
      </x:c>
      <x:c r="D15" s="36" t="str">
        <x:v>성능</x:v>
      </x:c>
      <x:c r="E15" s="36" t="str">
        <x:v>렌더링·물리·음향·메모 표시 예산</x:v>
      </x:c>
      <x:c r="F15" s="36" t="str">
        <x:v>게임 규칙, 운영 요구사항과 대상 플랫폼 제약을 충족하도록 렌더링·물리·음향·메모 표시 예산 기능을 구현하고 검증한다.</x:v>
      </x:c>
      <x:c r="G15" s="36" t="str">
        <x:v>6명, 최대 메모, 모든 단말, 음성, LED가 동작하는 조건에서 최소·권장 환경의 CPU, GPU, 메모리 예산을 충족한다.</x:v>
      </x:c>
      <x:c r="H15" s="36" t="str">
        <x:v>구현, 코드 리뷰, 사양 갱신, 대상 QA 케이스 실행, 로그·텔레메트리 확인과 관련 플랫폼 검증을 완료하고 미해결 P0·P1 결함이 없다.</x:v>
      </x:c>
      <x:c r="I15" s="36" t="str">
        <x:v>릴리스 후보</x:v>
      </x:c>
      <x:c r="J15" s="36" t="str">
        <x:v>P0</x:v>
      </x:c>
      <x:c r="K15" s="36" t="str">
        <x:v>필수</x:v>
      </x:c>
      <x:c r="L15" s="36" t="str">
        <x:v>성능</x:v>
      </x:c>
      <x:c r="M15" s="36" t="str">
        <x:v>릴리스 후보</x:v>
      </x:c>
      <x:c r="N15" s="36" t="str">
        <x:v>레벨·게임 디자인</x:v>
      </x:c>
      <x:c r="O15" s="36" t="str">
        <x:v>미정</x:v>
      </x:c>
      <x:c r="P15" s="36" t="str">
        <x:v>미정</x:v>
      </x:c>
      <x:c r="Q15" s="36" t="str">
        <x:v>전체</x:v>
      </x:c>
      <x:c r="R15" s="36" t="str">
        <x:v>해당 없음</x:v>
      </x:c>
      <x:c r="S15" s="36" t="str">
        <x:v>없음</x:v>
      </x:c>
      <x:c r="T15" s="36" t="str">
        <x:v>XL</x:v>
      </x:c>
      <x:c r="U15" s="36" t="str">
        <x:v>미착수</x:v>
      </x:c>
      <x:c r="V15" s="46" t="n">
        <x:f>IF(U15="완료",1,IF(U15="QA 진행 중",0.8,IF(U15="코드 리뷰",0.65,IF(U15="구현 중",0.4,IF(U15="사양 확인 중",0.1,IF(U15="차단",0.4,0))))))</x:f>
        <x:v>0</x:v>
      </x:c>
      <x:c r="W15" s="36" t="str">
        <x:v>미정</x:v>
      </x:c>
      <x:c r="X15" s="44"/>
      <x:c r="Y15" s="36" t="str">
        <x:v>CNT-011,CNT-012,CHR-027,AUD-022</x:v>
      </x:c>
      <x:c r="Z15" s="36" t="str">
        <x:v>중간</x:v>
      </x:c>
      <x:c r="AA15" s="36" t="str">
        <x:v>성능</x:v>
      </x:c>
      <x:c r="AB15" s="36" t="str">
        <x:v>TC-CNT-014-01, TC-CNT-014-02</x:v>
      </x:c>
      <x:c r="AC15" s="36"/>
      <x:c r="AD15" s="36" t="str">
        <x:v>게임 기획서</x:v>
      </x:c>
      <x:c r="AE15" s="36"/>
      <x:c r="AF15" s="44" t="str">
        <x:v>2026-07-10</x:v>
      </x:c>
      <x:c r="AG15" s="36"/>
      <x:c r="AH15" s="54"/>
      <x:c r="AI15" s="54"/>
      <x:c r="AJ15" s="53" t="str">
        <x:v>착수 전</x:v>
      </x:c>
    </x:row>
    <x:row r="16" ht="42" customHeight="1">
      <x:c r="A16" s="36" t="str">
        <x:v>CNT-015</x:v>
      </x:c>
      <x:c r="B16" s="36" t="str">
        <x:v>콘텐츠·맵·미니게임</x:v>
      </x:c>
      <x:c r="C16" s="36" t="str">
        <x:v>콘텐츠 파이프라인</x:v>
      </x:c>
      <x:c r="D16" s="36" t="str">
        <x:v>맵 검증기</x:v>
      </x:c>
      <x:c r="E16" s="36" t="str">
        <x:v>맵 자동 검증 도구</x:v>
      </x:c>
      <x:c r="F16" s="36" t="str">
        <x:v>게임 규칙, 운영 요구사항과 대상 플랫폼 제약을 충족하도록 맵 자동 검증 도구 기능을 구현하고 검증한다.</x:v>
      </x:c>
      <x:c r="G16" s="36" t="str">
        <x:v>스폰, 단말, 내비게이션, 음향, 부착 여유 공간, 중앙 시인성, 금지 볼륨, LOD, 명명 규칙을 CI에서 검사한다.</x:v>
      </x:c>
      <x:c r="H16" s="36" t="str">
        <x:v>구현, 코드 리뷰, 사양 갱신, 대상 QA 케이스 실행, 로그·텔레메트리 확인과 관련 플랫폼 검증을 완료하고 미해결 P0·P1 결함이 없다.</x:v>
      </x:c>
      <x:c r="I16" s="36" t="str">
        <x:v>알파</x:v>
      </x:c>
      <x:c r="J16" s="36" t="str">
        <x:v>P1</x:v>
      </x:c>
      <x:c r="K16" s="36" t="str">
        <x:v>필수</x:v>
      </x:c>
      <x:c r="L16" s="36" t="str">
        <x:v>제작 기반</x:v>
      </x:c>
      <x:c r="M16" s="36" t="str">
        <x:v>알파</x:v>
      </x:c>
      <x:c r="N16" s="36" t="str">
        <x:v>레벨·게임 디자인</x:v>
      </x:c>
      <x:c r="O16" s="36" t="str">
        <x:v>미정</x:v>
      </x:c>
      <x:c r="P16" s="36" t="str">
        <x:v>미정</x:v>
      </x:c>
      <x:c r="Q16" s="36" t="str">
        <x:v>도구</x:v>
      </x:c>
      <x:c r="R16" s="36" t="str">
        <x:v>해당 없음</x:v>
      </x:c>
      <x:c r="S16" s="36" t="str">
        <x:v>없음</x:v>
      </x:c>
      <x:c r="T16" s="36" t="str">
        <x:v>XL</x:v>
      </x:c>
      <x:c r="U16" s="36" t="str">
        <x:v>미착수</x:v>
      </x:c>
      <x:c r="V16" s="46" t="n">
        <x:f>IF(U16="완료",1,IF(U16="QA 진행 중",0.8,IF(U16="코드 리뷰",0.65,IF(U16="구현 중",0.4,IF(U16="사양 확인 중",0.1,IF(U16="차단",0.4,0))))))</x:f>
        <x:v>0</x:v>
      </x:c>
      <x:c r="W16" s="36" t="str">
        <x:v>미정</x:v>
      </x:c>
      <x:c r="X16" s="44"/>
      <x:c r="Y16" s="36" t="str">
        <x:v>CNT-003,CNT-004,CNT-007,CNT-008,CNT-009</x:v>
      </x:c>
      <x:c r="Z16" s="36" t="str">
        <x:v>중간</x:v>
      </x:c>
      <x:c r="AA16" s="36" t="str">
        <x:v>운영</x:v>
      </x:c>
      <x:c r="AB16" s="36" t="str">
        <x:v>TC-CNT-015-01</x:v>
      </x:c>
      <x:c r="AC16" s="36"/>
      <x:c r="AD16" s="36" t="str">
        <x:v>게임 기획서</x:v>
      </x:c>
      <x:c r="AE16" s="36"/>
      <x:c r="AF16" s="44" t="str">
        <x:v>2026-07-10</x:v>
      </x:c>
      <x:c r="AG16" s="36"/>
      <x:c r="AH16" s="54"/>
      <x:c r="AI16" s="54"/>
      <x:c r="AJ16" s="53" t="str">
        <x:v>착수 전</x:v>
      </x:c>
    </x:row>
    <x:row r="17" ht="42" customHeight="1">
      <x:c r="A17" s="36" t="str">
        <x:v>CNT-016</x:v>
      </x:c>
      <x:c r="B17" s="36" t="str">
        <x:v>콘텐츠·맵·미니게임</x:v>
      </x:c>
      <x:c r="C17" s="36" t="str">
        <x:v>콘텐츠 파이프라인</x:v>
      </x:c>
      <x:c r="D17" s="36" t="str">
        <x:v>데이터 스키마</x:v>
      </x:c>
      <x:c r="E17" s="36" t="str">
        <x:v>미니게임·맵 데이터 정의 스키마</x:v>
      </x:c>
      <x:c r="F17" s="36" t="str">
        <x:v>게임 규칙, 운영 요구사항과 대상 플랫폼 제약을 충족하도록 미니게임·맵 데이터 정의 스키마 기능을 구현하고 검증한다.</x:v>
      </x:c>
      <x:c r="G17" s="36" t="str">
        <x:v>ID, 버전, 난이도, 소요 시간, 보상, 입력, 지원 인원, 배치 조건, 현지화, 분석 이벤트를 데이터로 정의한다.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제작 기반</x:v>
      </x:c>
      <x:c r="M17" s="36" t="str">
        <x:v>MVP</x:v>
      </x:c>
      <x:c r="N17" s="36" t="str">
        <x:v>레벨·게임 디자인</x:v>
      </x:c>
      <x:c r="O17" s="36" t="str">
        <x:v>미정</x:v>
      </x:c>
      <x:c r="P17" s="36" t="str">
        <x:v>미정</x:v>
      </x:c>
      <x:c r="Q17" s="36" t="str">
        <x:v>도구</x:v>
      </x:c>
      <x:c r="R17" s="36" t="str">
        <x:v>콘텐츠 데이터</x:v>
      </x:c>
      <x:c r="S17" s="36" t="str">
        <x:v>백엔드</x:v>
      </x:c>
      <x:c r="T17" s="36" t="str">
        <x:v>L</x:v>
      </x:c>
      <x:c r="U17" s="36" t="str">
        <x:v>미착수</x:v>
      </x:c>
      <x:c r="V17" s="46" t="n">
        <x:f>IF(U17="완료",1,IF(U17="QA 진행 중",0.8,IF(U17="코드 리뷰",0.65,IF(U17="구현 중",0.4,IF(U17="사양 확인 중",0.1,IF(U17="차단",0.4,0))))))</x:f>
        <x:v>0</x:v>
      </x:c>
      <x:c r="W17" s="36" t="str">
        <x:v>미정</x:v>
      </x:c>
      <x:c r="X17" s="44"/>
      <x:c r="Y17" s="36" t="str">
        <x:v>BED-015</x:v>
      </x:c>
      <x:c r="Z17" s="36" t="str">
        <x:v>중간</x:v>
      </x:c>
      <x:c r="AA17" s="36" t="str">
        <x:v>호환성</x:v>
      </x:c>
      <x:c r="AB17" s="36" t="str">
        <x:v>TC-CNT-016-01, TC-CNT-016-02</x:v>
      </x:c>
      <x:c r="AC17" s="36"/>
      <x:c r="AD17" s="36" t="str">
        <x:v>게임 기획서</x:v>
      </x:c>
      <x:c r="AE17" s="36"/>
      <x:c r="AF17" s="44" t="str">
        <x:v>2026-07-10</x:v>
      </x:c>
      <x:c r="AG17" s="36"/>
      <x:c r="AH17" s="54"/>
      <x:c r="AI17" s="54"/>
      <x:c r="AJ17" s="53" t="str">
        <x:v>착수 전</x:v>
      </x:c>
    </x:row>
    <x:row r="18" ht="42" customHeight="1">
      <x:c r="A18" s="36" t="str">
        <x:v>CNT-017</x:v>
      </x:c>
      <x:c r="B18" s="36" t="str">
        <x:v>콘텐츠·맵·미니게임</x:v>
      </x:c>
      <x:c r="C18" s="36" t="str">
        <x:v>미니게임 프레임워크</x:v>
      </x:c>
      <x:c r="D18" s="36" t="str">
        <x:v>런타임</x:v>
      </x:c>
      <x:c r="E18" s="36" t="str">
        <x:v>미니게임 공통 실행 프레임워크</x:v>
      </x:c>
      <x:c r="F18" s="36" t="str">
        <x:v>게임 규칙, 운영 요구사항과 대상 플랫폼 제약을 충족하도록 미니게임 공통 실행 프레임워크 기능을 구현하고 검증한다.</x:v>
      </x:c>
      <x:c r="G18" s="36" t="str">
        <x:v>시작, 입력, 타이머, 성공, 실패, 중단, 이탈, 페이즈 종료를 공통 상태로 처리하고 게임 본체 상태 머신과 충돌하지 않는다.</x:v>
      </x:c>
      <x:c r="H18" s="36" t="str">
        <x:v>구현, 코드 리뷰, 사양 갱신, 대상 QA 케이스 실행, 로그·텔레메트리 확인과 관련 플랫폼 검증을 완료하고 미해결 P0·P1 결함이 없다.</x:v>
      </x:c>
      <x:c r="I18" s="36" t="str">
        <x:v>MVP</x:v>
      </x:c>
      <x:c r="J18" s="36" t="str">
        <x:v>P0</x:v>
      </x:c>
      <x:c r="K18" s="36" t="str">
        <x:v>필수</x:v>
      </x:c>
      <x:c r="L18" s="36" t="str">
        <x:v>콘텐츠</x:v>
      </x:c>
      <x:c r="M18" s="36" t="str">
        <x:v>MVP</x:v>
      </x:c>
      <x:c r="N18" s="36" t="str">
        <x:v>레벨·게임 디자인</x:v>
      </x:c>
      <x:c r="O18" s="36" t="str">
        <x:v>미정</x:v>
      </x:c>
      <x:c r="P18" s="36" t="str">
        <x:v>미정</x:v>
      </x:c>
      <x:c r="Q18" s="36" t="str">
        <x:v>전체</x:v>
      </x:c>
      <x:c r="R18" s="36" t="str">
        <x:v>서버 권한</x:v>
      </x:c>
      <x:c r="S18" s="36" t="str">
        <x:v>매치</x:v>
      </x:c>
      <x:c r="T18" s="36" t="str">
        <x:v>XL</x:v>
      </x:c>
      <x:c r="U18" s="36" t="str">
        <x:v>미착수</x:v>
      </x:c>
      <x:c r="V18" s="46" t="n">
        <x:f>IF(U18="완료",1,IF(U18="QA 진행 중",0.8,IF(U18="코드 리뷰",0.65,IF(U18="구현 중",0.4,IF(U18="사양 확인 중",0.1,IF(U18="차단",0.4,0))))))</x:f>
        <x:v>0</x:v>
      </x:c>
      <x:c r="W18" s="36" t="str">
        <x:v>미정</x:v>
      </x:c>
      <x:c r="X18" s="44"/>
      <x:c r="Y18" s="36" t="str">
        <x:v>CNT-016,IGM-005</x:v>
      </x:c>
      <x:c r="Z18" s="36" t="str">
        <x:v>중간</x:v>
      </x:c>
      <x:c r="AA18" s="36" t="str">
        <x:v>통합</x:v>
      </x:c>
      <x:c r="AB18" s="36" t="str">
        <x:v>TC-CNT-017-01, TC-CNT-017-02</x:v>
      </x:c>
      <x:c r="AC18" s="36"/>
      <x:c r="AD18" s="36" t="str">
        <x:v>게임 기획서</x:v>
      </x:c>
      <x:c r="AE18" s="36"/>
      <x:c r="AF18" s="44" t="str">
        <x:v>2026-07-10</x:v>
      </x:c>
      <x:c r="AG18" s="36"/>
      <x:c r="AH18" s="54"/>
      <x:c r="AI18" s="54"/>
      <x:c r="AJ18" s="53" t="str">
        <x:v>착수 전</x:v>
      </x:c>
    </x:row>
    <x:row r="19" ht="42" customHeight="1">
      <x:c r="A19" s="36" t="str">
        <x:v>CNT-018</x:v>
      </x:c>
      <x:c r="B19" s="36" t="str">
        <x:v>콘텐츠·맵·미니게임</x:v>
      </x:c>
      <x:c r="C19" s="36" t="str">
        <x:v>미니게임 프레임워크</x:v>
      </x:c>
      <x:c r="D19" s="36" t="str">
        <x:v>상태·소유권</x:v>
      </x:c>
      <x:c r="E19" s="36" t="str">
        <x:v>인스턴스 소유권·참가 잠금</x:v>
      </x:c>
      <x:c r="F19" s="36" t="str">
        <x:v>게임 규칙, 운영 요구사항과 대상 플랫폼 제약을 충족하도록 인스턴스 소유권·참가 잠금 기능을 구현하고 검증한다.</x:v>
      </x:c>
      <x:c r="G19" s="36" t="str">
        <x:v>같은 단말의 동시 참가, 중복 시작, 이탈, 연결 끊김, 밤 시작을 처리하고 대상 플레이어 외의 입력을 거부한다.</x:v>
      </x:c>
      <x:c r="H19" s="36" t="str">
        <x:v>구현, 코드 리뷰, 사양 갱신, 대상 QA 케이스 실행, 로그·텔레메트리 확인과 관련 플랫폼 검증을 완료하고 미해결 P0·P1 결함이 없다.</x:v>
      </x:c>
      <x:c r="I19" s="36" t="str">
        <x:v>MVP</x:v>
      </x:c>
      <x:c r="J19" s="36" t="str">
        <x:v>P0</x:v>
      </x:c>
      <x:c r="K19" s="36" t="str">
        <x:v>필수</x:v>
      </x:c>
      <x:c r="L19" s="36" t="str">
        <x:v>데이터 무결성</x:v>
      </x:c>
      <x:c r="M19" s="36" t="str">
        <x:v>MVP</x:v>
      </x:c>
      <x:c r="N19" s="36" t="str">
        <x:v>레벨·게임 디자인</x:v>
      </x:c>
      <x:c r="O19" s="36" t="str">
        <x:v>미정</x:v>
      </x:c>
      <x:c r="P19" s="36" t="str">
        <x:v>미정</x:v>
      </x:c>
      <x:c r="Q19" s="36" t="str">
        <x:v>전체</x:v>
      </x:c>
      <x:c r="R19" s="36" t="str">
        <x:v>서버 권한</x:v>
      </x:c>
      <x:c r="S19" s="36" t="str">
        <x:v>매치</x:v>
      </x:c>
      <x:c r="T19" s="36" t="str">
        <x:v>L</x:v>
      </x:c>
      <x:c r="U19" s="36" t="str">
        <x:v>미착수</x:v>
      </x:c>
      <x:c r="V19" s="46" t="n">
        <x:f>IF(U19="완료",1,IF(U19="QA 진행 중",0.8,IF(U19="코드 리뷰",0.65,IF(U19="구현 중",0.4,IF(U19="사양 확인 중",0.1,IF(U19="차단",0.4,0))))))</x:f>
        <x:v>0</x:v>
      </x:c>
      <x:c r="W19" s="36" t="str">
        <x:v>미정</x:v>
      </x:c>
      <x:c r="X19" s="44"/>
      <x:c r="Y19" s="36" t="str">
        <x:v>CNT-017,NET-012</x:v>
      </x:c>
      <x:c r="Z19" s="36" t="str">
        <x:v>중간</x:v>
      </x:c>
      <x:c r="AA19" s="36" t="str">
        <x:v>네트워크</x:v>
      </x:c>
      <x:c r="AB19" s="36" t="str">
        <x:v>TC-CNT-018-01, TC-CNT-018-02</x:v>
      </x:c>
      <x:c r="AC19" s="36"/>
      <x:c r="AD19" s="36" t="str">
        <x:v>게임 기획서</x:v>
      </x:c>
      <x:c r="AE19" s="36"/>
      <x:c r="AF19" s="44" t="str">
        <x:v>2026-07-10</x:v>
      </x:c>
      <x:c r="AG19" s="36"/>
      <x:c r="AH19" s="54"/>
      <x:c r="AI19" s="54"/>
      <x:c r="AJ19" s="53" t="str">
        <x:v>착수 전</x:v>
      </x:c>
    </x:row>
    <x:row r="20" ht="42" customHeight="1">
      <x:c r="A20" s="36" t="str">
        <x:v>CNT-019</x:v>
      </x:c>
      <x:c r="B20" s="36" t="str">
        <x:v>콘텐츠·맵·미니게임</x:v>
      </x:c>
      <x:c r="C20" s="36" t="str">
        <x:v>미니게임 프레임워크</x:v>
      </x:c>
      <x:c r="D20" s="36" t="str">
        <x:v>제작 도구</x:v>
      </x:c>
      <x:c r="E20" s="36" t="str">
        <x:v>미니게임 제작·검증 템플릿</x:v>
      </x:c>
      <x:c r="F20" s="36" t="str">
        <x:v>게임 규칙, 운영 요구사항과 대상 플랫폼 제약을 충족하도록 미니게임 제작·검증 템플릿 기능을 구현하고 검증한다.</x:v>
      </x:c>
      <x:c r="G20" s="36" t="str">
        <x:v>디자이너가 코드 변경 없이 기본 매개변수, 설명, 보상, 입력, 난이도를 설정할 수 있고 필수 필드를 검증한다.</x:v>
      </x:c>
      <x:c r="H20" s="36" t="str">
        <x:v>구현, 코드 리뷰, 사양 갱신, 대상 QA 케이스 실행, 로그·텔레메트리 확인과 관련 플랫폼 검증을 완료하고 미해결 P0·P1 결함이 없다.</x:v>
      </x:c>
      <x:c r="I20" s="36" t="str">
        <x:v>알파</x:v>
      </x:c>
      <x:c r="J20" s="36" t="str">
        <x:v>P1</x:v>
      </x:c>
      <x:c r="K20" s="36" t="str">
        <x:v>필수</x:v>
      </x:c>
      <x:c r="L20" s="36" t="str">
        <x:v>제작 기반</x:v>
      </x:c>
      <x:c r="M20" s="36" t="str">
        <x:v>알파</x:v>
      </x:c>
      <x:c r="N20" s="36" t="str">
        <x:v>레벨·게임 디자인</x:v>
      </x:c>
      <x:c r="O20" s="36" t="str">
        <x:v>미정</x:v>
      </x:c>
      <x:c r="P20" s="36" t="str">
        <x:v>미정</x:v>
      </x:c>
      <x:c r="Q20" s="36" t="str">
        <x:v>도구</x:v>
      </x:c>
      <x:c r="R20" s="36" t="str">
        <x:v>콘텐츠 데이터</x:v>
      </x:c>
      <x:c r="S20" s="36" t="str">
        <x:v>없음</x:v>
      </x:c>
      <x:c r="T20" s="36" t="str">
        <x:v>XL</x:v>
      </x:c>
      <x:c r="U20" s="36" t="str">
        <x:v>미착수</x:v>
      </x:c>
      <x:c r="V20" s="46" t="n">
        <x:f>IF(U20="완료",1,IF(U20="QA 진행 중",0.8,IF(U20="코드 리뷰",0.65,IF(U20="구현 중",0.4,IF(U20="사양 확인 중",0.1,IF(U20="차단",0.4,0))))))</x:f>
        <x:v>0</x:v>
      </x:c>
      <x:c r="W20" s="36" t="str">
        <x:v>미정</x:v>
      </x:c>
      <x:c r="X20" s="44"/>
      <x:c r="Y20" s="36" t="str">
        <x:v>CNT-016,CNT-017</x:v>
      </x:c>
      <x:c r="Z20" s="36" t="str">
        <x:v>중간</x:v>
      </x:c>
      <x:c r="AA20" s="36" t="str">
        <x:v>운영</x:v>
      </x:c>
      <x:c r="AB20" s="36" t="str">
        <x:v>TC-CNT-019-01</x:v>
      </x:c>
      <x:c r="AC20" s="36"/>
      <x:c r="AD20" s="36" t="str">
        <x:v>게임 기획서</x:v>
      </x:c>
      <x:c r="AE20" s="36"/>
      <x:c r="AF20" s="44" t="str">
        <x:v>2026-07-10</x:v>
      </x:c>
      <x:c r="AG20" s="36"/>
      <x:c r="AH20" s="54"/>
      <x:c r="AI20" s="54"/>
      <x:c r="AJ20" s="53" t="str">
        <x:v>착수 전</x:v>
      </x:c>
    </x:row>
    <x:row r="21" ht="42" customHeight="1">
      <x:c r="A21" s="36" t="str">
        <x:v>CNT-020</x:v>
      </x:c>
      <x:c r="B21" s="36" t="str">
        <x:v>콘텐츠·맵·미니게임</x:v>
      </x:c>
      <x:c r="C21" s="36" t="str">
        <x:v>미니게임 프레임워크</x:v>
      </x:c>
      <x:c r="D21" s="36" t="str">
        <x:v>완료 API</x:v>
      </x:c>
      <x:c r="E21" s="36" t="str">
        <x:v>성공 판정·보상·중복 방지 인터페이스</x:v>
      </x:c>
      <x:c r="F21" s="36" t="str">
        <x:v>게임 규칙, 운영 요구사항과 대상 플랫폼 제약을 충족하도록 성공 판정·보상·중복 방지 인터페이스 기능을 구현하고 검증한다.</x:v>
      </x:c>
      <x:c r="G21" s="36" t="str">
        <x:v>서버가 성공을 검증하고 고유 완료 ID를 발급해 메모 보상과 전체 진행도에 한 번만 반영한다.</x:v>
      </x:c>
      <x:c r="H21" s="36" t="str">
        <x:v>구현, 코드 리뷰, 사양 갱신, 대상 QA 케이스 실행, 로그·텔레메트리 확인과 관련 플랫폼 검증을 완료하고 미해결 P0·P1 결함이 없다.</x:v>
      </x:c>
      <x:c r="I21" s="36" t="str">
        <x:v>MVP</x:v>
      </x:c>
      <x:c r="J21" s="36" t="str">
        <x:v>P0</x:v>
      </x:c>
      <x:c r="K21" s="36" t="str">
        <x:v>필수</x:v>
      </x:c>
      <x:c r="L21" s="36" t="str">
        <x:v>데이터 무결성</x:v>
      </x:c>
      <x:c r="M21" s="36" t="str">
        <x:v>MVP</x:v>
      </x:c>
      <x:c r="N21" s="36" t="str">
        <x:v>레벨·게임 디자인</x:v>
      </x:c>
      <x:c r="O21" s="36" t="str">
        <x:v>미정</x:v>
      </x:c>
      <x:c r="P21" s="36" t="str">
        <x:v>미정</x:v>
      </x:c>
      <x:c r="Q21" s="36" t="str">
        <x:v>전체</x:v>
      </x:c>
      <x:c r="R21" s="36" t="str">
        <x:v>서버 권한</x:v>
      </x:c>
      <x:c r="S21" s="36" t="str">
        <x:v>매치</x:v>
      </x:c>
      <x:c r="T21" s="36" t="str">
        <x:v>L</x:v>
      </x:c>
      <x:c r="U21" s="36" t="str">
        <x:v>미착수</x:v>
      </x:c>
      <x:c r="V21" s="46" t="n">
        <x:f>IF(U21="완료",1,IF(U21="QA 진행 중",0.8,IF(U21="코드 리뷰",0.65,IF(U21="구현 중",0.4,IF(U21="사양 확인 중",0.1,IF(U21="차단",0.4,0))))))</x:f>
        <x:v>0</x:v>
      </x:c>
      <x:c r="W21" s="36" t="str">
        <x:v>미정</x:v>
      </x:c>
      <x:c r="X21" s="44"/>
      <x:c r="Y21" s="36" t="str">
        <x:v>CNT-017,CNT-018,NET-015,IGM-010</x:v>
      </x:c>
      <x:c r="Z21" s="36" t="str">
        <x:v>중간</x:v>
      </x:c>
      <x:c r="AA21" s="36" t="str">
        <x:v>보안</x:v>
      </x:c>
      <x:c r="AB21" s="36" t="str">
        <x:v>TC-CNT-020-01, TC-CNT-020-02</x:v>
      </x:c>
      <x:c r="AC21" s="36"/>
      <x:c r="AD21" s="36" t="str">
        <x:v>게임 기획서</x:v>
      </x:c>
      <x:c r="AE21" s="36"/>
      <x:c r="AF21" s="44" t="str">
        <x:v>2026-07-10</x:v>
      </x:c>
      <x:c r="AG21" s="36"/>
      <x:c r="AH21" s="54"/>
      <x:c r="AI21" s="54"/>
      <x:c r="AJ21" s="53" t="str">
        <x:v>착수 전</x:v>
      </x:c>
    </x:row>
    <x:row r="22" ht="42" customHeight="1">
      <x:c r="A22" s="36" t="str">
        <x:v>CNT-021</x:v>
      </x:c>
      <x:c r="B22" s="36" t="str">
        <x:v>콘텐츠·맵·미니게임</x:v>
      </x:c>
      <x:c r="C22" s="36" t="str">
        <x:v>미니게임 UX</x:v>
      </x:c>
      <x:c r="D22" s="36" t="str">
        <x:v>이해도</x:v>
      </x:c>
      <x:c r="E22" s="36" t="str">
        <x:v>3초 이해·조작 설명·실패 피드백 기준</x:v>
      </x:c>
      <x:c r="F22" s="36" t="str">
        <x:v>게임 규칙, 운영 요구사항과 대상 플랫폼 제약을 충족하도록 3초 이해·조작 설명·실패 피드백 기준 기능을 구현하고 검증한다.</x:v>
      </x:c>
      <x:c r="G22" s="36" t="str">
        <x:v>처음 플레이하는 사용자가 3초 안에 목표와 조작을 이해하고 잘못 조작했을 때 원인과 재시도 가능 여부를 알 수 있으며 언어와 입력 장치 차이에 대응한다.</x:v>
      </x:c>
      <x:c r="H22" s="36" t="str">
        <x:v>구현, 코드 리뷰, 사양 갱신, 대상 QA 케이스 실행, 로그·텔레메트리 확인과 관련 플랫폼 검증을 완료하고 미해결 P0·P1 결함이 없다.</x:v>
      </x:c>
      <x:c r="I22" s="36" t="str">
        <x:v>MVP</x:v>
      </x:c>
      <x:c r="J22" s="36" t="str">
        <x:v>P0</x:v>
      </x:c>
      <x:c r="K22" s="36" t="str">
        <x:v>필수</x:v>
      </x:c>
      <x:c r="L22" s="36" t="str">
        <x:v>이해도</x:v>
      </x:c>
      <x:c r="M22" s="36" t="str">
        <x:v>MVP</x:v>
      </x:c>
      <x:c r="N22" s="36" t="str">
        <x:v>레벨·게임 디자인</x:v>
      </x:c>
      <x:c r="O22" s="36" t="str">
        <x:v>미정</x:v>
      </x:c>
      <x:c r="P22" s="36" t="str">
        <x:v>미정</x:v>
      </x:c>
      <x:c r="Q22" s="36" t="str">
        <x:v>전체</x:v>
      </x:c>
      <x:c r="R22" s="36" t="str">
        <x:v>콘텐츠 데이터</x:v>
      </x:c>
      <x:c r="S22" s="36" t="str">
        <x:v>없음</x:v>
      </x:c>
      <x:c r="T22" s="36" t="str">
        <x:v>M</x:v>
      </x:c>
      <x:c r="U22" s="36" t="str">
        <x:v>미착수</x:v>
      </x:c>
      <x:c r="V22" s="46" t="n">
        <x:f>IF(U22="완료",1,IF(U22="QA 진행 중",0.8,IF(U22="코드 리뷰",0.65,IF(U22="구현 중",0.4,IF(U22="사양 확인 중",0.1,IF(U22="차단",0.4,0))))))</x:f>
        <x:v>0</x:v>
      </x:c>
      <x:c r="W22" s="36" t="str">
        <x:v>미정</x:v>
      </x:c>
      <x:c r="X22" s="44"/>
      <x:c r="Y22" s="36" t="str">
        <x:v>CNT-017,UIX-017</x:v>
      </x:c>
      <x:c r="Z22" s="36" t="str">
        <x:v>중간</x:v>
      </x:c>
      <x:c r="AA22" s="36" t="str">
        <x:v>사용성</x:v>
      </x:c>
      <x:c r="AB22" s="36" t="str">
        <x:v>TC-CNT-021-01, TC-CNT-021-02</x:v>
      </x:c>
      <x:c r="AC22" s="36"/>
      <x:c r="AD22" s="36" t="str">
        <x:v>게임 기획서</x:v>
      </x:c>
      <x:c r="AE22" s="36"/>
      <x:c r="AF22" s="44" t="str">
        <x:v>2026-07-10</x:v>
      </x:c>
      <x:c r="AG22" s="36"/>
      <x:c r="AH22" s="54"/>
      <x:c r="AI22" s="54"/>
      <x:c r="AJ22" s="53" t="str">
        <x:v>착수 전</x:v>
      </x:c>
    </x:row>
    <x:row r="23" ht="42" customHeight="1">
      <x:c r="A23" s="36" t="str">
        <x:v>CNT-022</x:v>
      </x:c>
      <x:c r="B23" s="36" t="str">
        <x:v>콘텐츠·맵·미니게임</x:v>
      </x:c>
      <x:c r="C23" s="36" t="str">
        <x:v>성장</x:v>
      </x:c>
      <x:c r="D23" s="36" t="str">
        <x:v>전체 완료</x:v>
      </x:c>
      <x:c r="E23" s="36" t="str">
        <x:v>룸 전체 미니게임 진행도·최종 재판 연동</x:v>
      </x:c>
      <x:c r="F23" s="36" t="str">
        <x:v>게임 규칙, 운영 요구사항과 대상 플랫폼 제약을 충족하도록 룸 전체 미니게임 진행도·최종 재판 연동 기능을 구현하고 검증한다.</x:v>
      </x:c>
      <x:c r="G23" s="36" t="str">
        <x:v>서버가 필요 총수와 완료 수를 관리하고 모두 완료되면 최종 재판 트리거를 한 번만 발행한다. 중도 이탈이나 재시도로 진행도가 되돌아가지 않는다.</x:v>
      </x:c>
      <x:c r="H23" s="36" t="str">
        <x:v>구현, 코드 리뷰, 사양 갱신, 대상 QA 케이스 실행, 로그·텔레메트리 확인과 관련 플랫폼 검증을 완료하고 미해결 P0·P1 결함이 없다.</x:v>
      </x:c>
      <x:c r="I23" s="36" t="str">
        <x:v>MVP</x:v>
      </x:c>
      <x:c r="J23" s="36" t="str">
        <x:v>P0</x:v>
      </x:c>
      <x:c r="K23" s="36" t="str">
        <x:v>필수</x:v>
      </x:c>
      <x:c r="L23" s="36" t="str">
        <x:v>승패</x:v>
      </x:c>
      <x:c r="M23" s="36" t="str">
        <x:v>MVP</x:v>
      </x:c>
      <x:c r="N23" s="36" t="str">
        <x:v>레벨·게임 디자인</x:v>
      </x:c>
      <x:c r="O23" s="36" t="str">
        <x:v>미정</x:v>
      </x:c>
      <x:c r="P23" s="36" t="str">
        <x:v>미정</x:v>
      </x:c>
      <x:c r="Q23" s="36" t="str">
        <x:v>전체</x:v>
      </x:c>
      <x:c r="R23" s="36" t="str">
        <x:v>서버 권한</x:v>
      </x:c>
      <x:c r="S23" s="36" t="str">
        <x:v>매치</x:v>
      </x:c>
      <x:c r="T23" s="36" t="str">
        <x:v>L</x:v>
      </x:c>
      <x:c r="U23" s="36" t="str">
        <x:v>미착수</x:v>
      </x:c>
      <x:c r="V23" s="46" t="n">
        <x:f>IF(U23="완료",1,IF(U23="QA 진행 중",0.8,IF(U23="코드 리뷰",0.65,IF(U23="구현 중",0.4,IF(U23="사양 확인 중",0.1,IF(U23="차단",0.4,0))))))</x:f>
        <x:v>0</x:v>
      </x:c>
      <x:c r="W23" s="36" t="str">
        <x:v>미정</x:v>
      </x:c>
      <x:c r="X23" s="44"/>
      <x:c r="Y23" s="36" t="str">
        <x:v>CNT-020,IGM-028</x:v>
      </x:c>
      <x:c r="Z23" s="36" t="str">
        <x:v>중간</x:v>
      </x:c>
      <x:c r="AA23" s="36" t="str">
        <x:v>경계값</x:v>
      </x:c>
      <x:c r="AB23" s="36" t="str">
        <x:v>TC-CNT-022-01, TC-CNT-022-02</x:v>
      </x:c>
      <x:c r="AC23" s="36"/>
      <x:c r="AD23" s="36" t="str">
        <x:v>게임 기획서</x:v>
      </x:c>
      <x:c r="AE23" s="36"/>
      <x:c r="AF23" s="44" t="str">
        <x:v>2026-07-10</x:v>
      </x:c>
      <x:c r="AG23" s="36"/>
      <x:c r="AH23" s="54"/>
      <x:c r="AI23" s="54"/>
      <x:c r="AJ23" s="53" t="str">
        <x:v>착수 전</x:v>
      </x:c>
    </x:row>
    <x:row r="24" ht="42" customHeight="1">
      <x:c r="A24" s="36" t="str">
        <x:v>CNT-023</x:v>
      </x:c>
      <x:c r="B24" s="36" t="str">
        <x:v>콘텐츠·맵·미니게임</x:v>
      </x:c>
      <x:c r="C24" s="36" t="str">
        <x:v>MVP 미니게임</x:v>
      </x:c>
      <x:c r="D24" s="36" t="str">
        <x:v>패턴 일치</x:v>
      </x:c>
      <x:c r="E24" s="36" t="str">
        <x:v>같은 그림 찾기 미니게임</x:v>
      </x:c>
      <x:c r="F24" s="36" t="str">
        <x:v>게임 규칙, 운영 요구사항과 대상 플랫폼 제약을 충족하도록 같은 그림 찾기 미니게임 기능을 구현하고 검증한다.</x:v>
      </x:c>
      <x:c r="G24" s="36" t="str">
        <x:v>제한 시간 안에 목표와 같은 도형을 선택하며 난이도별 선택지 수, 시인성, 오답 페널티가 설정대로 동작한다.</x:v>
      </x:c>
      <x:c r="H24" s="36" t="str">
        <x:v>구현, 코드 리뷰, 사양 갱신, 대상 QA 케이스 실행, 로그·텔레메트리 확인과 관련 플랫폼 검증을 완료하고 미해결 P0·P1 결함이 없다.</x:v>
      </x:c>
      <x:c r="I24" s="36" t="str">
        <x:v>MVP</x:v>
      </x:c>
      <x:c r="J24" s="36" t="str">
        <x:v>P0</x:v>
      </x:c>
      <x:c r="K24" s="36" t="str">
        <x:v>필수</x:v>
      </x:c>
      <x:c r="L24" s="36" t="str">
        <x:v>콘텐츠</x:v>
      </x:c>
      <x:c r="M24" s="36" t="str">
        <x:v>MVP</x:v>
      </x:c>
      <x:c r="N24" s="36" t="str">
        <x:v>레벨·게임 디자인</x:v>
      </x:c>
      <x:c r="O24" s="36" t="str">
        <x:v>미정</x:v>
      </x:c>
      <x:c r="P24" s="36" t="str">
        <x:v>미정</x:v>
      </x:c>
      <x:c r="Q24" s="36" t="str">
        <x:v>전체</x:v>
      </x:c>
      <x:c r="R24" s="36" t="str">
        <x:v>서버 권한</x:v>
      </x:c>
      <x:c r="S24" s="36" t="str">
        <x:v>매치</x:v>
      </x:c>
      <x:c r="T24" s="36" t="str">
        <x:v>L</x:v>
      </x:c>
      <x:c r="U24" s="36" t="str">
        <x:v>미착수</x:v>
      </x:c>
      <x:c r="V24" s="46" t="n">
        <x:f>IF(U24="완료",1,IF(U24="QA 진행 중",0.8,IF(U24="코드 리뷰",0.65,IF(U24="구현 중",0.4,IF(U24="사양 확인 중",0.1,IF(U24="차단",0.4,0))))))</x:f>
        <x:v>0</x:v>
      </x:c>
      <x:c r="W24" s="36" t="str">
        <x:v>미정</x:v>
      </x:c>
      <x:c r="X24" s="44"/>
      <x:c r="Y24" s="36" t="str">
        <x:v>CNT-017,CNT-020,CNT-021</x:v>
      </x:c>
      <x:c r="Z24" s="36" t="str">
        <x:v>중간</x:v>
      </x:c>
      <x:c r="AA24" s="36" t="str">
        <x:v>기능</x:v>
      </x:c>
      <x:c r="AB24" s="36" t="str">
        <x:v>TC-CNT-023-01, TC-CNT-023-02</x:v>
      </x:c>
      <x:c r="AC24" s="36"/>
      <x:c r="AD24" s="36" t="str">
        <x:v>게임 기획서</x:v>
      </x:c>
      <x:c r="AE24" s="36"/>
      <x:c r="AF24" s="44" t="str">
        <x:v>2026-07-10</x:v>
      </x:c>
      <x:c r="AG24" s="36"/>
      <x:c r="AH24" s="54"/>
      <x:c r="AI24" s="54"/>
      <x:c r="AJ24" s="53" t="str">
        <x:v>착수 전</x:v>
      </x:c>
    </x:row>
    <x:row r="25" ht="42" customHeight="1">
      <x:c r="A25" s="36" t="str">
        <x:v>CNT-024</x:v>
      </x:c>
      <x:c r="B25" s="36" t="str">
        <x:v>콘텐츠·맵·미니게임</x:v>
      </x:c>
      <x:c r="C25" s="36" t="str">
        <x:v>MVP 미니게임</x:v>
      </x:c>
      <x:c r="D25" s="36" t="str">
        <x:v>순서</x:v>
      </x:c>
      <x:c r="E25" s="36" t="str">
        <x:v>버튼 순서 기억 미니게임</x:v>
      </x:c>
      <x:c r="F25" s="36" t="str">
        <x:v>게임 규칙, 운영 요구사항과 대상 플랫폼 제약을 충족하도록 버튼 순서 기억 미니게임 기능을 구현하고 검증한다.</x:v>
      </x:c>
      <x:c r="G25" s="36" t="str">
        <x:v>제시된 순서를 입력하고 중복 입력, 시간 초과, 페이즈 종료, 입력 장치 차이를 일관되게 처리한다.</x:v>
      </x:c>
      <x:c r="H25" s="36" t="str">
        <x:v>구현, 코드 리뷰, 사양 갱신, 대상 QA 케이스 실행, 로그·텔레메트리 확인과 관련 플랫폼 검증을 완료하고 미해결 P0·P1 결함이 없다.</x:v>
      </x:c>
      <x:c r="I25" s="36" t="str">
        <x:v>MVP</x:v>
      </x:c>
      <x:c r="J25" s="36" t="str">
        <x:v>P0</x:v>
      </x:c>
      <x:c r="K25" s="36" t="str">
        <x:v>필수</x:v>
      </x:c>
      <x:c r="L25" s="36" t="str">
        <x:v>콘텐츠</x:v>
      </x:c>
      <x:c r="M25" s="36" t="str">
        <x:v>MVP</x:v>
      </x:c>
      <x:c r="N25" s="36" t="str">
        <x:v>레벨·게임 디자인</x:v>
      </x:c>
      <x:c r="O25" s="36" t="str">
        <x:v>미정</x:v>
      </x:c>
      <x:c r="P25" s="36" t="str">
        <x:v>미정</x:v>
      </x:c>
      <x:c r="Q25" s="36" t="str">
        <x:v>전체</x:v>
      </x:c>
      <x:c r="R25" s="36" t="str">
        <x:v>서버 권한</x:v>
      </x:c>
      <x:c r="S25" s="36" t="str">
        <x:v>매치</x:v>
      </x:c>
      <x:c r="T25" s="36" t="str">
        <x:v>L</x:v>
      </x:c>
      <x:c r="U25" s="36" t="str">
        <x:v>미착수</x:v>
      </x:c>
      <x:c r="V25" s="46" t="n">
        <x:f>IF(U25="완료",1,IF(U25="QA 진행 중",0.8,IF(U25="코드 리뷰",0.65,IF(U25="구현 중",0.4,IF(U25="사양 확인 중",0.1,IF(U25="차단",0.4,0))))))</x:f>
        <x:v>0</x:v>
      </x:c>
      <x:c r="W25" s="36" t="str">
        <x:v>미정</x:v>
      </x:c>
      <x:c r="X25" s="44"/>
      <x:c r="Y25" s="36" t="str">
        <x:v>CNT-017,CNT-020,CNT-021</x:v>
      </x:c>
      <x:c r="Z25" s="36" t="str">
        <x:v>중간</x:v>
      </x:c>
      <x:c r="AA25" s="36" t="str">
        <x:v>기능</x:v>
      </x:c>
      <x:c r="AB25" s="36" t="str">
        <x:v>TC-CNT-024-01, TC-CNT-024-02</x:v>
      </x:c>
      <x:c r="AC25" s="36"/>
      <x:c r="AD25" s="36" t="str">
        <x:v>게임 기획서</x:v>
      </x:c>
      <x:c r="AE25" s="36"/>
      <x:c r="AF25" s="44" t="str">
        <x:v>2026-07-10</x:v>
      </x:c>
      <x:c r="AG25" s="36"/>
      <x:c r="AH25" s="54"/>
      <x:c r="AI25" s="54"/>
      <x:c r="AJ25" s="53" t="str">
        <x:v>착수 전</x:v>
      </x:c>
    </x:row>
    <x:row r="26" ht="42" customHeight="1">
      <x:c r="A26" s="36" t="str">
        <x:v>CNT-025</x:v>
      </x:c>
      <x:c r="B26" s="36" t="str">
        <x:v>콘텐츠·맵·미니게임</x:v>
      </x:c>
      <x:c r="C26" s="36" t="str">
        <x:v>MVP 미니게임</x:v>
      </x:c>
      <x:c r="D26" s="36" t="str">
        <x:v>색상·형태</x:v>
      </x:c>
      <x:c r="E26" s="36" t="str">
        <x:v>색상·형태 맞추기 미니게임</x:v>
      </x:c>
      <x:c r="F26" s="36" t="str">
        <x:v>게임 규칙, 운영 요구사항과 대상 플랫폼 제약을 충족하도록 색상·형태 맞추기 미니게임 기능을 구현하고 검증한다.</x:v>
      </x:c>
      <x:c r="G26" s="36" t="str">
        <x:v>색상만에 의존하지 않고 형태와 기호를 함께 사용하며 색각 보조 설정에서도 난이도와 정답이 바뀌지 않는다.</x:v>
      </x:c>
      <x:c r="H26" s="36" t="str">
        <x:v>구현, 코드 리뷰, 사양 갱신, 대상 QA 케이스 실행, 로그·텔레메트리 확인과 관련 플랫폼 검증을 완료하고 미해결 P0·P1 결함이 없다.</x:v>
      </x:c>
      <x:c r="I26" s="36" t="str">
        <x:v>MVP</x:v>
      </x:c>
      <x:c r="J26" s="36" t="str">
        <x:v>P0</x:v>
      </x:c>
      <x:c r="K26" s="36" t="str">
        <x:v>필수</x:v>
      </x:c>
      <x:c r="L26" s="36" t="str">
        <x:v>접근성</x:v>
      </x:c>
      <x:c r="M26" s="36" t="str">
        <x:v>MVP</x:v>
      </x:c>
      <x:c r="N26" s="36" t="str">
        <x:v>레벨·게임 디자인</x:v>
      </x:c>
      <x:c r="O26" s="36" t="str">
        <x:v>미정</x:v>
      </x:c>
      <x:c r="P26" s="36" t="str">
        <x:v>미정</x:v>
      </x:c>
      <x:c r="Q26" s="36" t="str">
        <x:v>전체</x:v>
      </x:c>
      <x:c r="R26" s="36" t="str">
        <x:v>서버 권한</x:v>
      </x:c>
      <x:c r="S26" s="36" t="str">
        <x:v>매치</x:v>
      </x:c>
      <x:c r="T26" s="36" t="str">
        <x:v>L</x:v>
      </x:c>
      <x:c r="U26" s="36" t="str">
        <x:v>미착수</x:v>
      </x:c>
      <x:c r="V26" s="46" t="n">
        <x:f>IF(U26="완료",1,IF(U26="QA 진행 중",0.8,IF(U26="코드 리뷰",0.65,IF(U26="구현 중",0.4,IF(U26="사양 확인 중",0.1,IF(U26="차단",0.4,0))))))</x:f>
        <x:v>0</x:v>
      </x:c>
      <x:c r="W26" s="36" t="str">
        <x:v>미정</x:v>
      </x:c>
      <x:c r="X26" s="44"/>
      <x:c r="Y26" s="36" t="str">
        <x:v>CNT-017,CNT-020,CNT-021,SET-024</x:v>
      </x:c>
      <x:c r="Z26" s="36" t="str">
        <x:v>중간</x:v>
      </x:c>
      <x:c r="AA26" s="36" t="str">
        <x:v>접근성</x:v>
      </x:c>
      <x:c r="AB26" s="36" t="str">
        <x:v>TC-CNT-025-01, TC-CNT-025-02</x:v>
      </x:c>
      <x:c r="AC26" s="36"/>
      <x:c r="AD26" s="36" t="str">
        <x:v>게임 기획서</x:v>
      </x:c>
      <x:c r="AE26" s="36"/>
      <x:c r="AF26" s="44" t="str">
        <x:v>2026-07-10</x:v>
      </x:c>
      <x:c r="AG26" s="36"/>
      <x:c r="AH26" s="54"/>
      <x:c r="AI26" s="54"/>
      <x:c r="AJ26" s="53" t="str">
        <x:v>착수 전</x:v>
      </x:c>
    </x:row>
    <x:row r="27" ht="42" customHeight="1">
      <x:c r="A27" s="36" t="str">
        <x:v>CNT-026</x:v>
      </x:c>
      <x:c r="B27" s="36" t="str">
        <x:v>콘텐츠·맵·미니게임</x:v>
      </x:c>
      <x:c r="C27" s="36" t="str">
        <x:v>밸런스</x:v>
      </x:c>
      <x:c r="D27" s="36" t="str">
        <x:v>난이도·소요 시간</x:v>
      </x:c>
      <x:c r="E27" s="36" t="str">
        <x:v>미니게임 소요 시간·난이도·보상 기준</x:v>
      </x:c>
      <x:c r="F27" s="36" t="str">
        <x:v>게임 규칙, 운영 요구사항과 대상 플랫폼 제약을 충족하도록 미니게임 소요 시간·난이도·보상 기준 기능을 구현하고 검증한다.</x:v>
      </x:c>
      <x:c r="G27" s="36" t="str">
        <x:v>일반 미니게임은 목표 시간 안에 완료되고 메모 1장 보상 대비 위험과 시간이 지나치게 편중되지 않으며 실패율과 재시도율을 측정한다.</x:v>
      </x:c>
      <x:c r="H27" s="36" t="str">
        <x:v>구현, 코드 리뷰, 사양 갱신, 대상 QA 케이스 실행, 로그·텔레메트리 확인과 관련 플랫폼 검증을 완료하고 미해결 P0·P1 결함이 없다.</x:v>
      </x:c>
      <x:c r="I27" s="36" t="str">
        <x:v>알파</x:v>
      </x:c>
      <x:c r="J27" s="36" t="str">
        <x:v>P0</x:v>
      </x:c>
      <x:c r="K27" s="36" t="str">
        <x:v>필수</x:v>
      </x:c>
      <x:c r="L27" s="36" t="str">
        <x:v>밸런스</x:v>
      </x:c>
      <x:c r="M27" s="36" t="str">
        <x:v>알파</x:v>
      </x:c>
      <x:c r="N27" s="36" t="str">
        <x:v>레벨·게임 디자인</x:v>
      </x:c>
      <x:c r="O27" s="36" t="str">
        <x:v>미정</x:v>
      </x:c>
      <x:c r="P27" s="36" t="str">
        <x:v>미정</x:v>
      </x:c>
      <x:c r="Q27" s="36" t="str">
        <x:v>전체</x:v>
      </x:c>
      <x:c r="R27" s="36" t="str">
        <x:v>콘텐츠 데이터</x:v>
      </x:c>
      <x:c r="S27" s="36" t="str">
        <x:v>백엔드</x:v>
      </x:c>
      <x:c r="T27" s="36" t="str">
        <x:v>M</x:v>
      </x:c>
      <x:c r="U27" s="36" t="str">
        <x:v>미착수</x:v>
      </x:c>
      <x:c r="V27" s="46" t="n">
        <x:f>IF(U27="완료",1,IF(U27="QA 진행 중",0.8,IF(U27="코드 리뷰",0.65,IF(U27="구현 중",0.4,IF(U27="사양 확인 중",0.1,IF(U27="차단",0.4,0))))))</x:f>
        <x:v>0</x:v>
      </x:c>
      <x:c r="W27" s="36" t="str">
        <x:v>미정</x:v>
      </x:c>
      <x:c r="X27" s="44"/>
      <x:c r="Y27" s="36" t="str">
        <x:v>CNT-023,CNT-024,CNT-025,BED-008</x:v>
      </x:c>
      <x:c r="Z27" s="36" t="str">
        <x:v>중간</x:v>
      </x:c>
      <x:c r="AA27" s="36" t="str">
        <x:v>밸런스</x:v>
      </x:c>
      <x:c r="AB27" s="36" t="str">
        <x:v>TC-CNT-026-01, TC-CNT-026-02</x:v>
      </x:c>
      <x:c r="AC27" s="36"/>
      <x:c r="AD27" s="36" t="str">
        <x:v>게임 기획서</x:v>
      </x:c>
      <x:c r="AE27" s="36"/>
      <x:c r="AF27" s="44" t="str">
        <x:v>2026-07-10</x:v>
      </x:c>
      <x:c r="AG27" s="36"/>
      <x:c r="AH27" s="54"/>
      <x:c r="AI27" s="54"/>
      <x:c r="AJ27" s="53" t="str">
        <x:v>착수 전</x:v>
      </x:c>
    </x:row>
    <x:row r="28" ht="42" customHeight="1">
      <x:c r="A28" s="36" t="str">
        <x:v>CNT-027</x:v>
      </x:c>
      <x:c r="B28" s="36" t="str">
        <x:v>콘텐츠·맵·미니게임</x:v>
      </x:c>
      <x:c r="C28" s="36" t="str">
        <x:v>콘텐츠 순환</x:v>
      </x:c>
      <x:c r="D28" s="36" t="str">
        <x:v>스폰·회전</x:v>
      </x:c>
      <x:c r="E28" s="36" t="str">
        <x:v>단말 배치·활성 과제 라운드 생성</x:v>
      </x:c>
      <x:c r="F28" s="36" t="str">
        <x:v>게임 규칙, 운영 요구사항과 대상 플랫폼 제약을 충족하도록 단말 배치·활성 과제 라운드 생성 기능을 구현하고 검증한다.</x:v>
      </x:c>
      <x:c r="G28" s="36" t="str">
        <x:v>참가 인원, 맵, 필요 총수에 맞춰 단말을 선택하고 같은 방 편중, 도달 불가, 같은 문제의 과도한 연속 출현을 방지한다.</x:v>
      </x:c>
      <x:c r="H28" s="36" t="str">
        <x:v>구현, 코드 리뷰, 사양 갱신, 대상 QA 케이스 실행, 로그·텔레메트리 확인과 관련 플랫폼 검증을 완료하고 미해결 P0·P1 결함이 없다.</x:v>
      </x:c>
      <x:c r="I28" s="36" t="str">
        <x:v>알파</x:v>
      </x:c>
      <x:c r="J28" s="36" t="str">
        <x:v>P1</x:v>
      </x:c>
      <x:c r="K28" s="36" t="str">
        <x:v>필수</x:v>
      </x:c>
      <x:c r="L28" s="36" t="str">
        <x:v>밸런스</x:v>
      </x:c>
      <x:c r="M28" s="36" t="str">
        <x:v>알파</x:v>
      </x:c>
      <x:c r="N28" s="36" t="str">
        <x:v>레벨·게임 디자인</x:v>
      </x:c>
      <x:c r="O28" s="36" t="str">
        <x:v>미정</x:v>
      </x:c>
      <x:c r="P28" s="36" t="str">
        <x:v>미정</x:v>
      </x:c>
      <x:c r="Q28" s="36" t="str">
        <x:v>서버</x:v>
      </x:c>
      <x:c r="R28" s="36" t="str">
        <x:v>서버 권한</x:v>
      </x:c>
      <x:c r="S28" s="36" t="str">
        <x:v>매치</x:v>
      </x:c>
      <x:c r="T28" s="36" t="str">
        <x:v>L</x:v>
      </x:c>
      <x:c r="U28" s="36" t="str">
        <x:v>미착수</x:v>
      </x:c>
      <x:c r="V28" s="46" t="n">
        <x:f>IF(U28="완료",1,IF(U28="QA 진행 중",0.8,IF(U28="코드 리뷰",0.65,IF(U28="구현 중",0.4,IF(U28="사양 확인 중",0.1,IF(U28="차단",0.4,0))))))</x:f>
        <x:v>0</x:v>
      </x:c>
      <x:c r="W28" s="36" t="str">
        <x:v>미정</x:v>
      </x:c>
      <x:c r="X28" s="44"/>
      <x:c r="Y28" s="36" t="str">
        <x:v>CNT-009,CNT-016,CNT-026</x:v>
      </x:c>
      <x:c r="Z28" s="36" t="str">
        <x:v>중간</x:v>
      </x:c>
      <x:c r="AA28" s="36" t="str">
        <x:v>경계값</x:v>
      </x:c>
      <x:c r="AB28" s="36" t="str">
        <x:v>TC-CNT-027-01</x:v>
      </x:c>
      <x:c r="AC28" s="36"/>
      <x:c r="AD28" s="36" t="str">
        <x:v>게임 기획서</x:v>
      </x:c>
      <x:c r="AE28" s="36"/>
      <x:c r="AF28" s="44" t="str">
        <x:v>2026-07-10</x:v>
      </x:c>
      <x:c r="AG28" s="36"/>
      <x:c r="AH28" s="54"/>
      <x:c r="AI28" s="54"/>
      <x:c r="AJ28" s="53" t="str">
        <x:v>착수 전</x:v>
      </x:c>
    </x:row>
    <x:row r="29" ht="42" customHeight="1">
      <x:c r="A29" s="36" t="str">
        <x:v>CNT-028</x:v>
      </x:c>
      <x:c r="B29" s="36" t="str">
        <x:v>콘텐츠·맵·미니게임</x:v>
      </x:c>
      <x:c r="C29" s="36" t="str">
        <x:v>호환성</x:v>
      </x:c>
      <x:c r="D29" s="36" t="str">
        <x:v>콘텐츠 해시</x:v>
      </x:c>
      <x:c r="E29" s="36" t="str">
        <x:v>맵·미니게임·문구 버전·해시 검증</x:v>
      </x:c>
      <x:c r="F29" s="36" t="str">
        <x:v>게임 규칙, 운영 요구사항과 대상 플랫폼 제약을 충족하도록 맵·미니게임·문구 버전·해시 검증 기능을 구현하고 검증한다.</x:v>
      </x:c>
      <x:c r="G29" s="36" t="str">
        <x:v>매치 시작 전에 서버 요구 버전과 클라이언트 에셋 해시를 비교하고 불일치하면 시작하지 않으며 갱신 또는 재다운로드를 안내한다.</x:v>
      </x:c>
      <x:c r="H29" s="36" t="str">
        <x:v>구현, 코드 리뷰, 사양 갱신, 대상 QA 케이스 실행, 로그·텔레메트리 확인과 관련 플랫폼 검증을 완료하고 미해결 P0·P1 결함이 없다.</x:v>
      </x:c>
      <x:c r="I29" s="36" t="str">
        <x:v>MVP</x:v>
      </x:c>
      <x:c r="J29" s="36" t="str">
        <x:v>P0</x:v>
      </x:c>
      <x:c r="K29" s="36" t="str">
        <x:v>필수</x:v>
      </x:c>
      <x:c r="L29" s="36" t="str">
        <x:v>호환성</x:v>
      </x:c>
      <x:c r="M29" s="36" t="str">
        <x:v>MVP</x:v>
      </x:c>
      <x:c r="N29" s="36" t="str">
        <x:v>레벨·게임 디자인</x:v>
      </x:c>
      <x:c r="O29" s="36" t="str">
        <x:v>미정</x:v>
      </x:c>
      <x:c r="P29" s="36" t="str">
        <x:v>미정</x:v>
      </x:c>
      <x:c r="Q29" s="36" t="str">
        <x:v>전체</x:v>
      </x:c>
      <x:c r="R29" s="36" t="str">
        <x:v>서버 권한</x:v>
      </x:c>
      <x:c r="S29" s="36" t="str">
        <x:v>없음</x:v>
      </x:c>
      <x:c r="T29" s="36" t="str">
        <x:v>M</x:v>
      </x:c>
      <x:c r="U29" s="36" t="str">
        <x:v>미착수</x:v>
      </x:c>
      <x:c r="V29" s="46" t="n">
        <x:f>IF(U29="완료",1,IF(U29="QA 진행 중",0.8,IF(U29="코드 리뷰",0.65,IF(U29="구현 중",0.4,IF(U29="사양 확인 중",0.1,IF(U29="차단",0.4,0))))))</x:f>
        <x:v>0</x:v>
      </x:c>
      <x:c r="W29" s="36" t="str">
        <x:v>미정</x:v>
      </x:c>
      <x:c r="X29" s="44"/>
      <x:c r="Y29" s="36" t="str">
        <x:v>CNT-016,ONL-015</x:v>
      </x:c>
      <x:c r="Z29" s="36" t="str">
        <x:v>중간</x:v>
      </x:c>
      <x:c r="AA29" s="36" t="str">
        <x:v>호환성</x:v>
      </x:c>
      <x:c r="AB29" s="36" t="str">
        <x:v>TC-CNT-028-01, TC-CNT-028-02</x:v>
      </x:c>
      <x:c r="AC29" s="36"/>
      <x:c r="AD29" s="36" t="str">
        <x:v>게임 기획서</x:v>
      </x:c>
      <x:c r="AE29" s="36"/>
      <x:c r="AF29" s="44" t="str">
        <x:v>2026-07-10</x:v>
      </x:c>
      <x:c r="AG29" s="36"/>
      <x:c r="AH29" s="54"/>
      <x:c r="AI29" s="54"/>
      <x:c r="AJ29" s="53" t="str">
        <x:v>착수 전</x:v>
      </x:c>
    </x:row>
    <x:row r="30" ht="42" customHeight="1">
      <x:c r="A30" s="36" t="str">
        <x:v>CNT-029</x:v>
      </x:c>
      <x:c r="B30" s="36" t="str">
        <x:v>콘텐츠·맵·미니게임</x:v>
      </x:c>
      <x:c r="C30" s="36" t="str">
        <x:v>확장</x:v>
      </x:c>
      <x:c r="D30" s="36" t="str">
        <x:v>카메라 아이템</x:v>
      </x:c>
      <x:c r="E30" s="36" t="str">
        <x:v>사진 메모 카메라·촬영 지점</x:v>
      </x:c>
      <x:c r="F30" s="36" t="str">
        <x:v>게임 규칙, 운영 요구사항과 대상 플랫폼 제약을 충족하도록 사진 메모 카메라·촬영 지점 기능을 구현하고 검증한다.</x:v>
      </x:c>
      <x:c r="G30" s="36" t="str">
        <x:v>무작위 출현, 획득, 2회 사용, 좁은 화각, 흐림, 대상 거리 규칙을 맵·아이템 데이터로 정의해 확정 증거가 지나치게 강해지지 않도록 한다.</x:v>
      </x:c>
      <x:c r="H30" s="36" t="str">
        <x:v>구현, 코드 리뷰, 사양 갱신, 대상 QA 케이스 실행, 로그·텔레메트리 확인과 관련 플랫폼 검증을 완료하고 미해결 P0·P1 결함이 없다.</x:v>
      </x:c>
      <x:c r="I30" s="36" t="str">
        <x:v>출시 후</x:v>
      </x:c>
      <x:c r="J30" s="36" t="str">
        <x:v>P2</x:v>
      </x:c>
      <x:c r="K30" s="36" t="str">
        <x:v>조건부</x:v>
      </x:c>
      <x:c r="L30" s="36" t="str">
        <x:v>확장</x:v>
      </x:c>
      <x:c r="M30" s="36" t="str">
        <x:v>출시 후</x:v>
      </x:c>
      <x:c r="N30" s="36" t="str">
        <x:v>레벨·게임 디자인</x:v>
      </x:c>
      <x:c r="O30" s="36" t="str">
        <x:v>미정</x:v>
      </x:c>
      <x:c r="P30" s="36" t="str">
        <x:v>미정</x:v>
      </x:c>
      <x:c r="Q30" s="36" t="str">
        <x:v>전체</x:v>
      </x:c>
      <x:c r="R30" s="36" t="str">
        <x:v>서버 권한</x:v>
      </x:c>
      <x:c r="S30" s="36" t="str">
        <x:v>매치</x:v>
      </x:c>
      <x:c r="T30" s="36" t="str">
        <x:v>XL</x:v>
      </x:c>
      <x:c r="U30" s="36" t="str">
        <x:v>미착수</x:v>
      </x:c>
      <x:c r="V30" s="46" t="n">
        <x:f>IF(U30="완료",1,IF(U30="QA 진행 중",0.8,IF(U30="코드 리뷰",0.65,IF(U30="구현 중",0.4,IF(U30="사양 확인 중",0.1,IF(U30="차단",0.4,0))))))</x:f>
        <x:v>0</x:v>
      </x:c>
      <x:c r="W30" s="36" t="str">
        <x:v>미정</x:v>
      </x:c>
      <x:c r="X30" s="44"/>
      <x:c r="Y30" s="36" t="str">
        <x:v>CNT-002,IGM-034,UIX-030</x:v>
      </x:c>
      <x:c r="Z30" s="36" t="str">
        <x:v>높음</x:v>
      </x:c>
      <x:c r="AA30" s="36" t="str">
        <x:v>밸런스</x:v>
      </x:c>
      <x:c r="AB30" s="36" t="str">
        <x:v>TC-CNT-029-01</x:v>
      </x:c>
      <x:c r="AC30" s="36"/>
      <x:c r="AD30" s="36" t="str">
        <x:v>게임 기획서</x:v>
      </x:c>
      <x:c r="AE30" s="36"/>
      <x:c r="AF30" s="44" t="str">
        <x:v>2026-07-10</x:v>
      </x:c>
      <x:c r="AG30" s="36"/>
      <x:c r="AH30" s="54"/>
      <x:c r="AI30" s="54"/>
      <x:c r="AJ30" s="53" t="str">
        <x:v>착수 전</x:v>
      </x:c>
    </x:row>
    <x:row r="31" ht="42" customHeight="1">
      <x:c r="A31" s="36" t="str">
        <x:v>CNT-030</x:v>
      </x:c>
      <x:c r="B31" s="36" t="str">
        <x:v>콘텐츠·맵·미니게임</x:v>
      </x:c>
      <x:c r="C31" s="36" t="str">
        <x:v>확장</x:v>
      </x:c>
      <x:c r="D31" s="36" t="str">
        <x:v>2인 미니게임</x:v>
      </x:c>
      <x:c r="E31" s="36" t="str">
        <x:v>2인 협동 미니게임 템플릿</x:v>
      </x:c>
      <x:c r="F31" s="36" t="str">
        <x:v>게임 규칙, 운영 요구사항과 대상 플랫폼 제약을 충족하도록 2인 협동 미니게임 템플릿 기능을 구현하고 검증한다.</x:v>
      </x:c>
      <x:c r="G31" s="36" t="str">
        <x:v>참가 대기, 동기화 시작, 역할별 UI, 동시 입력, 한쪽 이탈, 성공 시 양쪽 보상을 공통화하고 마피아도 참가할 수 있다.</x:v>
      </x:c>
      <x:c r="H31" s="36" t="str">
        <x:v>구현, 코드 리뷰, 사양 갱신, 대상 QA 케이스 실행, 로그·텔레메트리 확인과 관련 플랫폼 검증을 완료하고 미해결 P0·P1 결함이 없다.</x:v>
      </x:c>
      <x:c r="I31" s="36" t="str">
        <x:v>출시 후</x:v>
      </x:c>
      <x:c r="J31" s="36" t="str">
        <x:v>P2</x:v>
      </x:c>
      <x:c r="K31" s="36" t="str">
        <x:v>조건부</x:v>
      </x:c>
      <x:c r="L31" s="36" t="str">
        <x:v>확장</x:v>
      </x:c>
      <x:c r="M31" s="36" t="str">
        <x:v>출시 후</x:v>
      </x:c>
      <x:c r="N31" s="36" t="str">
        <x:v>레벨·게임 디자인</x:v>
      </x:c>
      <x:c r="O31" s="36" t="str">
        <x:v>미정</x:v>
      </x:c>
      <x:c r="P31" s="36" t="str">
        <x:v>미정</x:v>
      </x:c>
      <x:c r="Q31" s="36" t="str">
        <x:v>전체</x:v>
      </x:c>
      <x:c r="R31" s="36" t="str">
        <x:v>서버 권한</x:v>
      </x:c>
      <x:c r="S31" s="36" t="str">
        <x:v>매치</x:v>
      </x:c>
      <x:c r="T31" s="36" t="str">
        <x:v>XL</x:v>
      </x:c>
      <x:c r="U31" s="36" t="str">
        <x:v>미착수</x:v>
      </x:c>
      <x:c r="V31" s="46" t="n">
        <x:f>IF(U31="완료",1,IF(U31="QA 진행 중",0.8,IF(U31="코드 리뷰",0.65,IF(U31="구현 중",0.4,IF(U31="사양 확인 중",0.1,IF(U31="차단",0.4,0))))))</x:f>
        <x:v>0</x:v>
      </x:c>
      <x:c r="W31" s="36" t="str">
        <x:v>미정</x:v>
      </x:c>
      <x:c r="X31" s="44"/>
      <x:c r="Y31" s="36" t="str">
        <x:v>CNT-017,CNT-020,IGM-036</x:v>
      </x:c>
      <x:c r="Z31" s="36" t="str">
        <x:v>중간</x:v>
      </x:c>
      <x:c r="AA31" s="36" t="str">
        <x:v>네트워크</x:v>
      </x:c>
      <x:c r="AB31" s="36" t="str">
        <x:v>TC-CNT-030-01</x:v>
      </x:c>
      <x:c r="AC31" s="36"/>
      <x:c r="AD31" s="36" t="str">
        <x:v>게임 기획서</x:v>
      </x:c>
      <x:c r="AE31" s="36"/>
      <x:c r="AF31" s="44" t="str">
        <x:v>2026-07-10</x:v>
      </x:c>
      <x:c r="AG31" s="36"/>
      <x:c r="AH31" s="54"/>
      <x:c r="AI31" s="54"/>
      <x:c r="AJ31" s="53" t="str">
        <x:v>착수 전</x:v>
      </x:c>
    </x:row>
    <x:row r="32" ht="42" customHeight="1">
      <x:c r="A32" s="36" t="str">
        <x:v>CNT-031</x:v>
      </x:c>
      <x:c r="B32" s="36" t="str">
        <x:v>콘텐츠·맵·미니게임</x:v>
      </x:c>
      <x:c r="C32" s="36" t="str">
        <x:v>분석</x:v>
      </x:c>
      <x:c r="D32" s="36" t="str">
        <x:v>밸런스 이벤트</x:v>
      </x:c>
      <x:c r="E32" s="36" t="str">
        <x:v>미니게임·맵 행동 분석 이벤트</x:v>
      </x:c>
      <x:c r="F32" s="36" t="str">
        <x:v>게임 규칙, 운영 요구사항과 대상 플랫폼 제약을 충족하도록 미니게임·맵 행동 분석 이벤트 기능을 구현하고 검증한다.</x:v>
      </x:c>
      <x:c r="G32" s="36" t="str">
        <x:v>시작, 성공, 실패, 시간, 위치, 참가자, 보상, 이탈을 익명화해 수집하고 역할·승률 상관 분석은 접근 권한으로 제한한다.</x:v>
      </x:c>
      <x:c r="H32" s="36" t="str">
        <x:v>구현, 코드 리뷰, 사양 갱신, 대상 QA 케이스 실행, 로그·텔레메트리 확인과 관련 플랫폼 검증을 완료하고 미해결 P0·P1 결함이 없다.</x:v>
      </x:c>
      <x:c r="I32" s="36" t="str">
        <x:v>알파</x:v>
      </x:c>
      <x:c r="J32" s="36" t="str">
        <x:v>P1</x:v>
      </x:c>
      <x:c r="K32" s="36" t="str">
        <x:v>필수</x:v>
      </x:c>
      <x:c r="L32" s="36" t="str">
        <x:v>분석</x:v>
      </x:c>
      <x:c r="M32" s="36" t="str">
        <x:v>알파</x:v>
      </x:c>
      <x:c r="N32" s="36" t="str">
        <x:v>레벨·게임 디자인</x:v>
      </x:c>
      <x:c r="O32" s="36" t="str">
        <x:v>미정</x:v>
      </x:c>
      <x:c r="P32" s="36" t="str">
        <x:v>미정</x:v>
      </x:c>
      <x:c r="Q32" s="36" t="str">
        <x:v>전체</x:v>
      </x:c>
      <x:c r="R32" s="36" t="str">
        <x:v>백엔드 권한</x:v>
      </x:c>
      <x:c r="S32" s="36" t="str">
        <x:v>백엔드</x:v>
      </x:c>
      <x:c r="T32" s="36" t="str">
        <x:v>M</x:v>
      </x:c>
      <x:c r="U32" s="36" t="str">
        <x:v>미착수</x:v>
      </x:c>
      <x:c r="V32" s="46" t="n">
        <x:f>IF(U32="완료",1,IF(U32="QA 진행 중",0.8,IF(U32="코드 리뷰",0.65,IF(U32="구현 중",0.4,IF(U32="사양 확인 중",0.1,IF(U32="차단",0.4,0))))))</x:f>
        <x:v>0</x:v>
      </x:c>
      <x:c r="W32" s="36" t="str">
        <x:v>미정</x:v>
      </x:c>
      <x:c r="X32" s="44"/>
      <x:c r="Y32" s="36" t="str">
        <x:v>CNT-020,BED-008</x:v>
      </x:c>
      <x:c r="Z32" s="36" t="str">
        <x:v>중간</x:v>
      </x:c>
      <x:c r="AA32" s="36" t="str">
        <x:v>운영</x:v>
      </x:c>
      <x:c r="AB32" s="36" t="str">
        <x:v>TC-CNT-031-01</x:v>
      </x:c>
      <x:c r="AC32" s="36"/>
      <x:c r="AD32" s="36" t="str">
        <x:v>게임 기획서</x:v>
      </x:c>
      <x:c r="AE32" s="36"/>
      <x:c r="AF32" s="44" t="str">
        <x:v>2026-07-10</x:v>
      </x:c>
      <x:c r="AG32" s="36"/>
      <x:c r="AH32" s="54"/>
      <x:c r="AI32" s="54"/>
      <x:c r="AJ32" s="53" t="str">
        <x:v>착수 전</x:v>
      </x:c>
    </x:row>
    <x:row r="33" ht="42" customHeight="1">
      <x:c r="A33" s="36" t="str">
        <x:v>CNT-032</x:v>
      </x:c>
      <x:c r="B33" s="36" t="str">
        <x:v>콘텐츠·맵·미니게임</x:v>
      </x:c>
      <x:c r="C33" s="36" t="str">
        <x:v>현지화</x:v>
      </x:c>
      <x:c r="D33" s="36" t="str">
        <x:v>콘텐츠 문구</x:v>
      </x:c>
      <x:c r="E33" s="36" t="str">
        <x:v>방 이름·미니게임 설명·문구 현지화</x:v>
      </x:c>
      <x:c r="F33" s="36" t="str">
        <x:v>게임 규칙, 운영 요구사항과 대상 플랫폼 제약을 충족하도록 방 이름·미니게임 설명·문구 현지화 기능을 구현하고 검증한다.</x:v>
      </x:c>
      <x:c r="G33" s="36" t="str">
        <x:v>문맥, 글자 수, 입력 아이콘, 도형 대체, 언어 대체 처리를 정의하고 언어 변경으로 문제 데이터의 정답이 달라지지 않는다.</x:v>
      </x:c>
      <x:c r="H33" s="36" t="str">
        <x:v>구현, 코드 리뷰, 사양 갱신, 대상 QA 케이스 실행, 로그·텔레메트리 확인과 관련 플랫폼 검증을 완료하고 미해결 P0·P1 결함이 없다.</x:v>
      </x:c>
      <x:c r="I33" s="36" t="str">
        <x:v>베타</x:v>
      </x:c>
      <x:c r="J33" s="36" t="str">
        <x:v>P1</x:v>
      </x:c>
      <x:c r="K33" s="36" t="str">
        <x:v>필수</x:v>
      </x:c>
      <x:c r="L33" s="36" t="str">
        <x:v>현지화</x:v>
      </x:c>
      <x:c r="M33" s="36" t="str">
        <x:v>베타</x:v>
      </x:c>
      <x:c r="N33" s="36" t="str">
        <x:v>레벨·게임 디자인</x:v>
      </x:c>
      <x:c r="O33" s="36" t="str">
        <x:v>미정</x:v>
      </x:c>
      <x:c r="P33" s="36" t="str">
        <x:v>미정</x:v>
      </x:c>
      <x:c r="Q33" s="36" t="str">
        <x:v>전체</x:v>
      </x:c>
      <x:c r="R33" s="36" t="str">
        <x:v>콘텐츠 데이터</x:v>
      </x:c>
      <x:c r="S33" s="36" t="str">
        <x:v>없음</x:v>
      </x:c>
      <x:c r="T33" s="36" t="str">
        <x:v>L</x:v>
      </x:c>
      <x:c r="U33" s="36" t="str">
        <x:v>미착수</x:v>
      </x:c>
      <x:c r="V33" s="46" t="n">
        <x:f>IF(U33="완료",1,IF(U33="QA 진행 중",0.8,IF(U33="코드 리뷰",0.65,IF(U33="구현 중",0.4,IF(U33="사양 확인 중",0.1,IF(U33="차단",0.4,0))))))</x:f>
        <x:v>0</x:v>
      </x:c>
      <x:c r="W33" s="36" t="str">
        <x:v>미정</x:v>
      </x:c>
      <x:c r="X33" s="44"/>
      <x:c r="Y33" s="36" t="str">
        <x:v>CNT-016,SET-004</x:v>
      </x:c>
      <x:c r="Z33" s="36" t="str">
        <x:v>중간</x:v>
      </x:c>
      <x:c r="AA33" s="36" t="str">
        <x:v>현지화</x:v>
      </x:c>
      <x:c r="AB33" s="36" t="str">
        <x:v>TC-CNT-032-01</x:v>
      </x:c>
      <x:c r="AC33" s="36"/>
      <x:c r="AD33" s="36" t="str">
        <x:v>게임 기획서</x:v>
      </x:c>
      <x:c r="AE33" s="36"/>
      <x:c r="AF33" s="44" t="str">
        <x:v>2026-07-10</x:v>
      </x:c>
      <x:c r="AG33" s="36"/>
      <x:c r="AH33" s="54"/>
      <x:c r="AI33" s="54"/>
      <x:c r="AJ33" s="53" t="str">
        <x:v>착수 전</x:v>
      </x:c>
    </x:row>
    <x:row r="34" ht="42" customHeight="1">
      <x:c r="A34" s="36" t="str">
        <x:v>CNT-033</x:v>
      </x:c>
      <x:c r="B34" s="36" t="str">
        <x:v>콘텐츠·맵·미니게임</x:v>
      </x:c>
      <x:c r="C34" s="36" t="str">
        <x:v>온보딩</x:v>
      </x:c>
      <x:c r="D34" s="36" t="str">
        <x:v>연습 콘텐츠</x:v>
      </x:c>
      <x:c r="E34" s="36" t="str">
        <x:v>튜토리얼 연습 공간·모의 메모</x:v>
      </x:c>
      <x:c r="F34" s="36" t="str">
        <x:v>게임 규칙, 운영 요구사항과 대상 플랫폼 제약을 충족하도록 튜토리얼 연습 공간·모의 메모 기능을 구현하고 검증한다.</x:v>
      </x:c>
      <x:c r="G34" s="36" t="str">
        <x:v>다른 플레이어 없이 이동, 타인 등 관찰, 메모 작성, 등 뒤 부착, 미니게임, 밤 투표를 순서대로 연습할 수 있다.</x:v>
      </x:c>
      <x:c r="H34" s="36" t="str">
        <x:v>구현, 코드 리뷰, 사양 갱신, 대상 QA 케이스 실행, 로그·텔레메트리 확인과 관련 플랫폼 검증을 완료하고 미해결 P0·P1 결함이 없다.</x:v>
      </x:c>
      <x:c r="I34" s="36" t="str">
        <x:v>알파</x:v>
      </x:c>
      <x:c r="J34" s="36" t="str">
        <x:v>P0</x:v>
      </x:c>
      <x:c r="K34" s="36" t="str">
        <x:v>필수</x:v>
      </x:c>
      <x:c r="L34" s="36" t="str">
        <x:v>이해도</x:v>
      </x:c>
      <x:c r="M34" s="36" t="str">
        <x:v>알파</x:v>
      </x:c>
      <x:c r="N34" s="36" t="str">
        <x:v>레벨·게임 디자인</x:v>
      </x:c>
      <x:c r="O34" s="36" t="str">
        <x:v>미정</x:v>
      </x:c>
      <x:c r="P34" s="36" t="str">
        <x:v>미정</x:v>
      </x:c>
      <x:c r="Q34" s="36" t="str">
        <x:v>전체</x:v>
      </x:c>
      <x:c r="R34" s="36" t="str">
        <x:v>클라이언트 로컬</x:v>
      </x:c>
      <x:c r="S34" s="36" t="str">
        <x:v>계정</x:v>
      </x:c>
      <x:c r="T34" s="36" t="str">
        <x:v>XL</x:v>
      </x:c>
      <x:c r="U34" s="36" t="str">
        <x:v>미착수</x:v>
      </x:c>
      <x:c r="V34" s="46" t="n">
        <x:f>IF(U34="완료",1,IF(U34="QA 진행 중",0.8,IF(U34="코드 리뷰",0.65,IF(U34="구현 중",0.4,IF(U34="사양 확인 중",0.1,IF(U34="차단",0.4,0))))))</x:f>
        <x:v>0</x:v>
      </x:c>
      <x:c r="W34" s="36" t="str">
        <x:v>미정</x:v>
      </x:c>
      <x:c r="X34" s="44"/>
      <x:c r="Y34" s="36" t="str">
        <x:v>UIX-027,IGM-012,IGM-016,CNT-023</x:v>
      </x:c>
      <x:c r="Z34" s="36" t="str">
        <x:v>중간</x:v>
      </x:c>
      <x:c r="AA34" s="36" t="str">
        <x:v>사용성</x:v>
      </x:c>
      <x:c r="AB34" s="36" t="str">
        <x:v>TC-CNT-033-01, TC-CNT-033-02</x:v>
      </x:c>
      <x:c r="AC34" s="36"/>
      <x:c r="AD34" s="36" t="str">
        <x:v>게임 기획서</x:v>
      </x:c>
      <x:c r="AE34" s="36"/>
      <x:c r="AF34" s="44" t="str">
        <x:v>2026-07-10</x:v>
      </x:c>
      <x:c r="AG34" s="36"/>
      <x:c r="AH34" s="54"/>
      <x:c r="AI34" s="54"/>
      <x:c r="AJ34" s="53" t="str">
        <x:v>착수 전</x:v>
      </x:c>
    </x:row>
    <x:row r="35" ht="42" customHeight="1">
      <x:c r="A35" s="36" t="str">
        <x:v>CNT-034</x:v>
      </x:c>
      <x:c r="B35" s="36" t="str">
        <x:v>콘텐츠·맵·미니게임</x:v>
      </x:c>
      <x:c r="C35" s="36" t="str">
        <x:v>접근성</x:v>
      </x:c>
      <x:c r="D35" s="36" t="str">
        <x:v>콘텐츠 검토</x:v>
      </x:c>
      <x:c r="E35" s="36" t="str">
        <x:v>맵·미니게임 접근성 리뷰</x:v>
      </x:c>
      <x:c r="F35" s="36" t="str">
        <x:v>게임 규칙, 운영 요구사항과 대상 플랫폼 제약을 충족하도록 맵·미니게임 접근성 리뷰 기능을 구현하고 검증한다.</x:v>
      </x:c>
      <x:c r="G35" s="36" t="str">
        <x:v>색상, 점멸, 정밀 조작, 시간 제한, 소리 의존, 글자 크기, 운동 부담을 검토하고 대체 정보와 입력 방식을 구현한다.</x:v>
      </x:c>
      <x:c r="H35" s="36" t="str">
        <x:v>구현, 코드 리뷰, 사양 갱신, 대상 QA 케이스 실행, 로그·텔레메트리 확인과 관련 플랫폼 검증을 완료하고 미해결 P0·P1 결함이 없다.</x:v>
      </x:c>
      <x:c r="I35" s="36" t="str">
        <x:v>베타</x:v>
      </x:c>
      <x:c r="J35" s="36" t="str">
        <x:v>P0</x:v>
      </x:c>
      <x:c r="K35" s="36" t="str">
        <x:v>필수</x:v>
      </x:c>
      <x:c r="L35" s="36" t="str">
        <x:v>접근성</x:v>
      </x:c>
      <x:c r="M35" s="36" t="str">
        <x:v>베타</x:v>
      </x:c>
      <x:c r="N35" s="36" t="str">
        <x:v>레벨·게임 디자인</x:v>
      </x:c>
      <x:c r="O35" s="36" t="str">
        <x:v>미정</x:v>
      </x:c>
      <x:c r="P35" s="36" t="str">
        <x:v>미정</x:v>
      </x:c>
      <x:c r="Q35" s="36" t="str">
        <x:v>전체</x:v>
      </x:c>
      <x:c r="R35" s="36" t="str">
        <x:v>해당 없음</x:v>
      </x:c>
      <x:c r="S35" s="36" t="str">
        <x:v>감사 로그</x:v>
      </x:c>
      <x:c r="T35" s="36" t="str">
        <x:v>M</x:v>
      </x:c>
      <x:c r="U35" s="36" t="str">
        <x:v>미착수</x:v>
      </x:c>
      <x:c r="V35" s="46" t="n">
        <x:f>IF(U35="완료",1,IF(U35="QA 진행 중",0.8,IF(U35="코드 리뷰",0.65,IF(U35="구현 중",0.4,IF(U35="사양 확인 중",0.1,IF(U35="차단",0.4,0))))))</x:f>
        <x:v>0</x:v>
      </x:c>
      <x:c r="W35" s="36" t="str">
        <x:v>미정</x:v>
      </x:c>
      <x:c r="X35" s="44"/>
      <x:c r="Y35" s="36" t="str">
        <x:v>CNT-011,CNT-021,CNT-025,SET-023,SET-024,SET-025</x:v>
      </x:c>
      <x:c r="Z35" s="36" t="str">
        <x:v>중간</x:v>
      </x:c>
      <x:c r="AA35" s="36" t="str">
        <x:v>접근성</x:v>
      </x:c>
      <x:c r="AB35" s="36" t="str">
        <x:v>TC-CNT-034-01, TC-CNT-034-02</x:v>
      </x:c>
      <x:c r="AC35" s="36"/>
      <x:c r="AD35" s="36" t="str">
        <x:v>게임 기획서</x:v>
      </x:c>
      <x:c r="AE35" s="36"/>
      <x:c r="AF35" s="44" t="str">
        <x:v>2026-07-10</x:v>
      </x:c>
      <x:c r="AG35" s="36"/>
      <x:c r="AH35" s="54"/>
      <x:c r="AI35" s="54"/>
      <x:c r="AJ35" s="53" t="str">
        <x:v>착수 전</x:v>
      </x:c>
    </x:row>
    <x:row r="36" ht="42" customHeight="1">
      <x:c r="A36" s="36" t="str">
        <x:v>CNT-035</x:v>
      </x:c>
      <x:c r="B36" s="36" t="str">
        <x:v>콘텐츠·맵·미니게임</x:v>
      </x:c>
      <x:c r="C36" s="36" t="str">
        <x:v>출시 후</x:v>
      </x:c>
      <x:c r="D36" s="36" t="str">
        <x:v>추가 맵</x:v>
      </x:c>
      <x:c r="E36" s="36" t="str">
        <x:v>추가 맵 제작·호환성 게이트</x:v>
      </x:c>
      <x:c r="F36" s="36" t="str">
        <x:v>게임 규칙, 운영 요구사항과 대상 플랫폼 제약을 충족하도록 추가 맵 제작·호환성 게이트 기능을 구현하고 검증한다.</x:v>
      </x:c>
      <x:c r="G36" s="36" t="str">
        <x:v>새 맵은 이동 시간, 대화 범위, 중앙 관찰, 부착 여유 공간, 단말 배치, 성능, 판독성 게이트를 모두 통과한다.</x:v>
      </x:c>
      <x:c r="H36" s="36" t="str">
        <x:v>구현, 코드 리뷰, 사양 갱신, 대상 QA 케이스 실행, 로그·텔레메트리 확인과 관련 플랫폼 검증을 완료하고 미해결 P0·P1 결함이 없다.</x:v>
      </x:c>
      <x:c r="I36" s="36" t="str">
        <x:v>출시 후</x:v>
      </x:c>
      <x:c r="J36" s="36" t="str">
        <x:v>P3</x:v>
      </x:c>
      <x:c r="K36" s="36" t="str">
        <x:v>조건부</x:v>
      </x:c>
      <x:c r="L36" s="36" t="str">
        <x:v>확장</x:v>
      </x:c>
      <x:c r="M36" s="36" t="str">
        <x:v>출시 후</x:v>
      </x:c>
      <x:c r="N36" s="36" t="str">
        <x:v>레벨·게임 디자인</x:v>
      </x:c>
      <x:c r="O36" s="36" t="str">
        <x:v>미정</x:v>
      </x:c>
      <x:c r="P36" s="36" t="str">
        <x:v>미정</x:v>
      </x:c>
      <x:c r="Q36" s="36" t="str">
        <x:v>전체</x:v>
      </x:c>
      <x:c r="R36" s="36" t="str">
        <x:v>콘텐츠 데이터</x:v>
      </x:c>
      <x:c r="S36" s="36" t="str">
        <x:v>없음</x:v>
      </x:c>
      <x:c r="T36" s="36" t="str">
        <x:v>XL</x:v>
      </x:c>
      <x:c r="U36" s="36" t="str">
        <x:v>미착수</x:v>
      </x:c>
      <x:c r="V36" s="46" t="n">
        <x:f>IF(U36="완료",1,IF(U36="QA 진행 중",0.8,IF(U36="코드 리뷰",0.65,IF(U36="구현 중",0.4,IF(U36="사양 확인 중",0.1,IF(U36="차단",0.4,0))))))</x:f>
        <x:v>0</x:v>
      </x:c>
      <x:c r="W36" s="36" t="str">
        <x:v>미정</x:v>
      </x:c>
      <x:c r="X36" s="44"/>
      <x:c r="Y36" s="36" t="str">
        <x:v>CNT-001,CNT-015,CNT-034</x:v>
      </x:c>
      <x:c r="Z36" s="36" t="str">
        <x:v>중간</x:v>
      </x:c>
      <x:c r="AA36" s="36" t="str">
        <x:v>밸런스</x:v>
      </x:c>
      <x:c r="AB36" s="36" t="str">
        <x:v>TC-CNT-035-01</x:v>
      </x:c>
      <x:c r="AC36" s="36"/>
      <x:c r="AD36" s="36" t="str">
        <x:v>게임 기획서</x:v>
      </x:c>
      <x:c r="AE36" s="36"/>
      <x:c r="AF36" s="44" t="str">
        <x:v>2026-07-10</x:v>
      </x:c>
      <x:c r="AG36" s="36"/>
      <x:c r="AH36" s="54"/>
      <x:c r="AI36" s="54"/>
      <x:c r="AJ36" s="53" t="str">
        <x:v>착수 전</x:v>
      </x:c>
    </x:row>
  </x:sheetData>
  <x:conditionalFormatting sqref="U2:U36">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6">
    <x:cfRule type="expression" dxfId="6" priority="7">
      <x:formula>J2="P0"</x:formula>
    </x:cfRule>
    <x:cfRule type="expression" dxfId="7" priority="8">
      <x:formula>J2="P1"</x:formula>
    </x:cfRule>
  </x:conditionalFormatting>
  <x:conditionalFormatting sqref="Z2:Z36">
    <x:cfRule type="expression" dxfId="8" priority="9">
      <x:formula>Z2="높음"</x:formula>
    </x:cfRule>
    <x:cfRule type="expression" dxfId="9" priority="10">
      <x:formula>Z2="중간"</x:formula>
    </x:cfRule>
  </x:conditionalFormatting>
  <x:conditionalFormatting sqref="AJ2:AJ36">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6">
      <x:formula1>"MVP,알파,베타,릴리스 후보,출시,출시 후,대상 제외"</x:formula1>
    </x:dataValidation>
    <x:dataValidation type="list" sqref="J2:J36">
      <x:formula1>"P0,P1,P2,P3"</x:formula1>
    </x:dataValidation>
    <x:dataValidation type="list" sqref="K2:K36">
      <x:formula1>"필수,조건부,권장,대상 제외"</x:formula1>
    </x:dataValidation>
    <x:dataValidation type="list" sqref="Q2:Q36">
      <x:formula1>"전체,PC,콘솔,모바일,서버,백엔드,도구,웹·관리자"</x:formula1>
    </x:dataValidation>
    <x:dataValidation type="list" sqref="R2:R36">
      <x:formula1>"서버 권한,클라이언트 예측·서버 검증,클라이언트 로컬,백엔드 권한,호스트 권한,콘텐츠 데이터,해당 없음"</x:formula1>
    </x:dataValidation>
    <x:dataValidation type="list" sqref="S2:S36">
      <x:formula1>"없음,세션,매치,계정,단말 로컬,백엔드,감사 로그"</x:formula1>
    </x:dataValidation>
    <x:dataValidation type="list" sqref="T2:T36">
      <x:formula1>"XS,S,M,L,XL,분할 필요"</x:formula1>
    </x:dataValidation>
    <x:dataValidation type="list" sqref="U2:U36">
      <x:formula1>"미착수,사양 확인 중,구현 중,코드 리뷰,QA 진행 중,차단,완료,보류"</x:formula1>
    </x:dataValidation>
    <x:dataValidation type="list" sqref="Z2:Z36">
      <x:formula1>"높음,중간,낮음"</x:formula1>
    </x:dataValidation>
    <x:dataValidation type="list" sqref="AA2:AA36">
      <x:formula1>"기능,통합,경계값,네트워크,보안,성능,호환성,사용성,접근성,현지화,밸런스,운영,안전,부하"</x:formula1>
    </x:dataValidation>
    <x:dataValidation type="list" sqref="AJ2:AJ36">
      <x:formula1>"착수 전,작업 중,완료"</x:formula1>
    </x:dataValidation>
  </x:dataValidations>
  <x:pageMargins left="0.7" right="0.7" top="0.75" bottom="0.75" header="0.3" footer="0.3"/>
  <x:tableParts count="1">
    <x:tablePart xmlns:r="http://schemas.openxmlformats.org/officeDocument/2006/relationships" r:id="R1a61ddad1b1f42e0"/>
  </x:tableParts>
</x:worksheet>
</file>

<file path=xl/worksheets/sheet3.xml><?xml version="1.0" encoding="utf-8"?>
<x:worksheet xmlns:x="http://schemas.openxmlformats.org/spreadsheetml/2006/main">
  <x:sheetFormatPr defaultRowHeight="15"/>
  <x:cols>
    <x:col min="1" max="1" width="20" hidden="0" customWidth="1"/>
    <x:col min="2" max="2" width="18" hidden="0" customWidth="1"/>
    <x:col min="3" max="3" width="44" hidden="0" customWidth="1"/>
    <x:col min="4" max="4" width="32" hidden="0" customWidth="1"/>
    <x:col min="5" max="5" width="22" hidden="0" customWidth="1"/>
    <x:col min="6" max="6" width="22" hidden="0" customWidth="1"/>
    <x:col min="7" max="7" width="24" hidden="0" customWidth="1"/>
    <x:col min="8" max="8" width="14" hidden="0" customWidth="1"/>
  </x:cols>
  <x:sheetData>
    <x:row r="1" ht="30" customHeight="1">
      <x:c r="A1" s="40" t="str">
        <x:v>요구사항 ID</x:v>
      </x:c>
      <x:c r="B1" s="40" t="str">
        <x:v>범주</x:v>
      </x:c>
      <x:c r="C1" s="40" t="str">
        <x:v>요구사항</x:v>
      </x:c>
      <x:c r="D1" s="40" t="str">
        <x:v>측정 방법</x:v>
      </x:c>
      <x:c r="E1" s="40" t="str">
        <x:v>목표·범위</x:v>
      </x:c>
      <x:c r="F1" s="40" t="str">
        <x:v>담당</x:v>
      </x:c>
      <x:c r="G1" s="40" t="str">
        <x:v>관련 ID</x:v>
      </x:c>
      <x:c r="H1" s="40" t="str">
        <x:v>상태</x:v>
      </x:c>
    </x:row>
    <x:row r="2" ht="42" customHeight="1">
      <x:c r="A2" s="36" t="str">
        <x:v>MAP-001</x:v>
      </x:c>
      <x:c r="B2" s="36" t="str">
        <x:v>이동</x:v>
      </x:c>
      <x:c r="C2" s="36" t="str">
        <x:v>주요 지점 간 이동 시간</x:v>
      </x:c>
      <x:c r="D2" s="36" t="str">
        <x:v>플레이 경로 측정</x:v>
      </x:c>
      <x:c r="E2" s="36" t="str">
        <x:v>8~20초 잠정</x:v>
      </x:c>
      <x:c r="F2" s="36" t="str">
        <x:v>레벨 디자인</x:v>
      </x:c>
      <x:c r="G2" s="36" t="str">
        <x:v>CNT-002</x:v>
      </x:c>
      <x:c r="H2" s="36" t="str">
        <x:v>미측정</x:v>
      </x:c>
    </x:row>
    <x:row r="3" ht="42" customHeight="1">
      <x:c r="A3" s="36" t="str">
        <x:v>MAP-002</x:v>
      </x:c>
      <x:c r="B3" s="36" t="str">
        <x:v>대화</x:v>
      </x:c>
      <x:c r="C3" s="36" t="str">
        <x:v>근거리 대화의 지역성</x:v>
      </x:c>
      <x:c r="D3" s="36" t="str">
        <x:v>음향 히트맵</x:v>
      </x:c>
      <x:c r="E3" s="36" t="str">
        <x:v>방 단위로 분리</x:v>
      </x:c>
      <x:c r="F3" s="36" t="str">
        <x:v>오디오·레벨 디자인</x:v>
      </x:c>
      <x:c r="G3" s="36" t="str">
        <x:v>CNT-005,CNT-007</x:v>
      </x:c>
      <x:c r="H3" s="36" t="str">
        <x:v>미측정</x:v>
      </x:c>
    </x:row>
    <x:row r="4" ht="42" customHeight="1">
      <x:c r="A4" s="36" t="str">
        <x:v>MAP-003</x:v>
      </x:c>
      <x:c r="B4" s="36" t="str">
        <x:v>밤</x:v>
      </x:c>
      <x:c r="C4" s="36" t="str">
        <x:v>모든 생존자의 등 메모 시인성</x:v>
      </x:c>
      <x:c r="D4" s="36" t="str">
        <x:v>카메라·겹침 시험</x:v>
      </x:c>
      <x:c r="E4" s="36" t="str">
        <x:v>4~6명 전원 판독 가능</x:v>
      </x:c>
      <x:c r="F4" s="36" t="str">
        <x:v>레벨 디자인·UX</x:v>
      </x:c>
      <x:c r="G4" s="36" t="str">
        <x:v>CNT-003</x:v>
      </x:c>
      <x:c r="H4" s="36" t="str">
        <x:v>미측정</x:v>
      </x:c>
    </x:row>
    <x:row r="5" ht="42" customHeight="1">
      <x:c r="A5" s="36" t="str">
        <x:v>MAP-004</x:v>
      </x:c>
      <x:c r="B5" s="36" t="str">
        <x:v>메모 부착</x:v>
      </x:c>
      <x:c r="C5" s="36" t="str">
        <x:v>등 뒤 여유 공간</x:v>
      </x:c>
      <x:c r="D5" s="36" t="str">
        <x:v>자동 내비게이션·폭 검사</x:v>
      </x:c>
      <x:c r="E5" s="36" t="str">
        <x:v>모든 단말 주변에서 부착 가능</x:v>
      </x:c>
      <x:c r="F5" s="36" t="str">
        <x:v>레벨 디자인·게임플레이</x:v>
      </x:c>
      <x:c r="G5" s="36" t="str">
        <x:v>CNT-008</x:v>
      </x:c>
      <x:c r="H5" s="36" t="str">
        <x:v>미측정</x:v>
      </x:c>
    </x:row>
    <x:row r="6" ht="42" customHeight="1">
      <x:c r="A6" s="36" t="str">
        <x:v>MAP-005</x:v>
      </x:c>
      <x:c r="B6" s="36" t="str">
        <x:v>판독성</x:v>
      </x:c>
      <x:c r="C6" s="36" t="str">
        <x:v>메모 색상·문구 시인성</x:v>
      </x:c>
      <x:c r="D6" s="36" t="str">
        <x:v>거리·조명·FOV 시험</x:v>
      </x:c>
      <x:c r="E6" s="36" t="str">
        <x:v>기준 거리에서 합격</x:v>
      </x:c>
      <x:c r="F6" s="36" t="str">
        <x:v>아트·UX</x:v>
      </x:c>
      <x:c r="G6" s="36" t="str">
        <x:v>CNT-011,CNT-013</x:v>
      </x:c>
      <x:c r="H6" s="36" t="str">
        <x:v>미측정</x:v>
      </x:c>
    </x:row>
    <x:row r="7" ht="42" customHeight="1">
      <x:c r="A7" s="36" t="str">
        <x:v>MAP-006</x:v>
      </x:c>
      <x:c r="B7" s="36" t="str">
        <x:v>성능</x:v>
      </x:c>
      <x:c r="C7" s="36" t="str">
        <x:v>최악 조건 FPS</x:v>
      </x:c>
      <x:c r="D7" s="36" t="str">
        <x:v>실제 기기 프로파일</x:v>
      </x:c>
      <x:c r="E7" s="36" t="str">
        <x:v>플랫폼 목표 충족</x:v>
      </x:c>
      <x:c r="F7" s="36" t="str">
        <x:v>테크 아트</x:v>
      </x:c>
      <x:c r="G7" s="36" t="str">
        <x:v>CNT-014</x:v>
      </x:c>
      <x:c r="H7" s="36" t="str">
        <x:v>미측정</x:v>
      </x:c>
    </x:row>
  </x:sheetData>
  <x:pageMargins left="0.7" right="0.7" top="0.75" bottom="0.75" header="0.3" footer="0.3"/>
  <x:tableParts count="1">
    <x:tablePart xmlns:r="http://schemas.openxmlformats.org/officeDocument/2006/relationships" r:id="Rf76dd198fff84471"/>
  </x:tableParts>
</x:worksheet>
</file>

<file path=xl/worksheets/sheet4.xml><?xml version="1.0" encoding="utf-8"?>
<x:worksheet xmlns:x="http://schemas.openxmlformats.org/spreadsheetml/2006/main">
  <x:sheetFormatPr defaultRowHeight="15"/>
  <x:cols>
    <x:col min="1" max="1" width="18" hidden="0" customWidth="1"/>
    <x:col min="2" max="2" width="24" hidden="0" customWidth="1"/>
    <x:col min="3" max="3" width="10" hidden="0" customWidth="1"/>
    <x:col min="4" max="4" width="18" hidden="0" customWidth="1"/>
    <x:col min="5" max="5" width="16" hidden="0" customWidth="1"/>
    <x:col min="6" max="6" width="18" hidden="0" customWidth="1"/>
    <x:col min="7" max="7" width="16" hidden="0" customWidth="1"/>
    <x:col min="8" max="8" width="16" hidden="0" customWidth="1"/>
    <x:col min="9" max="9" width="24" hidden="0" customWidth="1"/>
    <x:col min="10" max="10" width="10" hidden="0" customWidth="1"/>
    <x:col min="11" max="11" width="18" hidden="0" customWidth="1"/>
  </x:cols>
  <x:sheetData>
    <x:row r="1" ht="30" customHeight="1">
      <x:c r="A1" s="40" t="str">
        <x:v>미니게임 ID</x:v>
      </x:c>
      <x:c r="B1" s="40" t="str">
        <x:v>이름</x:v>
      </x:c>
      <x:c r="C1" s="40" t="str">
        <x:v>인원</x:v>
      </x:c>
      <x:c r="D1" s="40" t="str">
        <x:v>입력</x:v>
      </x:c>
      <x:c r="E1" s="40" t="str">
        <x:v>목표 시간</x:v>
      </x:c>
      <x:c r="F1" s="40" t="str">
        <x:v>난이도</x:v>
      </x:c>
      <x:c r="G1" s="40" t="str">
        <x:v>보상</x:v>
      </x:c>
      <x:c r="H1" s="40" t="str">
        <x:v>서버 검증</x:v>
      </x:c>
      <x:c r="I1" s="40" t="str">
        <x:v>접근성</x:v>
      </x:c>
      <x:c r="J1" s="40" t="str">
        <x:v>MVP</x:v>
      </x:c>
      <x:c r="K1" s="40" t="str">
        <x:v>관련 ID</x:v>
      </x:c>
    </x:row>
    <x:row r="2" ht="42" customHeight="1">
      <x:c r="A2" s="36" t="str">
        <x:v>MG-001</x:v>
      </x:c>
      <x:c r="B2" s="36" t="str">
        <x:v>같은 그림 찾기</x:v>
      </x:c>
      <x:c r="C2" s="36" t="n">
        <x:v>1</x:v>
      </x:c>
      <x:c r="D2" s="36" t="str">
        <x:v>포인터·선택</x:v>
      </x:c>
      <x:c r="E2" s="36" t="str">
        <x:v>10~20초</x:v>
      </x:c>
      <x:c r="F2" s="36" t="str">
        <x:v>쉬움·보통</x:v>
      </x:c>
      <x:c r="G2" s="36" t="str">
        <x:v>메모 1장</x:v>
      </x:c>
      <x:c r="H2" s="36" t="str">
        <x:v>예</x:v>
      </x:c>
      <x:c r="I2" s="36" t="str">
        <x:v>형태+아이콘</x:v>
      </x:c>
      <x:c r="J2" s="36" t="str">
        <x:v>예</x:v>
      </x:c>
      <x:c r="K2" s="36" t="str">
        <x:v>CNT-023</x:v>
      </x:c>
    </x:row>
    <x:row r="3" ht="42" customHeight="1">
      <x:c r="A3" s="36" t="str">
        <x:v>MG-002</x:v>
      </x:c>
      <x:c r="B3" s="36" t="str">
        <x:v>순서 입력</x:v>
      </x:c>
      <x:c r="C3" s="36" t="n">
        <x:v>1</x:v>
      </x:c>
      <x:c r="D3" s="36" t="str">
        <x:v>버튼</x:v>
      </x:c>
      <x:c r="E3" s="36" t="str">
        <x:v>10~20초</x:v>
      </x:c>
      <x:c r="F3" s="36" t="str">
        <x:v>쉬움·보통</x:v>
      </x:c>
      <x:c r="G3" s="36" t="str">
        <x:v>메모 1장</x:v>
      </x:c>
      <x:c r="H3" s="36" t="str">
        <x:v>예</x:v>
      </x:c>
      <x:c r="I3" s="36" t="str">
        <x:v>입력 재지정</x:v>
      </x:c>
      <x:c r="J3" s="36" t="str">
        <x:v>예</x:v>
      </x:c>
      <x:c r="K3" s="36" t="str">
        <x:v>CNT-024</x:v>
      </x:c>
    </x:row>
    <x:row r="4" ht="42" customHeight="1">
      <x:c r="A4" s="36" t="str">
        <x:v>MG-003</x:v>
      </x:c>
      <x:c r="B4" s="36" t="str">
        <x:v>색상·형태 맞추기</x:v>
      </x:c>
      <x:c r="C4" s="36" t="n">
        <x:v>1</x:v>
      </x:c>
      <x:c r="D4" s="36" t="str">
        <x:v>포인터·선택</x:v>
      </x:c>
      <x:c r="E4" s="36" t="str">
        <x:v>10~20초</x:v>
      </x:c>
      <x:c r="F4" s="36" t="str">
        <x:v>쉬움·보통</x:v>
      </x:c>
      <x:c r="G4" s="36" t="str">
        <x:v>메모 1장</x:v>
      </x:c>
      <x:c r="H4" s="36" t="str">
        <x:v>예</x:v>
      </x:c>
      <x:c r="I4" s="36" t="str">
        <x:v>색상 단독 사용 금지</x:v>
      </x:c>
      <x:c r="J4" s="36" t="str">
        <x:v>예</x:v>
      </x:c>
      <x:c r="K4" s="36" t="str">
        <x:v>CNT-025</x:v>
      </x:c>
    </x:row>
    <x:row r="5" ht="42" customHeight="1">
      <x:c r="A5" s="36" t="str">
        <x:v>MG-101</x:v>
      </x:c>
      <x:c r="B5" s="36" t="str">
        <x:v>동시 버튼</x:v>
      </x:c>
      <x:c r="C5" s="36" t="n">
        <x:v>2</x:v>
      </x:c>
      <x:c r="D5" s="36" t="str">
        <x:v>버튼</x:v>
      </x:c>
      <x:c r="E5" s="36" t="str">
        <x:v>15~25초</x:v>
      </x:c>
      <x:c r="F5" s="36" t="str">
        <x:v>보통</x:v>
      </x:c>
      <x:c r="G5" s="36" t="str">
        <x:v>각자 메모 1장</x:v>
      </x:c>
      <x:c r="H5" s="36" t="str">
        <x:v>예</x:v>
      </x:c>
      <x:c r="I5" s="36" t="str">
        <x:v>타이밍 여유 설정</x:v>
      </x:c>
      <x:c r="J5" s="36" t="str">
        <x:v>아니요</x:v>
      </x:c>
      <x:c r="K5" s="36" t="str">
        <x:v>CNT-030</x:v>
      </x:c>
    </x:row>
  </x:sheetData>
  <x:pageMargins left="0.7" right="0.7" top="0.75" bottom="0.75" header="0.3" footer="0.3"/>
  <x:tableParts count="1">
    <x:tablePart xmlns:r="http://schemas.openxmlformats.org/officeDocument/2006/relationships" r:id="R1c17ab62bb894484"/>
  </x:tableParts>
</x:worksheet>
</file>

<file path=xl/worksheets/sheet5.xml><?xml version="1.0" encoding="utf-8"?>
<x:worksheet xmlns:x="http://schemas.openxmlformats.org/spreadsheetml/2006/main">
  <x:sheetFormatPr defaultRowHeight="15"/>
  <x:cols>
    <x:col min="1" max="1" width="24" hidden="0" customWidth="1"/>
    <x:col min="2" max="2" width="38" hidden="0" customWidth="1"/>
    <x:col min="3" max="3" width="24" hidden="0" customWidth="1"/>
    <x:col min="4" max="4" width="30" hidden="0" customWidth="1"/>
    <x:col min="5" max="5" width="24" hidden="0" customWidth="1"/>
    <x:col min="6" max="6" width="16" hidden="0" customWidth="1"/>
    <x:col min="7" max="7" width="20" hidden="0" customWidth="1"/>
    <x:col min="8" max="8" width="20" hidden="0" customWidth="1"/>
  </x:cols>
  <x:sheetData>
    <x:row r="1" ht="30" customHeight="1">
      <x:c r="A1" s="40" t="str">
        <x:v>지표</x:v>
      </x:c>
      <x:c r="B1" s="40" t="str">
        <x:v>정의</x:v>
      </x:c>
      <x:c r="C1" s="40" t="str">
        <x:v>구분 기준</x:v>
      </x:c>
      <x:c r="D1" s="40" t="str">
        <x:v>목표·질문</x:v>
      </x:c>
      <x:c r="E1" s="40" t="str">
        <x:v>데이터 원천</x:v>
      </x:c>
      <x:c r="F1" s="40" t="str">
        <x:v>주기</x:v>
      </x:c>
      <x:c r="G1" s="40" t="str">
        <x:v>담당</x:v>
      </x:c>
      <x:c r="H1" s="40" t="str">
        <x:v>관련 ID</x:v>
      </x:c>
    </x:row>
    <x:row r="2" ht="42" customHeight="1">
      <x:c r="A2" s="36" t="str">
        <x:v>마피아 승률</x:v>
      </x:c>
      <x:c r="B2" s="36" t="str">
        <x:v>완료 매치 중 마피아 승리 비율</x:v>
      </x:c>
      <x:c r="C2" s="36" t="str">
        <x:v>인원·숙련도·설정</x:v>
      </x:c>
      <x:c r="D2" s="36" t="str">
        <x:v>초기 40~60%</x:v>
      </x:c>
      <x:c r="E2" s="36" t="str">
        <x:v>매치·텔레메트리</x:v>
      </x:c>
      <x:c r="F2" s="36" t="str">
        <x:v>주간</x:v>
      </x:c>
      <x:c r="G2" s="36" t="str">
        <x:v>게임 디자인</x:v>
      </x:c>
      <x:c r="H2" s="36" t="str">
        <x:v>QAR-017</x:v>
      </x:c>
    </x:row>
    <x:row r="3" ht="42" customHeight="1">
      <x:c r="A3" s="36" t="str">
        <x:v>평균 매치 시간</x:v>
      </x:c>
      <x:c r="B3" s="36" t="str">
        <x:v>매치 시작부터 결과까지</x:v>
      </x:c>
      <x:c r="C3" s="36" t="str">
        <x:v>인원·설정</x:v>
      </x:c>
      <x:c r="D3" s="36" t="str">
        <x:v>초기 12~20분</x:v>
      </x:c>
      <x:c r="E3" s="36" t="str">
        <x:v>매치</x:v>
      </x:c>
      <x:c r="F3" s="36" t="str">
        <x:v>주간</x:v>
      </x:c>
      <x:c r="G3" s="36" t="str">
        <x:v>게임 디자인</x:v>
      </x:c>
      <x:c r="H3" s="36" t="str">
        <x:v>QAR-017</x:v>
      </x:c>
    </x:row>
    <x:row r="4" ht="42" customHeight="1">
      <x:c r="A4" s="36" t="str">
        <x:v>투표 정확도</x:v>
      </x:c>
      <x:c r="B4" s="36" t="str">
        <x:v>각 밤의 마피아 대상 투표 비율</x:v>
      </x:c>
      <x:c r="C4" s="36" t="str">
        <x:v>일차·숙련도</x:v>
      </x:c>
      <x:c r="D4" s="36" t="str">
        <x:v>추세 관찰</x:v>
      </x:c>
      <x:c r="E4" s="36" t="str">
        <x:v>투표 이벤트</x:v>
      </x:c>
      <x:c r="F4" s="36" t="str">
        <x:v>주간</x:v>
      </x:c>
      <x:c r="G4" s="36" t="str">
        <x:v>게임 디자인</x:v>
      </x:c>
      <x:c r="H4" s="36" t="str">
        <x:v>IGM-023</x:v>
      </x:c>
    </x:row>
    <x:row r="5" ht="42" customHeight="1">
      <x:c r="A5" s="36" t="str">
        <x:v>위조 영향</x:v>
      </x:c>
      <x:c r="B5" s="36" t="str">
        <x:v>위조 메모 대상의 피투표 변화</x:v>
      </x:c>
      <x:c r="C5" s="36" t="str">
        <x:v>일차·색상</x:v>
      </x:c>
      <x:c r="D5" s="36" t="str">
        <x:v>정성 조사 병행</x:v>
      </x:c>
      <x:c r="E5" s="36" t="str">
        <x:v>메모·투표 이벤트</x:v>
      </x:c>
      <x:c r="F5" s="36" t="str">
        <x:v>플레이테스트</x:v>
      </x:c>
      <x:c r="G5" s="36" t="str">
        <x:v>게임 디자인</x:v>
      </x:c>
      <x:c r="H5" s="36" t="str">
        <x:v>IGM-014</x:v>
      </x:c>
    </x:row>
    <x:row r="6" ht="42" customHeight="1">
      <x:c r="A6" s="36" t="str">
        <x:v>미니게임 완료</x:v>
      </x:c>
      <x:c r="B6" s="36" t="str">
        <x:v>시작 대비 성공률·시간</x:v>
      </x:c>
      <x:c r="C6" s="36" t="str">
        <x:v>미니게임·입력</x:v>
      </x:c>
      <x:c r="D6" s="36" t="str">
        <x:v>극단적 차이 없음</x:v>
      </x:c>
      <x:c r="E6" s="36" t="str">
        <x:v>미니게임 이벤트</x:v>
      </x:c>
      <x:c r="F6" s="36" t="str">
        <x:v>주간</x:v>
      </x:c>
      <x:c r="G6" s="36" t="str">
        <x:v>콘텐츠 디자인</x:v>
      </x:c>
      <x:c r="H6" s="36" t="str">
        <x:v>CNT-026</x:v>
      </x:c>
    </x:row>
    <x:row r="7" ht="42" customHeight="1">
      <x:c r="A7" s="36" t="str">
        <x:v>연결 종료율</x:v>
      </x:c>
      <x:c r="B7" s="36" t="str">
        <x:v>세션당 연결 끊김 비율</x:v>
      </x:c>
      <x:c r="C7" s="36" t="str">
        <x:v>지역·버전·품질</x:v>
      </x:c>
      <x:c r="D7" s="36" t="str">
        <x:v>SLO에서 정의</x:v>
      </x:c>
      <x:c r="E7" s="36" t="str">
        <x:v>네트워크 이벤트</x:v>
      </x:c>
      <x:c r="F7" s="36" t="str">
        <x:v>일간</x:v>
      </x:c>
      <x:c r="G7" s="36" t="str">
        <x:v>온라인</x:v>
      </x:c>
      <x:c r="H7" s="36" t="str">
        <x:v>ONL-024</x:v>
      </x:c>
    </x:row>
  </x:sheetData>
  <x:pageMargins left="0.7" right="0.7" top="0.75" bottom="0.75" header="0.3" footer="0.3"/>
  <x:tableParts count="1">
    <x:tablePart xmlns:r="http://schemas.openxmlformats.org/officeDocument/2006/relationships" r:id="R5be95257184e4f30"/>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TC-CNT-001-01</x:v>
      </x:c>
      <x:c r="B2" s="36" t="str">
        <x:v>CNT-001</x:v>
      </x:c>
      <x:c r="C2" s="36" t="str">
        <x:v>콘텐츠·맵·미니게임</x:v>
      </x:c>
      <x:c r="D2" s="36" t="str">
        <x:v>정상 시나리오: MVP 맵 게임플레이 설계 원칙</x:v>
      </x:c>
      <x:c r="E2" s="36" t="str">
        <x:v>근거리 대화, 등 뒤 접근, 관찰, 분산, 재집결이 자연스럽게 발생하는 동선과 4~6명에서 과밀·과소가 되지 않는 면적 기준을 정의한다.</x:v>
      </x:c>
      <x:c r="F2" s="36" t="str">
        <x:v>대상 기능이 포함된 MVP 빌드, 필요한 테스트 계정·룸 설정·로그 접근 권한을 준비한다.</x:v>
      </x:c>
      <x:c r="G2" s="36" t="str">
        <x:v>1. 사전 조건 상태를 구성한다.
2. 표준 설정에서 다음 테스트 대상을 실행한다: MVP 맵 게임플레이 설계 원칙.
3. UI, 서버 상태와 로그·텔레메트리를 확인한다.
4. 필요하면 재입장 또는 재실행하여 재현성을 확인한다.</x:v>
      </x:c>
      <x:c r="H2" s="36" t="str">
        <x:v>근거리 대화, 등 뒤 접근, 관찰, 분산, 재집결이 자연스럽게 발생하는 동선과 4~6명에서 과밀·과소가 되지 않는 면적 기준을 정의한다.</x:v>
      </x:c>
      <x:c r="I2" s="36" t="str">
        <x:v>밸런스</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TC-CNT-001-02</x:v>
      </x:c>
      <x:c r="B3" s="36" t="str">
        <x:v>CNT-001</x:v>
      </x:c>
      <x:c r="C3" s="36" t="str">
        <x:v>콘텐츠·맵·미니게임</x:v>
      </x:c>
      <x:c r="D3" s="36" t="str">
        <x:v>예외·경계 시나리오: MVP 맵 게임플레이 설계 원칙</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MVP 맵 게임플레이 설계 원칙에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밸런스</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TC-CNT-002-01</x:v>
      </x:c>
      <x:c r="B4" s="36" t="str">
        <x:v>CNT-002</x:v>
      </x:c>
      <x:c r="C4" s="36" t="str">
        <x:v>콘텐츠·맵·미니게임</x:v>
      </x:c>
      <x:c r="D4" s="36" t="str">
        <x:v>정상 시나리오: 주요 순환 동선·이동 시간·분기</x:v>
      </x:c>
      <x:c r="E4" s="36" t="str">
        <x:v>주요 지점 사이의 이동 시간, 순환로 수, 막다른 길, 지름길을 측정하고 한 플레이어가 항상 추적할 수 있는 지나치게 단순한 구조를 피한다.</x:v>
      </x:c>
      <x:c r="F4" s="36" t="str">
        <x:v>대상 기능이 포함된 MVP 빌드, 필요한 테스트 계정·룸 설정·로그 접근 권한을 준비한다.</x:v>
      </x:c>
      <x:c r="G4" s="36" t="str">
        <x:v>1. 사전 조건 상태를 구성한다.
2. 표준 설정에서 다음 테스트 대상을 실행한다: 주요 순환 동선·이동 시간·분기.
3. UI, 서버 상태와 로그·텔레메트리를 확인한다.
4. 필요하면 재입장 또는 재실행하여 재현성을 확인한다.</x:v>
      </x:c>
      <x:c r="H4" s="36" t="str">
        <x:v>주요 지점 사이의 이동 시간, 순환로 수, 막다른 길, 지름길을 측정하고 한 플레이어가 항상 추적할 수 있는 지나치게 단순한 구조를 피한다.</x:v>
      </x:c>
      <x:c r="I4" s="36" t="str">
        <x:v>밸런스</x:v>
      </x:c>
      <x:c r="J4" s="36" t="str">
        <x:v>P0</x:v>
      </x:c>
      <x:c r="K4" s="36" t="str">
        <x:v>전체</x:v>
      </x:c>
      <x:c r="L4" s="36" t="str">
        <x:v>예</x:v>
      </x:c>
      <x:c r="M4" s="36" t="str">
        <x:v>미실시</x:v>
      </x:c>
      <x:c r="N4" s="36" t="str">
        <x:v>미정</x:v>
      </x:c>
      <x:c r="O4" s="36" t="str">
        <x:v>미정</x:v>
      </x:c>
      <x:c r="P4" s="36"/>
      <x:c r="Q4" s="36"/>
      <x:c r="R4" s="44" t="str">
        <x:v>2026-07-10</x:v>
      </x:c>
      <x:c r="S4" s="36"/>
      <x:c r="T4" s="54"/>
      <x:c r="U4" s="54"/>
      <x:c r="V4" s="53" t="str">
        <x:v>착수 전</x:v>
      </x:c>
    </x:row>
    <x:row r="5" ht="42" customHeight="1">
      <x:c r="A5" s="36" t="str">
        <x:v>TC-CNT-002-02</x:v>
      </x:c>
      <x:c r="B5" s="36" t="str">
        <x:v>CNT-002</x:v>
      </x:c>
      <x:c r="C5" s="36" t="str">
        <x:v>콘텐츠·맵·미니게임</x:v>
      </x:c>
      <x:c r="D5" s="36" t="str">
        <x:v>예외·경계 시나리오: 주요 순환 동선·이동 시간·분기</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주요 순환 동선·이동 시간·분기에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밸런스</x:v>
      </x:c>
      <x:c r="J5" s="36" t="str">
        <x:v>P0</x:v>
      </x:c>
      <x:c r="K5" s="36" t="str">
        <x:v>전체</x:v>
      </x:c>
      <x:c r="L5" s="36" t="str">
        <x:v>예</x:v>
      </x:c>
      <x:c r="M5" s="36" t="str">
        <x:v>미실시</x:v>
      </x:c>
      <x:c r="N5" s="36" t="str">
        <x:v>미정</x:v>
      </x:c>
      <x:c r="O5" s="36" t="str">
        <x:v>미정</x:v>
      </x:c>
      <x:c r="P5" s="36"/>
      <x:c r="Q5" s="36"/>
      <x:c r="R5" s="44" t="str">
        <x:v>2026-07-10</x:v>
      </x:c>
      <x:c r="S5" s="36"/>
      <x:c r="T5" s="54"/>
      <x:c r="U5" s="54"/>
      <x:c r="V5" s="53" t="str">
        <x:v>착수 전</x:v>
      </x:c>
    </x:row>
    <x:row r="6" ht="42" customHeight="1">
      <x:c r="A6" s="36" t="str">
        <x:v>TC-CNT-003-01</x:v>
      </x:c>
      <x:c r="B6" s="36" t="str">
        <x:v>CNT-003</x:v>
      </x:c>
      <x:c r="C6" s="36" t="str">
        <x:v>콘텐츠·맵·미니게임</x:v>
      </x:c>
      <x:c r="D6" s="36" t="str">
        <x:v>정상 시나리오: 밤 중앙 관찰·투표 구역</x:v>
      </x:c>
      <x:c r="E6" s="36" t="str">
        <x:v>모든 생존자가 서로의 등 메모를 관찰할 수 있고 차폐, 겹침, 이름표 간섭, 카메라 충돌이 적은 배치를 제공한다.</x:v>
      </x:c>
      <x:c r="F6" s="36" t="str">
        <x:v>대상 기능이 포함된 MVP 빌드, 필요한 테스트 계정·룸 설정·로그 접근 권한을 준비한다.</x:v>
      </x:c>
      <x:c r="G6" s="36" t="str">
        <x:v>1. 사전 조건 상태를 구성한다.
2. 표준 설정에서 다음 테스트 대상을 실행한다: 밤 중앙 관찰·투표 구역.
3. UI, 서버 상태와 로그·텔레메트리를 확인한다.
4. 필요하면 재입장 또는 재실행하여 재현성을 확인한다.</x:v>
      </x:c>
      <x:c r="H6" s="36" t="str">
        <x:v>모든 생존자가 서로의 등 메모를 관찰할 수 있고 차폐, 겹침, 이름표 간섭, 카메라 충돌이 적은 배치를 제공한다.</x:v>
      </x:c>
      <x:c r="I6" s="36" t="str">
        <x:v>사용성</x:v>
      </x:c>
      <x:c r="J6" s="36" t="str">
        <x:v>P0</x:v>
      </x:c>
      <x:c r="K6" s="36" t="str">
        <x:v>전체</x:v>
      </x:c>
      <x:c r="L6" s="36" t="str">
        <x:v>예</x:v>
      </x:c>
      <x:c r="M6" s="36" t="str">
        <x:v>미실시</x:v>
      </x:c>
      <x:c r="N6" s="36" t="str">
        <x:v>미정</x:v>
      </x:c>
      <x:c r="O6" s="36" t="str">
        <x:v>미정</x:v>
      </x:c>
      <x:c r="P6" s="36"/>
      <x:c r="Q6" s="36"/>
      <x:c r="R6" s="44" t="str">
        <x:v>2026-07-10</x:v>
      </x:c>
      <x:c r="S6" s="36"/>
      <x:c r="T6" s="54"/>
      <x:c r="U6" s="54"/>
      <x:c r="V6" s="53" t="str">
        <x:v>착수 전</x:v>
      </x:c>
    </x:row>
    <x:row r="7" ht="42" customHeight="1">
      <x:c r="A7" s="36" t="str">
        <x:v>TC-CNT-003-02</x:v>
      </x:c>
      <x:c r="B7" s="36" t="str">
        <x:v>CNT-003</x:v>
      </x:c>
      <x:c r="C7" s="36" t="str">
        <x:v>콘텐츠·맵·미니게임</x:v>
      </x:c>
      <x:c r="D7" s="36" t="str">
        <x:v>예외·경계 시나리오: 밤 중앙 관찰·투표 구역</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밤 중앙 관찰·투표 구역에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사용성</x:v>
      </x:c>
      <x:c r="J7" s="36" t="str">
        <x:v>P0</x:v>
      </x:c>
      <x:c r="K7" s="36" t="str">
        <x:v>전체</x:v>
      </x:c>
      <x:c r="L7" s="36" t="str">
        <x:v>예</x:v>
      </x:c>
      <x:c r="M7" s="36" t="str">
        <x:v>미실시</x:v>
      </x:c>
      <x:c r="N7" s="36" t="str">
        <x:v>미정</x:v>
      </x:c>
      <x:c r="O7" s="36" t="str">
        <x:v>미정</x:v>
      </x:c>
      <x:c r="P7" s="36"/>
      <x:c r="Q7" s="36"/>
      <x:c r="R7" s="44" t="str">
        <x:v>2026-07-10</x:v>
      </x:c>
      <x:c r="S7" s="36"/>
      <x:c r="T7" s="54"/>
      <x:c r="U7" s="54"/>
      <x:c r="V7" s="53" t="str">
        <x:v>착수 전</x:v>
      </x:c>
    </x:row>
    <x:row r="8" ht="42" customHeight="1">
      <x:c r="A8" s="36" t="str">
        <x:v>TC-CNT-004-01</x:v>
      </x:c>
      <x:c r="B8" s="36" t="str">
        <x:v>CNT-004</x:v>
      </x:c>
      <x:c r="C8" s="36" t="str">
        <x:v>콘텐츠·맵·미니게임</x:v>
      </x:c>
      <x:c r="D8" s="36" t="str">
        <x:v>정상 시나리오: 시작·재접속·밤 집결 스폰</x:v>
      </x:c>
      <x:c r="E8" s="36" t="str">
        <x:v>참가 인원별 시작 위치, 재접속 위치, 중앙 집결 위치를 정의하고 다른 캐릭터, 벽, 위험 구역과 겹치지 않는다.</x:v>
      </x:c>
      <x:c r="F8" s="36" t="str">
        <x:v>대상 기능이 포함된 MVP 빌드, 필요한 테스트 계정·룸 설정·로그 접근 권한을 준비한다.</x:v>
      </x:c>
      <x:c r="G8" s="36" t="str">
        <x:v>1. 사전 조건 상태를 구성한다.
2. 표준 설정에서 다음 테스트 대상을 실행한다: 시작·재접속·밤 집결 스폰.
3. UI, 서버 상태와 로그·텔레메트리를 확인한다.
4. 필요하면 재입장 또는 재실행하여 재현성을 확인한다.</x:v>
      </x:c>
      <x:c r="H8" s="36" t="str">
        <x:v>참가 인원별 시작 위치, 재접속 위치, 중앙 집결 위치를 정의하고 다른 캐릭터, 벽, 위험 구역과 겹치지 않는다.</x:v>
      </x:c>
      <x:c r="I8" s="36" t="str">
        <x:v>경계값</x:v>
      </x:c>
      <x:c r="J8" s="36" t="str">
        <x:v>P0</x:v>
      </x:c>
      <x:c r="K8" s="36" t="str">
        <x:v>전체</x:v>
      </x:c>
      <x:c r="L8" s="36" t="str">
        <x:v>예</x:v>
      </x:c>
      <x:c r="M8" s="36" t="str">
        <x:v>미실시</x:v>
      </x:c>
      <x:c r="N8" s="36" t="str">
        <x:v>미정</x:v>
      </x:c>
      <x:c r="O8" s="36" t="str">
        <x:v>미정</x:v>
      </x:c>
      <x:c r="P8" s="36"/>
      <x:c r="Q8" s="36"/>
      <x:c r="R8" s="44" t="str">
        <x:v>2026-07-10</x:v>
      </x:c>
      <x:c r="S8" s="36"/>
      <x:c r="T8" s="54"/>
      <x:c r="U8" s="54"/>
      <x:c r="V8" s="53" t="str">
        <x:v>착수 전</x:v>
      </x:c>
    </x:row>
    <x:row r="9" ht="42" customHeight="1">
      <x:c r="A9" s="36" t="str">
        <x:v>TC-CNT-004-02</x:v>
      </x:c>
      <x:c r="B9" s="36" t="str">
        <x:v>CNT-004</x:v>
      </x:c>
      <x:c r="C9" s="36" t="str">
        <x:v>콘텐츠·맵·미니게임</x:v>
      </x:c>
      <x:c r="D9" s="36" t="str">
        <x:v>예외·경계 시나리오: 시작·재접속·밤 집결 스폰</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시작·재접속·밤 집결 스폰에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경계값</x:v>
      </x:c>
      <x:c r="J9" s="36" t="str">
        <x:v>P0</x:v>
      </x:c>
      <x:c r="K9" s="36" t="str">
        <x:v>전체</x:v>
      </x:c>
      <x:c r="L9" s="36" t="str">
        <x:v>예</x:v>
      </x:c>
      <x:c r="M9" s="36" t="str">
        <x:v>미실시</x:v>
      </x:c>
      <x:c r="N9" s="36" t="str">
        <x:v>미정</x:v>
      </x:c>
      <x:c r="O9" s="36" t="str">
        <x:v>미정</x:v>
      </x:c>
      <x:c r="P9" s="36"/>
      <x:c r="Q9" s="36"/>
      <x:c r="R9" s="44" t="str">
        <x:v>2026-07-10</x:v>
      </x:c>
      <x:c r="S9" s="36"/>
      <x:c r="T9" s="54"/>
      <x:c r="U9" s="54"/>
      <x:c r="V9" s="53" t="str">
        <x:v>착수 전</x:v>
      </x:c>
    </x:row>
    <x:row r="10" ht="42" customHeight="1">
      <x:c r="A10" s="36" t="str">
        <x:v>TC-CNT-005-01</x:v>
      </x:c>
      <x:c r="B10" s="36" t="str">
        <x:v>CNT-005</x:v>
      </x:c>
      <x:c r="C10" s="36" t="str">
        <x:v>콘텐츠·맵·미니게임</x:v>
      </x:c>
      <x:c r="D10" s="36" t="str">
        <x:v>정상 시나리오: 대화·미니게임용 방 구성</x:v>
      </x:c>
      <x:c r="E10" s="36" t="str">
        <x:v>여러 소형 방과 공유 공간을 구성해 근거리 대화가 지역화되면서도 완전히 고립되지 않도록 하고 각 방에 입구, 출구, 고유 이름을 둔다.</x:v>
      </x:c>
      <x:c r="F10" s="36" t="str">
        <x:v>대상 기능이 포함된 MVP 빌드, 필요한 테스트 계정·룸 설정·로그 접근 권한을 준비한다.</x:v>
      </x:c>
      <x:c r="G10" s="36" t="str">
        <x:v>1. 사전 조건 상태를 구성한다.
2. 표준 설정에서 다음 테스트 대상을 실행한다: 대화·미니게임용 방 구성.
3. UI, 서버 상태와 로그·텔레메트리를 확인한다.
4. 필요하면 재입장 또는 재실행하여 재현성을 확인한다.</x:v>
      </x:c>
      <x:c r="H10" s="36" t="str">
        <x:v>여러 소형 방과 공유 공간을 구성해 근거리 대화가 지역화되면서도 완전히 고립되지 않도록 하고 각 방에 입구, 출구, 고유 이름을 둔다.</x:v>
      </x:c>
      <x:c r="I10" s="36" t="str">
        <x:v>밸런스</x:v>
      </x:c>
      <x:c r="J10" s="36" t="str">
        <x:v>P0</x:v>
      </x:c>
      <x:c r="K10" s="36" t="str">
        <x:v>전체</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TC-CNT-005-02</x:v>
      </x:c>
      <x:c r="B11" s="36" t="str">
        <x:v>CNT-005</x:v>
      </x:c>
      <x:c r="C11" s="36" t="str">
        <x:v>콘텐츠·맵·미니게임</x:v>
      </x:c>
      <x:c r="D11" s="36" t="str">
        <x:v>예외·경계 시나리오: 대화·미니게임용 방 구성</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대화·미니게임용 방 구성에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밸런스</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TC-CNT-006-01</x:v>
      </x:c>
      <x:c r="B12" s="36" t="str">
        <x:v>CNT-006</x:v>
      </x:c>
      <x:c r="C12" s="36" t="str">
        <x:v>콘텐츠·맵·미니게임</x:v>
      </x:c>
      <x:c r="D12" s="36" t="str">
        <x:v>정상 시나리오: 등 뒤 접근·관찰·도주 시야 설계</x:v>
      </x:c>
      <x:c r="E12" s="36" t="str">
        <x:v>제3자가 메모 부착 동작을 관찰할 수 있는 시야와 완전 감시를 피하는 차폐를 함께 제공하고 카메라 각도 악용 지점을 제거한다.</x:v>
      </x:c>
      <x:c r="F12" s="36" t="str">
        <x:v>대상 기능이 포함된 MVP 빌드, 필요한 테스트 계정·룸 설정·로그 접근 권한을 준비한다.</x:v>
      </x:c>
      <x:c r="G12" s="36" t="str">
        <x:v>1. 사전 조건 상태를 구성한다.
2. 표준 설정에서 다음 테스트 대상을 실행한다: 등 뒤 접근·관찰·도주 시야 설계.
3. UI, 서버 상태와 로그·텔레메트리를 확인한다.
4. 필요하면 재입장 또는 재실행하여 재현성을 확인한다.</x:v>
      </x:c>
      <x:c r="H12" s="36" t="str">
        <x:v>제3자가 메모 부착 동작을 관찰할 수 있는 시야와 완전 감시를 피하는 차폐를 함께 제공하고 카메라 각도 악용 지점을 제거한다.</x:v>
      </x:c>
      <x:c r="I12" s="36" t="str">
        <x:v>밸런스</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TC-CNT-006-02</x:v>
      </x:c>
      <x:c r="B13" s="36" t="str">
        <x:v>CNT-006</x:v>
      </x:c>
      <x:c r="C13" s="36" t="str">
        <x:v>콘텐츠·맵·미니게임</x:v>
      </x:c>
      <x:c r="D13" s="36" t="str">
        <x:v>예외·경계 시나리오: 등 뒤 접근·관찰·도주 시야 설계</x:v>
      </x:c>
      <x:c r="E13" s="36" t="str">
        <x:v>허용되지 않은 상태, 잘못된 값, 중복, 만료, 권한 부족, 연결 끊김 입력으로 데이터 손상·정보 유출·클라이언트 상태 분기가 발생하지 않는지 확인한다.</x:v>
      </x:c>
      <x:c r="F13" s="36" t="str">
        <x:v>대상 기능이 포함된 MVP 빌드와 디버그 입력, 네트워크 열화, 비정상 요청 재현 수단을 준비한다.</x:v>
      </x:c>
      <x:c r="G13" s="36" t="str">
        <x:v>1. 허용되지 않은 페이즈 또는 경계값 조건을 구성한다.
2. 등 뒤 접근·관찰·도주 시야 설계에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밸런스</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TC-CNT-007-01</x:v>
      </x:c>
      <x:c r="B14" s="36" t="str">
        <x:v>CNT-007</x:v>
      </x:c>
      <x:c r="C14" s="36" t="str">
        <x:v>콘텐츠·맵·미니게임</x:v>
      </x:c>
      <x:c r="D14" s="36" t="str">
        <x:v>정상 시나리오: 음성 거리·벽 차폐용 음향 볼륨</x:v>
      </x:c>
      <x:c r="E14" s="36" t="str">
        <x:v>방, 문, 통로, 층간에 음향 경계를 설정하고 시각적 벽과 음성 차폐 결과가 일치한다.</x:v>
      </x:c>
      <x:c r="F14" s="36" t="str">
        <x:v>대상 기능이 포함된 알파 빌드, 필요한 테스트 계정·룸 설정·로그 접근 권한을 준비한다.</x:v>
      </x:c>
      <x:c r="G14" s="36" t="str">
        <x:v>1. 사전 조건 상태를 구성한다.
2. 표준 설정에서 다음 테스트 대상을 실행한다: 음성 거리·벽 차폐용 음향 볼륨.
3. UI, 서버 상태와 로그·텔레메트리를 확인한다.
4. 필요하면 재입장 또는 재실행하여 재현성을 확인한다.</x:v>
      </x:c>
      <x:c r="H14" s="36" t="str">
        <x:v>방, 문, 통로, 층간에 음향 경계를 설정하고 시각적 벽과 음성 차폐 결과가 일치한다.</x:v>
      </x:c>
      <x:c r="I14" s="36" t="str">
        <x:v>사용성</x:v>
      </x:c>
      <x:c r="J14" s="36" t="str">
        <x:v>P1</x:v>
      </x:c>
      <x:c r="K14" s="36" t="str">
        <x:v>전체</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TC-CNT-008-01</x:v>
      </x:c>
      <x:c r="B15" s="36" t="str">
        <x:v>CNT-008</x:v>
      </x:c>
      <x:c r="C15" s="36" t="str">
        <x:v>콘텐츠·맵·미니게임</x:v>
      </x:c>
      <x:c r="D15" s="36" t="str">
        <x:v>정상 시나리오: 메모 부착용 등 뒤 여유 공간</x:v>
      </x:c>
      <x:c r="E15" s="36" t="str">
        <x:v>미니게임 단말, 벽 근처, 좁은 통로에서도 등 뒤 판정이 불가능하거나 잘못 동작하지 않도록 필요한 폭을 확보하고 문제 지점을 자동 탐지한다.</x:v>
      </x:c>
      <x:c r="F15" s="36" t="str">
        <x:v>대상 기능이 포함된 MVP 빌드, 필요한 테스트 계정·룸 설정·로그 접근 권한을 준비한다.</x:v>
      </x:c>
      <x:c r="G15" s="36" t="str">
        <x:v>1. 사전 조건 상태를 구성한다.
2. 표준 설정에서 다음 테스트 대상을 실행한다: 메모 부착용 등 뒤 여유 공간.
3. UI, 서버 상태와 로그·텔레메트리를 확인한다.
4. 필요하면 재입장 또는 재실행하여 재현성을 확인한다.</x:v>
      </x:c>
      <x:c r="H15" s="36" t="str">
        <x:v>미니게임 단말, 벽 근처, 좁은 통로에서도 등 뒤 판정이 불가능하거나 잘못 동작하지 않도록 필요한 폭을 확보하고 문제 지점을 자동 탐지한다.</x:v>
      </x:c>
      <x:c r="I15" s="36" t="str">
        <x:v>기능</x:v>
      </x:c>
      <x:c r="J15" s="36" t="str">
        <x:v>P0</x:v>
      </x:c>
      <x:c r="K15" s="36" t="str">
        <x:v>전체</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TC-CNT-008-02</x:v>
      </x:c>
      <x:c r="B16" s="36" t="str">
        <x:v>CNT-008</x:v>
      </x:c>
      <x:c r="C16" s="36" t="str">
        <x:v>콘텐츠·맵·미니게임</x:v>
      </x:c>
      <x:c r="D16" s="36" t="str">
        <x:v>예외·경계 시나리오: 메모 부착용 등 뒤 여유 공간</x:v>
      </x:c>
      <x:c r="E16" s="36" t="str">
        <x:v>허용되지 않은 상태, 잘못된 값, 중복, 만료, 권한 부족, 연결 끊김 입력으로 데이터 손상·정보 유출·클라이언트 상태 분기가 발생하지 않는지 확인한다.</x:v>
      </x:c>
      <x:c r="F16" s="36" t="str">
        <x:v>대상 기능이 포함된 MVP 빌드와 디버그 입력, 네트워크 열화, 비정상 요청 재현 수단을 준비한다.</x:v>
      </x:c>
      <x:c r="G16" s="36" t="str">
        <x:v>1. 허용되지 않은 페이즈 또는 경계값 조건을 구성한다.
2. 메모 부착용 등 뒤 여유 공간에 대해 중복·무효·지연·연결 끊김을 포함한 요청을 전송한다.
3. 서버 거부, 롤백, 오류 표시와 감사 로그를 확인한다.
4. 모든 클라이언트의 상태가 일치하는지 확인한다.</x:v>
      </x:c>
      <x:c r="H16" s="36" t="str">
        <x:v>요청은 사양에 따라 거부되거나 안전하게 복구되며, 중복 반영, 데이터 손실, 정보 유출 또는 진행 중단이 발생하지 않는다. 오류와 상관관계 ID가 기록된다.</x:v>
      </x:c>
      <x:c r="I16" s="36" t="str">
        <x:v>기능</x:v>
      </x:c>
      <x:c r="J16" s="36" t="str">
        <x:v>P0</x:v>
      </x:c>
      <x:c r="K16" s="36" t="str">
        <x:v>전체</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TC-CNT-009-01</x:v>
      </x:c>
      <x:c r="B17" s="36" t="str">
        <x:v>CNT-009</x:v>
      </x:c>
      <x:c r="C17" s="36" t="str">
        <x:v>콘텐츠·맵·미니게임</x:v>
      </x:c>
      <x:c r="D17" s="36" t="str">
        <x:v>정상 시나리오: 미니게임 단말 배치·분산</x:v>
      </x:c>
      <x:c r="E17" s="36" t="str">
        <x:v>3~5종의 단말을 편중 없이 배치해 모든 플레이어가 한 지점에 지나치게 집중하지 않고 고립과 알리바이 선택이 발생하도록 한다.</x:v>
      </x:c>
      <x:c r="F17" s="36" t="str">
        <x:v>대상 기능이 포함된 MVP 빌드, 필요한 테스트 계정·룸 설정·로그 접근 권한을 준비한다.</x:v>
      </x:c>
      <x:c r="G17" s="36" t="str">
        <x:v>1. 사전 조건 상태를 구성한다.
2. 표준 설정에서 다음 테스트 대상을 실행한다: 미니게임 단말 배치·분산.
3. UI, 서버 상태와 로그·텔레메트리를 확인한다.
4. 필요하면 재입장 또는 재실행하여 재현성을 확인한다.</x:v>
      </x:c>
      <x:c r="H17" s="36" t="str">
        <x:v>3~5종의 단말을 편중 없이 배치해 모든 플레이어가 한 지점에 지나치게 집중하지 않고 고립과 알리바이 선택이 발생하도록 한다.</x:v>
      </x:c>
      <x:c r="I17" s="36" t="str">
        <x:v>밸런스</x:v>
      </x:c>
      <x:c r="J17" s="36" t="str">
        <x:v>P0</x:v>
      </x:c>
      <x:c r="K17" s="36" t="str">
        <x:v>전체</x:v>
      </x:c>
      <x:c r="L17" s="36" t="str">
        <x:v>예</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TC-CNT-009-02</x:v>
      </x:c>
      <x:c r="B18" s="36" t="str">
        <x:v>CNT-009</x:v>
      </x:c>
      <x:c r="C18" s="36" t="str">
        <x:v>콘텐츠·맵·미니게임</x:v>
      </x:c>
      <x:c r="D18" s="36" t="str">
        <x:v>예외·경계 시나리오: 미니게임 단말 배치·분산</x:v>
      </x:c>
      <x:c r="E18" s="36" t="str">
        <x:v>허용되지 않은 상태, 잘못된 값, 중복, 만료, 권한 부족, 연결 끊김 입력으로 데이터 손상·정보 유출·클라이언트 상태 분기가 발생하지 않는지 확인한다.</x:v>
      </x:c>
      <x:c r="F18" s="36" t="str">
        <x:v>대상 기능이 포함된 MVP 빌드와 디버그 입력, 네트워크 열화, 비정상 요청 재현 수단을 준비한다.</x:v>
      </x:c>
      <x:c r="G18" s="36" t="str">
        <x:v>1. 허용되지 않은 페이즈 또는 경계값 조건을 구성한다.
2. 미니게임 단말 배치·분산에 대해 중복·무효·지연·연결 끊김을 포함한 요청을 전송한다.
3. 서버 거부, 롤백, 오류 표시와 감사 로그를 확인한다.
4. 모든 클라이언트의 상태가 일치하는지 확인한다.</x:v>
      </x:c>
      <x:c r="H18" s="36" t="str">
        <x:v>요청은 사양에 따라 거부되거나 안전하게 복구되며, 중복 반영, 데이터 손실, 정보 유출 또는 진행 중단이 발생하지 않는다. 오류와 상관관계 ID가 기록된다.</x:v>
      </x:c>
      <x:c r="I18" s="36" t="str">
        <x:v>밸런스</x:v>
      </x:c>
      <x:c r="J18" s="36" t="str">
        <x:v>P0</x:v>
      </x:c>
      <x:c r="K18" s="36" t="str">
        <x:v>전체</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TC-CNT-010-01</x:v>
      </x:c>
      <x:c r="B19" s="36" t="str">
        <x:v>CNT-010</x:v>
      </x:c>
      <x:c r="C19" s="36" t="str">
        <x:v>콘텐츠·맵·미니게임</x:v>
      </x:c>
      <x:c r="D19" s="36" t="str">
        <x:v>정상 시나리오: 랜드마크·방 이름·방향 안내</x:v>
      </x:c>
      <x:c r="E19" s="36" t="str">
        <x:v>플레이어가 대화로 위치를 공유할 수 있는 고유한 외형과 이름을 제공하고 색상만에 의존하지 않는 길 안내를 사용한다.</x:v>
      </x:c>
      <x:c r="F19" s="36" t="str">
        <x:v>대상 기능이 포함된 MVP 빌드, 필요한 테스트 계정·룸 설정·로그 접근 권한을 준비한다.</x:v>
      </x:c>
      <x:c r="G19" s="36" t="str">
        <x:v>1. 사전 조건 상태를 구성한다.
2. 표준 설정에서 다음 테스트 대상을 실행한다: 랜드마크·방 이름·방향 안내.
3. UI, 서버 상태와 로그·텔레메트리를 확인한다.
4. 필요하면 재입장 또는 재실행하여 재현성을 확인한다.</x:v>
      </x:c>
      <x:c r="H19" s="36" t="str">
        <x:v>플레이어가 대화로 위치를 공유할 수 있는 고유한 외형과 이름을 제공하고 색상만에 의존하지 않는 길 안내를 사용한다.</x:v>
      </x:c>
      <x:c r="I19" s="36" t="str">
        <x:v>사용성</x:v>
      </x:c>
      <x:c r="J19" s="36" t="str">
        <x:v>P1</x:v>
      </x:c>
      <x:c r="K19" s="36" t="str">
        <x:v>전체</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TC-CNT-011-01</x:v>
      </x:c>
      <x:c r="B20" s="36" t="str">
        <x:v>CNT-011</x:v>
      </x:c>
      <x:c r="C20" s="36" t="str">
        <x:v>콘텐츠·맵·미니게임</x:v>
      </x:c>
      <x:c r="D20" s="36" t="str">
        <x:v>정상 시나리오: 색상·LED·메모 판독성 조명</x:v>
      </x:c>
      <x:c r="E20" s="36" t="str">
        <x:v>낮·밤 연출에서도 플레이어 색상과 메모 색상을 식별할 수 있고 과도한 색 번짐, 블룸, 암부, 점멸을 피한다.</x:v>
      </x:c>
      <x:c r="F20" s="36" t="str">
        <x:v>대상 기능이 포함된 MVP 빌드, 필요한 테스트 계정·룸 설정·로그 접근 권한을 준비한다.</x:v>
      </x:c>
      <x:c r="G20" s="36" t="str">
        <x:v>1. 사전 조건 상태를 구성한다.
2. 표준 설정에서 다음 테스트 대상을 실행한다: 색상·LED·메모 판독성 조명.
3. UI, 서버 상태와 로그·텔레메트리를 확인한다.
4. 필요하면 재입장 또는 재실행하여 재현성을 확인한다.</x:v>
      </x:c>
      <x:c r="H20" s="36" t="str">
        <x:v>낮·밤 연출에서도 플레이어 색상과 메모 색상을 식별할 수 있고 과도한 색 번짐, 블룸, 암부, 점멸을 피한다.</x:v>
      </x:c>
      <x:c r="I20" s="36" t="str">
        <x:v>접근성</x:v>
      </x:c>
      <x:c r="J20" s="36" t="str">
        <x:v>P0</x:v>
      </x:c>
      <x:c r="K20" s="36" t="str">
        <x:v>전체</x:v>
      </x:c>
      <x:c r="L20" s="36" t="str">
        <x:v>예</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TC-CNT-011-02</x:v>
      </x:c>
      <x:c r="B21" s="36" t="str">
        <x:v>CNT-011</x:v>
      </x:c>
      <x:c r="C21" s="36" t="str">
        <x:v>콘텐츠·맵·미니게임</x:v>
      </x:c>
      <x:c r="D21" s="36" t="str">
        <x:v>예외·경계 시나리오: 색상·LED·메모 판독성 조명</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색상·LED·메모 판독성 조명에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접근성</x:v>
      </x:c>
      <x:c r="J21" s="36" t="str">
        <x:v>P0</x:v>
      </x:c>
      <x:c r="K21" s="36" t="str">
        <x:v>전체</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TC-CNT-012-01</x:v>
      </x:c>
      <x:c r="B22" s="36" t="str">
        <x:v>CNT-012</x:v>
      </x:c>
      <x:c r="C22" s="36" t="str">
        <x:v>콘텐츠·맵·미니게임</x:v>
      </x:c>
      <x:c r="D22" s="36" t="str">
        <x:v>정상 시나리오: 충돌·낙하·끼임·맵 이탈 방지</x:v>
      </x:c>
      <x:c r="E22" s="36" t="str">
        <x:v>이동, 밤 집결, 재접속, 메모 부착 중 끼임, 낙하, 맵 이탈이 없고 복귀 볼륨과 서버 위치 검증을 제공한다.</x:v>
      </x:c>
      <x:c r="F22" s="36" t="str">
        <x:v>대상 기능이 포함된 MVP 빌드, 필요한 테스트 계정·룸 설정·로그 접근 권한을 준비한다.</x:v>
      </x:c>
      <x:c r="G22" s="36" t="str">
        <x:v>1. 사전 조건 상태를 구성한다.
2. 표준 설정에서 다음 테스트 대상을 실행한다: 충돌·낙하·끼임·맵 이탈 방지.
3. UI, 서버 상태와 로그·텔레메트리를 확인한다.
4. 필요하면 재입장 또는 재실행하여 재현성을 확인한다.</x:v>
      </x:c>
      <x:c r="H22" s="36" t="str">
        <x:v>이동, 밤 집결, 재접속, 메모 부착 중 끼임, 낙하, 맵 이탈이 없고 복귀 볼륨과 서버 위치 검증을 제공한다.</x:v>
      </x:c>
      <x:c r="I22" s="36" t="str">
        <x:v>기능</x:v>
      </x:c>
      <x:c r="J22" s="36" t="str">
        <x:v>P0</x:v>
      </x:c>
      <x:c r="K22" s="36" t="str">
        <x:v>전체</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TC-CNT-012-02</x:v>
      </x:c>
      <x:c r="B23" s="36" t="str">
        <x:v>CNT-012</x:v>
      </x:c>
      <x:c r="C23" s="36" t="str">
        <x:v>콘텐츠·맵·미니게임</x:v>
      </x:c>
      <x:c r="D23" s="36" t="str">
        <x:v>예외·경계 시나리오: 충돌·낙하·끼임·맵 이탈 방지</x:v>
      </x:c>
      <x:c r="E23" s="36" t="str">
        <x:v>허용되지 않은 상태, 잘못된 값, 중복, 만료, 권한 부족, 연결 끊김 입력으로 데이터 손상·정보 유출·클라이언트 상태 분기가 발생하지 않는지 확인한다.</x:v>
      </x:c>
      <x:c r="F23" s="36" t="str">
        <x:v>대상 기능이 포함된 MVP 빌드와 디버그 입력, 네트워크 열화, 비정상 요청 재현 수단을 준비한다.</x:v>
      </x:c>
      <x:c r="G23" s="36" t="str">
        <x:v>1. 허용되지 않은 페이즈 또는 경계값 조건을 구성한다.
2. 충돌·낙하·끼임·맵 이탈 방지에 대해 중복·무효·지연·연결 끊김을 포함한 요청을 전송한다.
3. 서버 거부, 롤백, 오류 표시와 감사 로그를 확인한다.
4. 모든 클라이언트의 상태가 일치하는지 확인한다.</x:v>
      </x:c>
      <x:c r="H23" s="36" t="str">
        <x:v>요청은 사양에 따라 거부되거나 안전하게 복구되며, 중복 반영, 데이터 손실, 정보 유출 또는 진행 중단이 발생하지 않는다. 오류와 상관관계 ID가 기록된다.</x:v>
      </x:c>
      <x:c r="I23" s="36" t="str">
        <x:v>기능</x:v>
      </x:c>
      <x:c r="J23" s="36" t="str">
        <x:v>P0</x:v>
      </x:c>
      <x:c r="K23" s="36" t="str">
        <x:v>전체</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TC-CNT-013-01</x:v>
      </x:c>
      <x:c r="B24" s="36" t="str">
        <x:v>CNT-013</x:v>
      </x:c>
      <x:c r="C24" s="36" t="str">
        <x:v>콘텐츠·맵·미니게임</x:v>
      </x:c>
      <x:c r="D24" s="36" t="str">
        <x:v>정상 시나리오: 카메라 충돌·FOV별 판독성</x:v>
      </x:c>
      <x:c r="E24" s="36" t="str">
        <x:v>벽 근처와 좁은 공간에서 카메라가 등 메모를 투시하거나 가리지 않고 지원 FOV와 화면 비율에서 주요 정보가 표시된다.</x:v>
      </x:c>
      <x:c r="F24" s="36" t="str">
        <x:v>대상 기능이 포함된 MVP 빌드, 필요한 테스트 계정·룸 설정·로그 접근 권한을 준비한다.</x:v>
      </x:c>
      <x:c r="G24" s="36" t="str">
        <x:v>1. 사전 조건 상태를 구성한다.
2. 표준 설정에서 다음 테스트 대상을 실행한다: 카메라 충돌·FOV별 판독성.
3. UI, 서버 상태와 로그·텔레메트리를 확인한다.
4. 필요하면 재입장 또는 재실행하여 재현성을 확인한다.</x:v>
      </x:c>
      <x:c r="H24" s="36" t="str">
        <x:v>벽 근처와 좁은 공간에서 카메라가 등 메모를 투시하거나 가리지 않고 지원 FOV와 화면 비율에서 주요 정보가 표시된다.</x:v>
      </x:c>
      <x:c r="I24" s="36" t="str">
        <x:v>호환성</x:v>
      </x:c>
      <x:c r="J24" s="36" t="str">
        <x:v>P0</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TC-CNT-013-02</x:v>
      </x:c>
      <x:c r="B25" s="36" t="str">
        <x:v>CNT-013</x:v>
      </x:c>
      <x:c r="C25" s="36" t="str">
        <x:v>콘텐츠·맵·미니게임</x:v>
      </x:c>
      <x:c r="D25" s="36" t="str">
        <x:v>예외·경계 시나리오: 카메라 충돌·FOV별 판독성</x:v>
      </x:c>
      <x:c r="E25" s="36" t="str">
        <x:v>허용되지 않은 상태, 잘못된 값, 중복, 만료, 권한 부족, 연결 끊김 입력으로 데이터 손상·정보 유출·클라이언트 상태 분기가 발생하지 않는지 확인한다.</x:v>
      </x:c>
      <x:c r="F25" s="36" t="str">
        <x:v>대상 기능이 포함된 MVP 빌드와 디버그 입력, 네트워크 열화, 비정상 요청 재현 수단을 준비한다.</x:v>
      </x:c>
      <x:c r="G25" s="36" t="str">
        <x:v>1. 허용되지 않은 페이즈 또는 경계값 조건을 구성한다.
2. 카메라 충돌·FOV별 판독성에 대해 중복·무효·지연·연결 끊김을 포함한 요청을 전송한다.
3. 서버 거부, 롤백, 오류 표시와 감사 로그를 확인한다.
4. 모든 클라이언트의 상태가 일치하는지 확인한다.</x:v>
      </x:c>
      <x:c r="H25" s="36" t="str">
        <x:v>요청은 사양에 따라 거부되거나 안전하게 복구되며, 중복 반영, 데이터 손실, 정보 유출 또는 진행 중단이 발생하지 않는다. 오류와 상관관계 ID가 기록된다.</x:v>
      </x:c>
      <x:c r="I25" s="36" t="str">
        <x:v>호환성</x:v>
      </x:c>
      <x:c r="J25" s="36" t="str">
        <x:v>P0</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TC-CNT-014-01</x:v>
      </x:c>
      <x:c r="B26" s="36" t="str">
        <x:v>CNT-014</x:v>
      </x:c>
      <x:c r="C26" s="36" t="str">
        <x:v>콘텐츠·맵·미니게임</x:v>
      </x:c>
      <x:c r="D26" s="36" t="str">
        <x:v>정상 시나리오: 렌더링·물리·음향·메모 표시 예산</x:v>
      </x:c>
      <x:c r="E26" s="36" t="str">
        <x:v>6명, 최대 메모, 모든 단말, 음성, LED가 동작하는 조건에서 최소·권장 환경의 CPU, GPU, 메모리 예산을 충족한다.</x:v>
      </x:c>
      <x:c r="F26" s="36" t="str">
        <x:v>대상 기능이 포함된 릴리스 후보 빌드, 필요한 테스트 계정·룸 설정·로그 접근 권한을 준비한다.</x:v>
      </x:c>
      <x:c r="G26" s="36" t="str">
        <x:v>1. 사전 조건 상태를 구성한다.
2. 표준 설정에서 다음 테스트 대상을 실행한다: 렌더링·물리·음향·메모 표시 예산.
3. UI, 서버 상태와 로그·텔레메트리를 확인한다.
4. 필요하면 재입장 또는 재실행하여 재현성을 확인한다.</x:v>
      </x:c>
      <x:c r="H26" s="36" t="str">
        <x:v>6명, 최대 메모, 모든 단말, 음성, LED가 동작하는 조건에서 최소·권장 환경의 CPU, GPU, 메모리 예산을 충족한다.</x:v>
      </x:c>
      <x:c r="I26" s="36" t="str">
        <x:v>성능</x:v>
      </x:c>
      <x:c r="J26" s="36" t="str">
        <x:v>P0</x:v>
      </x:c>
      <x:c r="K26" s="36" t="str">
        <x:v>전체</x:v>
      </x:c>
      <x:c r="L26" s="36" t="str">
        <x:v>부분</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TC-CNT-014-02</x:v>
      </x:c>
      <x:c r="B27" s="36" t="str">
        <x:v>CNT-014</x:v>
      </x:c>
      <x:c r="C27" s="36" t="str">
        <x:v>콘텐츠·맵·미니게임</x:v>
      </x:c>
      <x:c r="D27" s="36" t="str">
        <x:v>예외·경계 시나리오: 렌더링·물리·음향·메모 표시 예산</x:v>
      </x:c>
      <x:c r="E27" s="36" t="str">
        <x:v>허용되지 않은 상태, 잘못된 값, 중복, 만료, 권한 부족, 연결 끊김 입력으로 데이터 손상·정보 유출·클라이언트 상태 분기가 발생하지 않는지 확인한다.</x:v>
      </x:c>
      <x:c r="F27" s="36" t="str">
        <x:v>대상 기능이 포함된 릴리스 후보 빌드와 디버그 입력, 네트워크 열화, 비정상 요청 재현 수단을 준비한다.</x:v>
      </x:c>
      <x:c r="G27" s="36" t="str">
        <x:v>1. 허용되지 않은 페이즈 또는 경계값 조건을 구성한다.
2. 렌더링·물리·음향·메모 표시 예산에 대해 중복·무효·지연·연결 끊김을 포함한 요청을 전송한다.
3. 서버 거부, 롤백, 오류 표시와 감사 로그를 확인한다.
4. 모든 클라이언트의 상태가 일치하는지 확인한다.</x:v>
      </x:c>
      <x:c r="H27" s="36" t="str">
        <x:v>요청은 사양에 따라 거부되거나 안전하게 복구되며, 중복 반영, 데이터 손실, 정보 유출 또는 진행 중단이 발생하지 않는다. 오류와 상관관계 ID가 기록된다.</x:v>
      </x:c>
      <x:c r="I27" s="36" t="str">
        <x:v>성능</x:v>
      </x:c>
      <x:c r="J27" s="36" t="str">
        <x:v>P0</x:v>
      </x:c>
      <x:c r="K27" s="36" t="str">
        <x:v>전체</x:v>
      </x:c>
      <x:c r="L27" s="36" t="str">
        <x:v>부분</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TC-CNT-015-01</x:v>
      </x:c>
      <x:c r="B28" s="36" t="str">
        <x:v>CNT-015</x:v>
      </x:c>
      <x:c r="C28" s="36" t="str">
        <x:v>콘텐츠·맵·미니게임</x:v>
      </x:c>
      <x:c r="D28" s="36" t="str">
        <x:v>정상 시나리오: 맵 자동 검증 도구</x:v>
      </x:c>
      <x:c r="E28" s="36" t="str">
        <x:v>스폰, 단말, 내비게이션, 음향, 부착 여유 공간, 중앙 시인성, 금지 볼륨, LOD, 명명 규칙을 CI에서 검사한다.</x:v>
      </x:c>
      <x:c r="F28" s="36" t="str">
        <x:v>대상 기능이 포함된 알파 빌드, 필요한 테스트 계정·룸 설정·로그 접근 권한을 준비한다.</x:v>
      </x:c>
      <x:c r="G28" s="36" t="str">
        <x:v>1. 사전 조건 상태를 구성한다.
2. 표준 설정에서 다음 테스트 대상을 실행한다: 맵 자동 검증 도구.
3. UI, 서버 상태와 로그·텔레메트리를 확인한다.
4. 필요하면 재입장 또는 재실행하여 재현성을 확인한다.</x:v>
      </x:c>
      <x:c r="H28" s="36" t="str">
        <x:v>스폰, 단말, 내비게이션, 음향, 부착 여유 공간, 중앙 시인성, 금지 볼륨, LOD, 명명 규칙을 CI에서 검사한다.</x:v>
      </x:c>
      <x:c r="I28" s="36" t="str">
        <x:v>운영</x:v>
      </x:c>
      <x:c r="J28" s="36" t="str">
        <x:v>P1</x:v>
      </x:c>
      <x:c r="K28" s="36" t="str">
        <x:v>도구</x:v>
      </x:c>
      <x:c r="L28" s="36" t="str">
        <x:v>부분</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TC-CNT-016-01</x:v>
      </x:c>
      <x:c r="B29" s="36" t="str">
        <x:v>CNT-016</x:v>
      </x:c>
      <x:c r="C29" s="36" t="str">
        <x:v>콘텐츠·맵·미니게임</x:v>
      </x:c>
      <x:c r="D29" s="36" t="str">
        <x:v>정상 시나리오: 미니게임·맵 데이터 정의 스키마</x:v>
      </x:c>
      <x:c r="E29" s="36" t="str">
        <x:v>ID, 버전, 난이도, 소요 시간, 보상, 입력, 지원 인원, 배치 조건, 현지화, 분석 이벤트를 데이터로 정의한다.</x:v>
      </x:c>
      <x:c r="F29" s="36" t="str">
        <x:v>대상 기능이 포함된 MVP 빌드, 필요한 테스트 계정·룸 설정·로그 접근 권한을 준비한다.</x:v>
      </x:c>
      <x:c r="G29" s="36" t="str">
        <x:v>1. 사전 조건 상태를 구성한다.
2. 표준 설정에서 다음 테스트 대상을 실행한다: 미니게임·맵 데이터 정의 스키마.
3. UI, 서버 상태와 로그·텔레메트리를 확인한다.
4. 필요하면 재입장 또는 재실행하여 재현성을 확인한다.</x:v>
      </x:c>
      <x:c r="H29" s="36" t="str">
        <x:v>ID, 버전, 난이도, 소요 시간, 보상, 입력, 지원 인원, 배치 조건, 현지화, 분석 이벤트를 데이터로 정의한다.</x:v>
      </x:c>
      <x:c r="I29" s="36" t="str">
        <x:v>호환성</x:v>
      </x:c>
      <x:c r="J29" s="36" t="str">
        <x:v>P0</x:v>
      </x:c>
      <x:c r="K29" s="36" t="str">
        <x:v>도구</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TC-CNT-016-02</x:v>
      </x:c>
      <x:c r="B30" s="36" t="str">
        <x:v>CNT-016</x:v>
      </x:c>
      <x:c r="C30" s="36" t="str">
        <x:v>콘텐츠·맵·미니게임</x:v>
      </x:c>
      <x:c r="D30" s="36" t="str">
        <x:v>예외·경계 시나리오: 미니게임·맵 데이터 정의 스키마</x:v>
      </x:c>
      <x:c r="E30" s="36" t="str">
        <x:v>허용되지 않은 상태, 잘못된 값, 중복, 만료, 권한 부족, 연결 끊김 입력으로 데이터 손상·정보 유출·클라이언트 상태 분기가 발생하지 않는지 확인한다.</x:v>
      </x:c>
      <x:c r="F30" s="36" t="str">
        <x:v>대상 기능이 포함된 MVP 빌드와 디버그 입력, 네트워크 열화, 비정상 요청 재현 수단을 준비한다.</x:v>
      </x:c>
      <x:c r="G30" s="36" t="str">
        <x:v>1. 허용되지 않은 페이즈 또는 경계값 조건을 구성한다.
2. 미니게임·맵 데이터 정의 스키마에 대해 중복·무효·지연·연결 끊김을 포함한 요청을 전송한다.
3. 서버 거부, 롤백, 오류 표시와 감사 로그를 확인한다.
4. 모든 클라이언트의 상태가 일치하는지 확인한다.</x:v>
      </x:c>
      <x:c r="H30" s="36" t="str">
        <x:v>요청은 사양에 따라 거부되거나 안전하게 복구되며, 중복 반영, 데이터 손실, 정보 유출 또는 진행 중단이 발생하지 않는다. 오류와 상관관계 ID가 기록된다.</x:v>
      </x:c>
      <x:c r="I30" s="36" t="str">
        <x:v>호환성</x:v>
      </x:c>
      <x:c r="J30" s="36" t="str">
        <x:v>P0</x:v>
      </x:c>
      <x:c r="K30" s="36" t="str">
        <x:v>도구</x:v>
      </x:c>
      <x:c r="L30" s="36" t="str">
        <x:v>예</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TC-CNT-017-01</x:v>
      </x:c>
      <x:c r="B31" s="36" t="str">
        <x:v>CNT-017</x:v>
      </x:c>
      <x:c r="C31" s="36" t="str">
        <x:v>콘텐츠·맵·미니게임</x:v>
      </x:c>
      <x:c r="D31" s="36" t="str">
        <x:v>정상 시나리오: 미니게임 공통 실행 프레임워크</x:v>
      </x:c>
      <x:c r="E31" s="36" t="str">
        <x:v>시작, 입력, 타이머, 성공, 실패, 중단, 이탈, 페이즈 종료를 공통 상태로 처리하고 게임 본체 상태 머신과 충돌하지 않는다.</x:v>
      </x:c>
      <x:c r="F31" s="36" t="str">
        <x:v>대상 기능이 포함된 MVP 빌드, 필요한 테스트 계정·룸 설정·로그 접근 권한을 준비한다.</x:v>
      </x:c>
      <x:c r="G31" s="36" t="str">
        <x:v>1. 사전 조건 상태를 구성한다.
2. 표준 설정에서 다음 테스트 대상을 실행한다: 미니게임 공통 실행 프레임워크.
3. UI, 서버 상태와 로그·텔레메트리를 확인한다.
4. 필요하면 재입장 또는 재실행하여 재현성을 확인한다.</x:v>
      </x:c>
      <x:c r="H31" s="36" t="str">
        <x:v>시작, 입력, 타이머, 성공, 실패, 중단, 이탈, 페이즈 종료를 공통 상태로 처리하고 게임 본체 상태 머신과 충돌하지 않는다.</x:v>
      </x:c>
      <x:c r="I31" s="36" t="str">
        <x:v>통합</x:v>
      </x:c>
      <x:c r="J31" s="36" t="str">
        <x:v>P0</x:v>
      </x:c>
      <x:c r="K31" s="36" t="str">
        <x:v>전체</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TC-CNT-017-02</x:v>
      </x:c>
      <x:c r="B32" s="36" t="str">
        <x:v>CNT-017</x:v>
      </x:c>
      <x:c r="C32" s="36" t="str">
        <x:v>콘텐츠·맵·미니게임</x:v>
      </x:c>
      <x:c r="D32" s="36" t="str">
        <x:v>예외·경계 시나리오: 미니게임 공통 실행 프레임워크</x:v>
      </x:c>
      <x:c r="E32" s="36" t="str">
        <x:v>허용되지 않은 상태, 잘못된 값, 중복, 만료, 권한 부족, 연결 끊김 입력으로 데이터 손상·정보 유출·클라이언트 상태 분기가 발생하지 않는지 확인한다.</x:v>
      </x:c>
      <x:c r="F32" s="36" t="str">
        <x:v>대상 기능이 포함된 MVP 빌드와 디버그 입력, 네트워크 열화, 비정상 요청 재현 수단을 준비한다.</x:v>
      </x:c>
      <x:c r="G32" s="36" t="str">
        <x:v>1. 허용되지 않은 페이즈 또는 경계값 조건을 구성한다.
2. 미니게임 공통 실행 프레임워크에 대해 중복·무효·지연·연결 끊김을 포함한 요청을 전송한다.
3. 서버 거부, 롤백, 오류 표시와 감사 로그를 확인한다.
4. 모든 클라이언트의 상태가 일치하는지 확인한다.</x:v>
      </x:c>
      <x:c r="H32" s="36" t="str">
        <x:v>요청은 사양에 따라 거부되거나 안전하게 복구되며, 중복 반영, 데이터 손실, 정보 유출 또는 진행 중단이 발생하지 않는다. 오류와 상관관계 ID가 기록된다.</x:v>
      </x:c>
      <x:c r="I32" s="36" t="str">
        <x:v>통합</x:v>
      </x:c>
      <x:c r="J32" s="36" t="str">
        <x:v>P0</x:v>
      </x:c>
      <x:c r="K32" s="36" t="str">
        <x:v>전체</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TC-CNT-018-01</x:v>
      </x:c>
      <x:c r="B33" s="36" t="str">
        <x:v>CNT-018</x:v>
      </x:c>
      <x:c r="C33" s="36" t="str">
        <x:v>콘텐츠·맵·미니게임</x:v>
      </x:c>
      <x:c r="D33" s="36" t="str">
        <x:v>정상 시나리오: 인스턴스 소유권·참가 잠금</x:v>
      </x:c>
      <x:c r="E33" s="36" t="str">
        <x:v>같은 단말의 동시 참가, 중복 시작, 이탈, 연결 끊김, 밤 시작을 처리하고 대상 플레이어 외의 입력을 거부한다.</x:v>
      </x:c>
      <x:c r="F33" s="36" t="str">
        <x:v>대상 기능이 포함된 MVP 빌드, 필요한 테스트 계정·룸 설정·로그 접근 권한을 준비한다.</x:v>
      </x:c>
      <x:c r="G33" s="36" t="str">
        <x:v>1. 사전 조건 상태를 구성한다.
2. 표준 설정에서 다음 테스트 대상을 실행한다: 인스턴스 소유권·참가 잠금.
3. UI, 서버 상태와 로그·텔레메트리를 확인한다.
4. 필요하면 재입장 또는 재실행하여 재현성을 확인한다.</x:v>
      </x:c>
      <x:c r="H33" s="36" t="str">
        <x:v>같은 단말의 동시 참가, 중복 시작, 이탈, 연결 끊김, 밤 시작을 처리하고 대상 플레이어 외의 입력을 거부한다.</x:v>
      </x:c>
      <x:c r="I33" s="36" t="str">
        <x:v>네트워크</x:v>
      </x:c>
      <x:c r="J33" s="36" t="str">
        <x:v>P0</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TC-CNT-018-02</x:v>
      </x:c>
      <x:c r="B34" s="36" t="str">
        <x:v>CNT-018</x:v>
      </x:c>
      <x:c r="C34" s="36" t="str">
        <x:v>콘텐츠·맵·미니게임</x:v>
      </x:c>
      <x:c r="D34" s="36" t="str">
        <x:v>예외·경계 시나리오: 인스턴스 소유권·참가 잠금</x:v>
      </x:c>
      <x:c r="E34" s="36" t="str">
        <x:v>허용되지 않은 상태, 잘못된 값, 중복, 만료, 권한 부족, 연결 끊김 입력으로 데이터 손상·정보 유출·클라이언트 상태 분기가 발생하지 않는지 확인한다.</x:v>
      </x:c>
      <x:c r="F34" s="36" t="str">
        <x:v>대상 기능이 포함된 MVP 빌드와 디버그 입력, 네트워크 열화, 비정상 요청 재현 수단을 준비한다.</x:v>
      </x:c>
      <x:c r="G34" s="36" t="str">
        <x:v>1. 허용되지 않은 페이즈 또는 경계값 조건을 구성한다.
2. 인스턴스 소유권·참가 잠금에 대해 중복·무효·지연·연결 끊김을 포함한 요청을 전송한다.
3. 서버 거부, 롤백, 오류 표시와 감사 로그를 확인한다.
4. 모든 클라이언트의 상태가 일치하는지 확인한다.</x:v>
      </x:c>
      <x:c r="H34" s="36" t="str">
        <x:v>요청은 사양에 따라 거부되거나 안전하게 복구되며, 중복 반영, 데이터 손실, 정보 유출 또는 진행 중단이 발생하지 않는다. 오류와 상관관계 ID가 기록된다.</x:v>
      </x:c>
      <x:c r="I34" s="36" t="str">
        <x:v>네트워크</x:v>
      </x:c>
      <x:c r="J34" s="36" t="str">
        <x:v>P0</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TC-CNT-019-01</x:v>
      </x:c>
      <x:c r="B35" s="36" t="str">
        <x:v>CNT-019</x:v>
      </x:c>
      <x:c r="C35" s="36" t="str">
        <x:v>콘텐츠·맵·미니게임</x:v>
      </x:c>
      <x:c r="D35" s="36" t="str">
        <x:v>정상 시나리오: 미니게임 제작·검증 템플릿</x:v>
      </x:c>
      <x:c r="E35" s="36" t="str">
        <x:v>디자이너가 코드 변경 없이 기본 매개변수, 설명, 보상, 입력, 난이도를 설정할 수 있고 필수 필드를 검증한다.</x:v>
      </x:c>
      <x:c r="F35" s="36" t="str">
        <x:v>대상 기능이 포함된 알파 빌드, 필요한 테스트 계정·룸 설정·로그 접근 권한을 준비한다.</x:v>
      </x:c>
      <x:c r="G35" s="36" t="str">
        <x:v>1. 사전 조건 상태를 구성한다.
2. 표준 설정에서 다음 테스트 대상을 실행한다: 미니게임 제작·검증 템플릿.
3. UI, 서버 상태와 로그·텔레메트리를 확인한다.
4. 필요하면 재입장 또는 재실행하여 재현성을 확인한다.</x:v>
      </x:c>
      <x:c r="H35" s="36" t="str">
        <x:v>디자이너가 코드 변경 없이 기본 매개변수, 설명, 보상, 입력, 난이도를 설정할 수 있고 필수 필드를 검증한다.</x:v>
      </x:c>
      <x:c r="I35" s="36" t="str">
        <x:v>운영</x:v>
      </x:c>
      <x:c r="J35" s="36" t="str">
        <x:v>P1</x:v>
      </x:c>
      <x:c r="K35" s="36" t="str">
        <x:v>도구</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TC-CNT-020-01</x:v>
      </x:c>
      <x:c r="B36" s="36" t="str">
        <x:v>CNT-020</x:v>
      </x:c>
      <x:c r="C36" s="36" t="str">
        <x:v>콘텐츠·맵·미니게임</x:v>
      </x:c>
      <x:c r="D36" s="36" t="str">
        <x:v>정상 시나리오: 성공 판정·보상·중복 방지 인터페이스</x:v>
      </x:c>
      <x:c r="E36" s="36" t="str">
        <x:v>서버가 성공을 검증하고 고유 완료 ID를 발급해 메모 보상과 전체 진행도에 한 번만 반영한다.</x:v>
      </x:c>
      <x:c r="F36" s="36" t="str">
        <x:v>대상 기능이 포함된 MVP 빌드, 필요한 테스트 계정·룸 설정·로그 접근 권한을 준비한다.</x:v>
      </x:c>
      <x:c r="G36" s="36" t="str">
        <x:v>1. 사전 조건 상태를 구성한다.
2. 표준 설정에서 다음 테스트 대상을 실행한다: 성공 판정·보상·중복 방지 인터페이스.
3. UI, 서버 상태와 로그·텔레메트리를 확인한다.
4. 필요하면 재입장 또는 재실행하여 재현성을 확인한다.</x:v>
      </x:c>
      <x:c r="H36" s="36" t="str">
        <x:v>서버가 성공을 검증하고 고유 완료 ID를 발급해 메모 보상과 전체 진행도에 한 번만 반영한다.</x:v>
      </x:c>
      <x:c r="I36" s="36" t="str">
        <x:v>보안</x:v>
      </x:c>
      <x:c r="J36" s="36" t="str">
        <x:v>P0</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TC-CNT-020-02</x:v>
      </x:c>
      <x:c r="B37" s="36" t="str">
        <x:v>CNT-020</x:v>
      </x:c>
      <x:c r="C37" s="36" t="str">
        <x:v>콘텐츠·맵·미니게임</x:v>
      </x:c>
      <x:c r="D37" s="36" t="str">
        <x:v>예외·경계 시나리오: 성공 판정·보상·중복 방지 인터페이스</x:v>
      </x:c>
      <x:c r="E37" s="36" t="str">
        <x:v>허용되지 않은 상태, 잘못된 값, 중복, 만료, 권한 부족, 연결 끊김 입력으로 데이터 손상·정보 유출·클라이언트 상태 분기가 발생하지 않는지 확인한다.</x:v>
      </x:c>
      <x:c r="F37" s="36" t="str">
        <x:v>대상 기능이 포함된 MVP 빌드와 디버그 입력, 네트워크 열화, 비정상 요청 재현 수단을 준비한다.</x:v>
      </x:c>
      <x:c r="G37" s="36" t="str">
        <x:v>1. 허용되지 않은 페이즈 또는 경계값 조건을 구성한다.
2. 성공 판정·보상·중복 방지 인터페이스에 대해 중복·무효·지연·연결 끊김을 포함한 요청을 전송한다.
3. 서버 거부, 롤백, 오류 표시와 감사 로그를 확인한다.
4. 모든 클라이언트의 상태가 일치하는지 확인한다.</x:v>
      </x:c>
      <x:c r="H37" s="36" t="str">
        <x:v>요청은 사양에 따라 거부되거나 안전하게 복구되며, 중복 반영, 데이터 손실, 정보 유출 또는 진행 중단이 발생하지 않는다. 오류와 상관관계 ID가 기록된다.</x:v>
      </x:c>
      <x:c r="I37" s="36" t="str">
        <x:v>보안</x:v>
      </x:c>
      <x:c r="J37" s="36" t="str">
        <x:v>P0</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TC-CNT-021-01</x:v>
      </x:c>
      <x:c r="B38" s="36" t="str">
        <x:v>CNT-021</x:v>
      </x:c>
      <x:c r="C38" s="36" t="str">
        <x:v>콘텐츠·맵·미니게임</x:v>
      </x:c>
      <x:c r="D38" s="36" t="str">
        <x:v>정상 시나리오: 3초 이해·조작 설명·실패 피드백 기준</x:v>
      </x:c>
      <x:c r="E38" s="36" t="str">
        <x:v>처음 플레이하는 사용자가 3초 안에 목표와 조작을 이해하고 잘못 조작했을 때 원인과 재시도 가능 여부를 알 수 있으며 언어와 입력 장치 차이에 대응한다.</x:v>
      </x:c>
      <x:c r="F38" s="36" t="str">
        <x:v>대상 기능이 포함된 MVP 빌드, 필요한 테스트 계정·룸 설정·로그 접근 권한을 준비한다.</x:v>
      </x:c>
      <x:c r="G38" s="36" t="str">
        <x:v>1. 사전 조건 상태를 구성한다.
2. 표준 설정에서 다음 테스트 대상을 실행한다: 3초 이해·조작 설명·실패 피드백 기준.
3. UI, 서버 상태와 로그·텔레메트리를 확인한다.
4. 필요하면 재입장 또는 재실행하여 재현성을 확인한다.</x:v>
      </x:c>
      <x:c r="H38" s="36" t="str">
        <x:v>처음 플레이하는 사용자가 3초 안에 목표와 조작을 이해하고 잘못 조작했을 때 원인과 재시도 가능 여부를 알 수 있으며 언어와 입력 장치 차이에 대응한다.</x:v>
      </x:c>
      <x:c r="I38" s="36" t="str">
        <x:v>사용성</x:v>
      </x:c>
      <x:c r="J38" s="36" t="str">
        <x:v>P0</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TC-CNT-021-02</x:v>
      </x:c>
      <x:c r="B39" s="36" t="str">
        <x:v>CNT-021</x:v>
      </x:c>
      <x:c r="C39" s="36" t="str">
        <x:v>콘텐츠·맵·미니게임</x:v>
      </x:c>
      <x:c r="D39" s="36" t="str">
        <x:v>예외·경계 시나리오: 3초 이해·조작 설명·실패 피드백 기준</x:v>
      </x:c>
      <x:c r="E39" s="36" t="str">
        <x:v>허용되지 않은 상태, 잘못된 값, 중복, 만료, 권한 부족, 연결 끊김 입력으로 데이터 손상·정보 유출·클라이언트 상태 분기가 발생하지 않는지 확인한다.</x:v>
      </x:c>
      <x:c r="F39" s="36" t="str">
        <x:v>대상 기능이 포함된 MVP 빌드와 디버그 입력, 네트워크 열화, 비정상 요청 재현 수단을 준비한다.</x:v>
      </x:c>
      <x:c r="G39" s="36" t="str">
        <x:v>1. 허용되지 않은 페이즈 또는 경계값 조건을 구성한다.
2. 3초 이해·조작 설명·실패 피드백 기준에 대해 중복·무효·지연·연결 끊김을 포함한 요청을 전송한다.
3. 서버 거부, 롤백, 오류 표시와 감사 로그를 확인한다.
4. 모든 클라이언트의 상태가 일치하는지 확인한다.</x:v>
      </x:c>
      <x:c r="H39" s="36" t="str">
        <x:v>요청은 사양에 따라 거부되거나 안전하게 복구되며, 중복 반영, 데이터 손실, 정보 유출 또는 진행 중단이 발생하지 않는다. 오류와 상관관계 ID가 기록된다.</x:v>
      </x:c>
      <x:c r="I39" s="36" t="str">
        <x:v>사용성</x:v>
      </x:c>
      <x:c r="J39" s="36" t="str">
        <x:v>P0</x:v>
      </x:c>
      <x:c r="K39" s="36" t="str">
        <x:v>전체</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TC-CNT-022-01</x:v>
      </x:c>
      <x:c r="B40" s="36" t="str">
        <x:v>CNT-022</x:v>
      </x:c>
      <x:c r="C40" s="36" t="str">
        <x:v>콘텐츠·맵·미니게임</x:v>
      </x:c>
      <x:c r="D40" s="36" t="str">
        <x:v>정상 시나리오: 룸 전체 미니게임 진행도·최종 재판 연동</x:v>
      </x:c>
      <x:c r="E40" s="36" t="str">
        <x:v>서버가 필요 총수와 완료 수를 관리하고 모두 완료되면 최종 재판 트리거를 한 번만 발행한다. 중도 이탈이나 재시도로 진행도가 되돌아가지 않는다.</x:v>
      </x:c>
      <x:c r="F40" s="36" t="str">
        <x:v>대상 기능이 포함된 MVP 빌드, 필요한 테스트 계정·룸 설정·로그 접근 권한을 준비한다.</x:v>
      </x:c>
      <x:c r="G40" s="36" t="str">
        <x:v>1. 사전 조건 상태를 구성한다.
2. 표준 설정에서 다음 테스트 대상을 실행한다: 룸 전체 미니게임 진행도·최종 재판 연동.
3. UI, 서버 상태와 로그·텔레메트리를 확인한다.
4. 필요하면 재입장 또는 재실행하여 재현성을 확인한다.</x:v>
      </x:c>
      <x:c r="H40" s="36" t="str">
        <x:v>서버가 필요 총수와 완료 수를 관리하고 모두 완료되면 최종 재판 트리거를 한 번만 발행한다. 중도 이탈이나 재시도로 진행도가 되돌아가지 않는다.</x:v>
      </x:c>
      <x:c r="I40" s="36" t="str">
        <x:v>경계값</x:v>
      </x:c>
      <x:c r="J40" s="36" t="str">
        <x:v>P0</x:v>
      </x:c>
      <x:c r="K40" s="36" t="str">
        <x:v>전체</x:v>
      </x:c>
      <x:c r="L40" s="36" t="str">
        <x:v>예</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TC-CNT-022-02</x:v>
      </x:c>
      <x:c r="B41" s="36" t="str">
        <x:v>CNT-022</x:v>
      </x:c>
      <x:c r="C41" s="36" t="str">
        <x:v>콘텐츠·맵·미니게임</x:v>
      </x:c>
      <x:c r="D41" s="36" t="str">
        <x:v>예외·경계 시나리오: 룸 전체 미니게임 진행도·최종 재판 연동</x:v>
      </x:c>
      <x:c r="E41" s="36" t="str">
        <x:v>허용되지 않은 상태, 잘못된 값, 중복, 만료, 권한 부족, 연결 끊김 입력으로 데이터 손상·정보 유출·클라이언트 상태 분기가 발생하지 않는지 확인한다.</x:v>
      </x:c>
      <x:c r="F41" s="36" t="str">
        <x:v>대상 기능이 포함된 MVP 빌드와 디버그 입력, 네트워크 열화, 비정상 요청 재현 수단을 준비한다.</x:v>
      </x:c>
      <x:c r="G41" s="36" t="str">
        <x:v>1. 허용되지 않은 페이즈 또는 경계값 조건을 구성한다.
2. 룸 전체 미니게임 진행도·최종 재판 연동에 대해 중복·무효·지연·연결 끊김을 포함한 요청을 전송한다.
3. 서버 거부, 롤백, 오류 표시와 감사 로그를 확인한다.
4. 모든 클라이언트의 상태가 일치하는지 확인한다.</x:v>
      </x:c>
      <x:c r="H41" s="36" t="str">
        <x:v>요청은 사양에 따라 거부되거나 안전하게 복구되며, 중복 반영, 데이터 손실, 정보 유출 또는 진행 중단이 발생하지 않는다. 오류와 상관관계 ID가 기록된다.</x:v>
      </x:c>
      <x:c r="I41" s="36" t="str">
        <x:v>경계값</x:v>
      </x:c>
      <x:c r="J41" s="36" t="str">
        <x:v>P0</x:v>
      </x:c>
      <x:c r="K41" s="36" t="str">
        <x:v>전체</x:v>
      </x:c>
      <x:c r="L41" s="36" t="str">
        <x:v>예</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TC-CNT-023-01</x:v>
      </x:c>
      <x:c r="B42" s="36" t="str">
        <x:v>CNT-023</x:v>
      </x:c>
      <x:c r="C42" s="36" t="str">
        <x:v>콘텐츠·맵·미니게임</x:v>
      </x:c>
      <x:c r="D42" s="36" t="str">
        <x:v>정상 시나리오: 같은 그림 찾기 미니게임</x:v>
      </x:c>
      <x:c r="E42" s="36" t="str">
        <x:v>제한 시간 안에 목표와 같은 도형을 선택하며 난이도별 선택지 수, 시인성, 오답 페널티가 설정대로 동작한다.</x:v>
      </x:c>
      <x:c r="F42" s="36" t="str">
        <x:v>대상 기능이 포함된 MVP 빌드, 필요한 테스트 계정·룸 설정·로그 접근 권한을 준비한다.</x:v>
      </x:c>
      <x:c r="G42" s="36" t="str">
        <x:v>1. 사전 조건 상태를 구성한다.
2. 표준 설정에서 다음 테스트 대상을 실행한다: 같은 그림 찾기 미니게임.
3. UI, 서버 상태와 로그·텔레메트리를 확인한다.
4. 필요하면 재입장 또는 재실행하여 재현성을 확인한다.</x:v>
      </x:c>
      <x:c r="H42" s="36" t="str">
        <x:v>제한 시간 안에 목표와 같은 도형을 선택하며 난이도별 선택지 수, 시인성, 오답 페널티가 설정대로 동작한다.</x:v>
      </x:c>
      <x:c r="I42" s="36" t="str">
        <x:v>기능</x:v>
      </x:c>
      <x:c r="J42" s="36" t="str">
        <x:v>P0</x:v>
      </x:c>
      <x:c r="K42" s="36" t="str">
        <x:v>전체</x:v>
      </x:c>
      <x:c r="L42" s="36" t="str">
        <x:v>예</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TC-CNT-023-02</x:v>
      </x:c>
      <x:c r="B43" s="36" t="str">
        <x:v>CNT-023</x:v>
      </x:c>
      <x:c r="C43" s="36" t="str">
        <x:v>콘텐츠·맵·미니게임</x:v>
      </x:c>
      <x:c r="D43" s="36" t="str">
        <x:v>예외·경계 시나리오: 같은 그림 찾기 미니게임</x:v>
      </x:c>
      <x:c r="E43" s="36" t="str">
        <x:v>허용되지 않은 상태, 잘못된 값, 중복, 만료, 권한 부족, 연결 끊김 입력으로 데이터 손상·정보 유출·클라이언트 상태 분기가 발생하지 않는지 확인한다.</x:v>
      </x:c>
      <x:c r="F43" s="36" t="str">
        <x:v>대상 기능이 포함된 MVP 빌드와 디버그 입력, 네트워크 열화, 비정상 요청 재현 수단을 준비한다.</x:v>
      </x:c>
      <x:c r="G43" s="36" t="str">
        <x:v>1. 허용되지 않은 페이즈 또는 경계값 조건을 구성한다.
2. 같은 그림 찾기 미니게임에 대해 중복·무효·지연·연결 끊김을 포함한 요청을 전송한다.
3. 서버 거부, 롤백, 오류 표시와 감사 로그를 확인한다.
4. 모든 클라이언트의 상태가 일치하는지 확인한다.</x:v>
      </x:c>
      <x:c r="H43" s="36" t="str">
        <x:v>요청은 사양에 따라 거부되거나 안전하게 복구되며, 중복 반영, 데이터 손실, 정보 유출 또는 진행 중단이 발생하지 않는다. 오류와 상관관계 ID가 기록된다.</x:v>
      </x:c>
      <x:c r="I43" s="36" t="str">
        <x:v>기능</x:v>
      </x:c>
      <x:c r="J43" s="36" t="str">
        <x:v>P0</x:v>
      </x:c>
      <x:c r="K43" s="36" t="str">
        <x:v>전체</x:v>
      </x:c>
      <x:c r="L43" s="36" t="str">
        <x:v>예</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TC-CNT-024-01</x:v>
      </x:c>
      <x:c r="B44" s="36" t="str">
        <x:v>CNT-024</x:v>
      </x:c>
      <x:c r="C44" s="36" t="str">
        <x:v>콘텐츠·맵·미니게임</x:v>
      </x:c>
      <x:c r="D44" s="36" t="str">
        <x:v>정상 시나리오: 버튼 순서 기억 미니게임</x:v>
      </x:c>
      <x:c r="E44" s="36" t="str">
        <x:v>제시된 순서를 입력하고 중복 입력, 시간 초과, 페이즈 종료, 입력 장치 차이를 일관되게 처리한다.</x:v>
      </x:c>
      <x:c r="F44" s="36" t="str">
        <x:v>대상 기능이 포함된 MVP 빌드, 필요한 테스트 계정·룸 설정·로그 접근 권한을 준비한다.</x:v>
      </x:c>
      <x:c r="G44" s="36" t="str">
        <x:v>1. 사전 조건 상태를 구성한다.
2. 표준 설정에서 다음 테스트 대상을 실행한다: 버튼 순서 기억 미니게임.
3. UI, 서버 상태와 로그·텔레메트리를 확인한다.
4. 필요하면 재입장 또는 재실행하여 재현성을 확인한다.</x:v>
      </x:c>
      <x:c r="H44" s="36" t="str">
        <x:v>제시된 순서를 입력하고 중복 입력, 시간 초과, 페이즈 종료, 입력 장치 차이를 일관되게 처리한다.</x:v>
      </x:c>
      <x:c r="I44" s="36" t="str">
        <x:v>기능</x:v>
      </x:c>
      <x:c r="J44" s="36" t="str">
        <x:v>P0</x:v>
      </x:c>
      <x:c r="K44" s="36" t="str">
        <x:v>전체</x:v>
      </x:c>
      <x:c r="L44" s="36" t="str">
        <x:v>예</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TC-CNT-024-02</x:v>
      </x:c>
      <x:c r="B45" s="36" t="str">
        <x:v>CNT-024</x:v>
      </x:c>
      <x:c r="C45" s="36" t="str">
        <x:v>콘텐츠·맵·미니게임</x:v>
      </x:c>
      <x:c r="D45" s="36" t="str">
        <x:v>예외·경계 시나리오: 버튼 순서 기억 미니게임</x:v>
      </x:c>
      <x:c r="E45" s="36" t="str">
        <x:v>허용되지 않은 상태, 잘못된 값, 중복, 만료, 권한 부족, 연결 끊김 입력으로 데이터 손상·정보 유출·클라이언트 상태 분기가 발생하지 않는지 확인한다.</x:v>
      </x:c>
      <x:c r="F45" s="36" t="str">
        <x:v>대상 기능이 포함된 MVP 빌드와 디버그 입력, 네트워크 열화, 비정상 요청 재현 수단을 준비한다.</x:v>
      </x:c>
      <x:c r="G45" s="36" t="str">
        <x:v>1. 허용되지 않은 페이즈 또는 경계값 조건을 구성한다.
2. 버튼 순서 기억 미니게임에 대해 중복·무효·지연·연결 끊김을 포함한 요청을 전송한다.
3. 서버 거부, 롤백, 오류 표시와 감사 로그를 확인한다.
4. 모든 클라이언트의 상태가 일치하는지 확인한다.</x:v>
      </x:c>
      <x:c r="H45" s="36" t="str">
        <x:v>요청은 사양에 따라 거부되거나 안전하게 복구되며, 중복 반영, 데이터 손실, 정보 유출 또는 진행 중단이 발생하지 않는다. 오류와 상관관계 ID가 기록된다.</x:v>
      </x:c>
      <x:c r="I45" s="36" t="str">
        <x:v>기능</x:v>
      </x:c>
      <x:c r="J45" s="36" t="str">
        <x:v>P0</x:v>
      </x:c>
      <x:c r="K45" s="36" t="str">
        <x:v>전체</x:v>
      </x:c>
      <x:c r="L45" s="36" t="str">
        <x:v>예</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TC-CNT-025-01</x:v>
      </x:c>
      <x:c r="B46" s="36" t="str">
        <x:v>CNT-025</x:v>
      </x:c>
      <x:c r="C46" s="36" t="str">
        <x:v>콘텐츠·맵·미니게임</x:v>
      </x:c>
      <x:c r="D46" s="36" t="str">
        <x:v>정상 시나리오: 색상·형태 맞추기 미니게임</x:v>
      </x:c>
      <x:c r="E46" s="36" t="str">
        <x:v>색상만에 의존하지 않고 형태와 기호를 함께 사용하며 색각 보조 설정에서도 난이도와 정답이 바뀌지 않는다.</x:v>
      </x:c>
      <x:c r="F46" s="36" t="str">
        <x:v>대상 기능이 포함된 MVP 빌드, 필요한 테스트 계정·룸 설정·로그 접근 권한을 준비한다.</x:v>
      </x:c>
      <x:c r="G46" s="36" t="str">
        <x:v>1. 사전 조건 상태를 구성한다.
2. 표준 설정에서 다음 테스트 대상을 실행한다: 색상·형태 맞추기 미니게임.
3. UI, 서버 상태와 로그·텔레메트리를 확인한다.
4. 필요하면 재입장 또는 재실행하여 재현성을 확인한다.</x:v>
      </x:c>
      <x:c r="H46" s="36" t="str">
        <x:v>색상만에 의존하지 않고 형태와 기호를 함께 사용하며 색각 보조 설정에서도 난이도와 정답이 바뀌지 않는다.</x:v>
      </x:c>
      <x:c r="I46" s="36" t="str">
        <x:v>접근성</x:v>
      </x:c>
      <x:c r="J46" s="36" t="str">
        <x:v>P0</x:v>
      </x:c>
      <x:c r="K46" s="36" t="str">
        <x:v>전체</x:v>
      </x:c>
      <x:c r="L46" s="36" t="str">
        <x:v>예</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TC-CNT-025-02</x:v>
      </x:c>
      <x:c r="B47" s="36" t="str">
        <x:v>CNT-025</x:v>
      </x:c>
      <x:c r="C47" s="36" t="str">
        <x:v>콘텐츠·맵·미니게임</x:v>
      </x:c>
      <x:c r="D47" s="36" t="str">
        <x:v>예외·경계 시나리오: 색상·형태 맞추기 미니게임</x:v>
      </x:c>
      <x:c r="E47" s="36" t="str">
        <x:v>허용되지 않은 상태, 잘못된 값, 중복, 만료, 권한 부족, 연결 끊김 입력으로 데이터 손상·정보 유출·클라이언트 상태 분기가 발생하지 않는지 확인한다.</x:v>
      </x:c>
      <x:c r="F47" s="36" t="str">
        <x:v>대상 기능이 포함된 MVP 빌드와 디버그 입력, 네트워크 열화, 비정상 요청 재현 수단을 준비한다.</x:v>
      </x:c>
      <x:c r="G47" s="36" t="str">
        <x:v>1. 허용되지 않은 페이즈 또는 경계값 조건을 구성한다.
2. 색상·형태 맞추기 미니게임에 대해 중복·무효·지연·연결 끊김을 포함한 요청을 전송한다.
3. 서버 거부, 롤백, 오류 표시와 감사 로그를 확인한다.
4. 모든 클라이언트의 상태가 일치하는지 확인한다.</x:v>
      </x:c>
      <x:c r="H47" s="36" t="str">
        <x:v>요청은 사양에 따라 거부되거나 안전하게 복구되며, 중복 반영, 데이터 손실, 정보 유출 또는 진행 중단이 발생하지 않는다. 오류와 상관관계 ID가 기록된다.</x:v>
      </x:c>
      <x:c r="I47" s="36" t="str">
        <x:v>접근성</x:v>
      </x:c>
      <x:c r="J47" s="36" t="str">
        <x:v>P0</x:v>
      </x:c>
      <x:c r="K47" s="36" t="str">
        <x:v>전체</x:v>
      </x:c>
      <x:c r="L47" s="36" t="str">
        <x:v>예</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TC-CNT-026-01</x:v>
      </x:c>
      <x:c r="B48" s="36" t="str">
        <x:v>CNT-026</x:v>
      </x:c>
      <x:c r="C48" s="36" t="str">
        <x:v>콘텐츠·맵·미니게임</x:v>
      </x:c>
      <x:c r="D48" s="36" t="str">
        <x:v>정상 시나리오: 미니게임 소요 시간·난이도·보상 기준</x:v>
      </x:c>
      <x:c r="E48" s="36" t="str">
        <x:v>일반 미니게임은 목표 시간 안에 완료되고 메모 1장 보상 대비 위험과 시간이 지나치게 편중되지 않으며 실패율과 재시도율을 측정한다.</x:v>
      </x:c>
      <x:c r="F48" s="36" t="str">
        <x:v>대상 기능이 포함된 알파 빌드, 필요한 테스트 계정·룸 설정·로그 접근 권한을 준비한다.</x:v>
      </x:c>
      <x:c r="G48" s="36" t="str">
        <x:v>1. 사전 조건 상태를 구성한다.
2. 표준 설정에서 다음 테스트 대상을 실행한다: 미니게임 소요 시간·난이도·보상 기준.
3. UI, 서버 상태와 로그·텔레메트리를 확인한다.
4. 필요하면 재입장 또는 재실행하여 재현성을 확인한다.</x:v>
      </x:c>
      <x:c r="H48" s="36" t="str">
        <x:v>일반 미니게임은 목표 시간 안에 완료되고 메모 1장 보상 대비 위험과 시간이 지나치게 편중되지 않으며 실패율과 재시도율을 측정한다.</x:v>
      </x:c>
      <x:c r="I48" s="36" t="str">
        <x:v>밸런스</x:v>
      </x:c>
      <x:c r="J48" s="36" t="str">
        <x:v>P0</x:v>
      </x:c>
      <x:c r="K48" s="36" t="str">
        <x:v>전체</x:v>
      </x:c>
      <x:c r="L48" s="36" t="str">
        <x:v>예</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TC-CNT-026-02</x:v>
      </x:c>
      <x:c r="B49" s="36" t="str">
        <x:v>CNT-026</x:v>
      </x:c>
      <x:c r="C49" s="36" t="str">
        <x:v>콘텐츠·맵·미니게임</x:v>
      </x:c>
      <x:c r="D49" s="36" t="str">
        <x:v>예외·경계 시나리오: 미니게임 소요 시간·난이도·보상 기준</x:v>
      </x:c>
      <x:c r="E49" s="36" t="str">
        <x:v>허용되지 않은 상태, 잘못된 값, 중복, 만료, 권한 부족, 연결 끊김 입력으로 데이터 손상·정보 유출·클라이언트 상태 분기가 발생하지 않는지 확인한다.</x:v>
      </x:c>
      <x:c r="F49" s="36" t="str">
        <x:v>대상 기능이 포함된 알파 빌드와 디버그 입력, 네트워크 열화, 비정상 요청 재현 수단을 준비한다.</x:v>
      </x:c>
      <x:c r="G49" s="36" t="str">
        <x:v>1. 허용되지 않은 페이즈 또는 경계값 조건을 구성한다.
2. 미니게임 소요 시간·난이도·보상 기준에 대해 중복·무효·지연·연결 끊김을 포함한 요청을 전송한다.
3. 서버 거부, 롤백, 오류 표시와 감사 로그를 확인한다.
4. 모든 클라이언트의 상태가 일치하는지 확인한다.</x:v>
      </x:c>
      <x:c r="H49" s="36" t="str">
        <x:v>요청은 사양에 따라 거부되거나 안전하게 복구되며, 중복 반영, 데이터 손실, 정보 유출 또는 진행 중단이 발생하지 않는다. 오류와 상관관계 ID가 기록된다.</x:v>
      </x:c>
      <x:c r="I49" s="36" t="str">
        <x:v>밸런스</x:v>
      </x:c>
      <x:c r="J49" s="36" t="str">
        <x:v>P0</x:v>
      </x:c>
      <x:c r="K49" s="36" t="str">
        <x:v>전체</x:v>
      </x:c>
      <x:c r="L49" s="36" t="str">
        <x:v>예</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TC-CNT-027-01</x:v>
      </x:c>
      <x:c r="B50" s="36" t="str">
        <x:v>CNT-027</x:v>
      </x:c>
      <x:c r="C50" s="36" t="str">
        <x:v>콘텐츠·맵·미니게임</x:v>
      </x:c>
      <x:c r="D50" s="36" t="str">
        <x:v>정상 시나리오: 단말 배치·활성 과제 라운드 생성</x:v>
      </x:c>
      <x:c r="E50" s="36" t="str">
        <x:v>참가 인원, 맵, 필요 총수에 맞춰 단말을 선택하고 같은 방 편중, 도달 불가, 같은 문제의 과도한 연속 출현을 방지한다.</x:v>
      </x:c>
      <x:c r="F50" s="36" t="str">
        <x:v>대상 기능이 포함된 알파 빌드, 필요한 테스트 계정·룸 설정·로그 접근 권한을 준비한다.</x:v>
      </x:c>
      <x:c r="G50" s="36" t="str">
        <x:v>1. 사전 조건 상태를 구성한다.
2. 표준 설정에서 다음 테스트 대상을 실행한다: 단말 배치·활성 과제 라운드 생성.
3. UI, 서버 상태와 로그·텔레메트리를 확인한다.
4. 필요하면 재입장 또는 재실행하여 재현성을 확인한다.</x:v>
      </x:c>
      <x:c r="H50" s="36" t="str">
        <x:v>참가 인원, 맵, 필요 총수에 맞춰 단말을 선택하고 같은 방 편중, 도달 불가, 같은 문제의 과도한 연속 출현을 방지한다.</x:v>
      </x:c>
      <x:c r="I50" s="36" t="str">
        <x:v>경계값</x:v>
      </x:c>
      <x:c r="J50" s="36" t="str">
        <x:v>P1</x:v>
      </x:c>
      <x:c r="K50" s="36" t="str">
        <x:v>서버</x:v>
      </x:c>
      <x:c r="L50" s="36" t="str">
        <x:v>예</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TC-CNT-028-01</x:v>
      </x:c>
      <x:c r="B51" s="36" t="str">
        <x:v>CNT-028</x:v>
      </x:c>
      <x:c r="C51" s="36" t="str">
        <x:v>콘텐츠·맵·미니게임</x:v>
      </x:c>
      <x:c r="D51" s="36" t="str">
        <x:v>정상 시나리오: 맵·미니게임·문구 버전·해시 검증</x:v>
      </x:c>
      <x:c r="E51" s="36" t="str">
        <x:v>매치 시작 전에 서버 요구 버전과 클라이언트 에셋 해시를 비교하고 불일치하면 시작하지 않으며 갱신 또는 재다운로드를 안내한다.</x:v>
      </x:c>
      <x:c r="F51" s="36" t="str">
        <x:v>대상 기능이 포함된 MVP 빌드, 필요한 테스트 계정·룸 설정·로그 접근 권한을 준비한다.</x:v>
      </x:c>
      <x:c r="G51" s="36" t="str">
        <x:v>1. 사전 조건 상태를 구성한다.
2. 표준 설정에서 다음 테스트 대상을 실행한다: 맵·미니게임·문구 버전·해시 검증.
3. UI, 서버 상태와 로그·텔레메트리를 확인한다.
4. 필요하면 재입장 또는 재실행하여 재현성을 확인한다.</x:v>
      </x:c>
      <x:c r="H51" s="36" t="str">
        <x:v>매치 시작 전에 서버 요구 버전과 클라이언트 에셋 해시를 비교하고 불일치하면 시작하지 않으며 갱신 또는 재다운로드를 안내한다.</x:v>
      </x:c>
      <x:c r="I51" s="36" t="str">
        <x:v>호환성</x:v>
      </x:c>
      <x:c r="J51" s="36" t="str">
        <x:v>P0</x:v>
      </x:c>
      <x:c r="K51" s="36" t="str">
        <x:v>전체</x:v>
      </x:c>
      <x:c r="L51" s="36" t="str">
        <x:v>예</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TC-CNT-028-02</x:v>
      </x:c>
      <x:c r="B52" s="36" t="str">
        <x:v>CNT-028</x:v>
      </x:c>
      <x:c r="C52" s="36" t="str">
        <x:v>콘텐츠·맵·미니게임</x:v>
      </x:c>
      <x:c r="D52" s="36" t="str">
        <x:v>예외·경계 시나리오: 맵·미니게임·문구 버전·해시 검증</x:v>
      </x:c>
      <x:c r="E52" s="36" t="str">
        <x:v>허용되지 않은 상태, 잘못된 값, 중복, 만료, 권한 부족, 연결 끊김 입력으로 데이터 손상·정보 유출·클라이언트 상태 분기가 발생하지 않는지 확인한다.</x:v>
      </x:c>
      <x:c r="F52" s="36" t="str">
        <x:v>대상 기능이 포함된 MVP 빌드와 디버그 입력, 네트워크 열화, 비정상 요청 재현 수단을 준비한다.</x:v>
      </x:c>
      <x:c r="G52" s="36" t="str">
        <x:v>1. 허용되지 않은 페이즈 또는 경계값 조건을 구성한다.
2. 맵·미니게임·문구 버전·해시 검증에 대해 중복·무효·지연·연결 끊김을 포함한 요청을 전송한다.
3. 서버 거부, 롤백, 오류 표시와 감사 로그를 확인한다.
4. 모든 클라이언트의 상태가 일치하는지 확인한다.</x:v>
      </x:c>
      <x:c r="H52" s="36" t="str">
        <x:v>요청은 사양에 따라 거부되거나 안전하게 복구되며, 중복 반영, 데이터 손실, 정보 유출 또는 진행 중단이 발생하지 않는다. 오류와 상관관계 ID가 기록된다.</x:v>
      </x:c>
      <x:c r="I52" s="36" t="str">
        <x:v>호환성</x:v>
      </x:c>
      <x:c r="J52" s="36" t="str">
        <x:v>P0</x:v>
      </x:c>
      <x:c r="K52" s="36" t="str">
        <x:v>전체</x:v>
      </x:c>
      <x:c r="L52" s="36" t="str">
        <x:v>예</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TC-CNT-029-01</x:v>
      </x:c>
      <x:c r="B53" s="36" t="str">
        <x:v>CNT-029</x:v>
      </x:c>
      <x:c r="C53" s="36" t="str">
        <x:v>콘텐츠·맵·미니게임</x:v>
      </x:c>
      <x:c r="D53" s="36" t="str">
        <x:v>정상 시나리오: 사진 메모 카메라·촬영 지점</x:v>
      </x:c>
      <x:c r="E53" s="36" t="str">
        <x:v>무작위 출현, 획득, 2회 사용, 좁은 화각, 흐림, 대상 거리 규칙을 맵·아이템 데이터로 정의해 확정 증거가 지나치게 강해지지 않도록 한다.</x:v>
      </x:c>
      <x:c r="F53" s="36" t="str">
        <x:v>대상 기능이 포함된 출시 후 빌드, 필요한 테스트 계정·룸 설정·로그 접근 권한을 준비한다.</x:v>
      </x:c>
      <x:c r="G53" s="36" t="str">
        <x:v>1. 사전 조건 상태를 구성한다.
2. 표준 설정에서 다음 테스트 대상을 실행한다: 사진 메모 카메라·촬영 지점.
3. UI, 서버 상태와 로그·텔레메트리를 확인한다.
4. 필요하면 재입장 또는 재실행하여 재현성을 확인한다.</x:v>
      </x:c>
      <x:c r="H53" s="36" t="str">
        <x:v>무작위 출현, 획득, 2회 사용, 좁은 화각, 흐림, 대상 거리 규칙을 맵·아이템 데이터로 정의해 확정 증거가 지나치게 강해지지 않도록 한다.</x:v>
      </x:c>
      <x:c r="I53" s="36" t="str">
        <x:v>밸런스</x:v>
      </x:c>
      <x:c r="J53" s="36" t="str">
        <x:v>P2</x:v>
      </x:c>
      <x:c r="K53" s="36" t="str">
        <x:v>전체</x:v>
      </x:c>
      <x:c r="L53" s="36" t="str">
        <x:v>예</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TC-CNT-030-01</x:v>
      </x:c>
      <x:c r="B54" s="36" t="str">
        <x:v>CNT-030</x:v>
      </x:c>
      <x:c r="C54" s="36" t="str">
        <x:v>콘텐츠·맵·미니게임</x:v>
      </x:c>
      <x:c r="D54" s="36" t="str">
        <x:v>정상 시나리오: 2인 협동 미니게임 템플릿</x:v>
      </x:c>
      <x:c r="E54" s="36" t="str">
        <x:v>참가 대기, 동기화 시작, 역할별 UI, 동시 입력, 한쪽 이탈, 성공 시 양쪽 보상을 공통화하고 마피아도 참가할 수 있다.</x:v>
      </x:c>
      <x:c r="F54" s="36" t="str">
        <x:v>대상 기능이 포함된 출시 후 빌드, 필요한 테스트 계정·룸 설정·로그 접근 권한을 준비한다.</x:v>
      </x:c>
      <x:c r="G54" s="36" t="str">
        <x:v>1. 사전 조건 상태를 구성한다.
2. 표준 설정에서 다음 테스트 대상을 실행한다: 2인 협동 미니게임 템플릿.
3. UI, 서버 상태와 로그·텔레메트리를 확인한다.
4. 필요하면 재입장 또는 재실행하여 재현성을 확인한다.</x:v>
      </x:c>
      <x:c r="H54" s="36" t="str">
        <x:v>참가 대기, 동기화 시작, 역할별 UI, 동시 입력, 한쪽 이탈, 성공 시 양쪽 보상을 공통화하고 마피아도 참가할 수 있다.</x:v>
      </x:c>
      <x:c r="I54" s="36" t="str">
        <x:v>네트워크</x:v>
      </x:c>
      <x:c r="J54" s="36" t="str">
        <x:v>P2</x:v>
      </x:c>
      <x:c r="K54" s="36" t="str">
        <x:v>전체</x:v>
      </x:c>
      <x:c r="L54" s="36" t="str">
        <x:v>예</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TC-CNT-031-01</x:v>
      </x:c>
      <x:c r="B55" s="36" t="str">
        <x:v>CNT-031</x:v>
      </x:c>
      <x:c r="C55" s="36" t="str">
        <x:v>콘텐츠·맵·미니게임</x:v>
      </x:c>
      <x:c r="D55" s="36" t="str">
        <x:v>정상 시나리오: 미니게임·맵 행동 분석 이벤트</x:v>
      </x:c>
      <x:c r="E55" s="36" t="str">
        <x:v>시작, 성공, 실패, 시간, 위치, 참가자, 보상, 이탈을 익명화해 수집하고 역할·승률 상관 분석은 접근 권한으로 제한한다.</x:v>
      </x:c>
      <x:c r="F55" s="36" t="str">
        <x:v>대상 기능이 포함된 알파 빌드, 필요한 테스트 계정·룸 설정·로그 접근 권한을 준비한다.</x:v>
      </x:c>
      <x:c r="G55" s="36" t="str">
        <x:v>1. 사전 조건 상태를 구성한다.
2. 표준 설정에서 다음 테스트 대상을 실행한다: 미니게임·맵 행동 분석 이벤트.
3. UI, 서버 상태와 로그·텔레메트리를 확인한다.
4. 필요하면 재입장 또는 재실행하여 재현성을 확인한다.</x:v>
      </x:c>
      <x:c r="H55" s="36" t="str">
        <x:v>시작, 성공, 실패, 시간, 위치, 참가자, 보상, 이탈을 익명화해 수집하고 역할·승률 상관 분석은 접근 권한으로 제한한다.</x:v>
      </x:c>
      <x:c r="I55" s="36" t="str">
        <x:v>운영</x:v>
      </x:c>
      <x:c r="J55" s="36" t="str">
        <x:v>P1</x:v>
      </x:c>
      <x:c r="K55" s="36" t="str">
        <x:v>전체</x:v>
      </x:c>
      <x:c r="L55" s="36" t="str">
        <x:v>예</x:v>
      </x:c>
      <x:c r="M55" s="36" t="str">
        <x:v>미실시</x:v>
      </x:c>
      <x:c r="N55" s="36" t="str">
        <x:v>미정</x:v>
      </x:c>
      <x:c r="O55" s="36" t="str">
        <x:v>미정</x:v>
      </x:c>
      <x:c r="P55" s="36"/>
      <x:c r="Q55" s="36"/>
      <x:c r="R55" s="44" t="str">
        <x:v>2026-07-10</x:v>
      </x:c>
      <x:c r="S55" s="36"/>
      <x:c r="T55" s="54"/>
      <x:c r="U55" s="54"/>
      <x:c r="V55" s="53" t="str">
        <x:v>착수 전</x:v>
      </x:c>
    </x:row>
    <x:row r="56" ht="42" customHeight="1">
      <x:c r="A56" s="36" t="str">
        <x:v>TC-CNT-032-01</x:v>
      </x:c>
      <x:c r="B56" s="36" t="str">
        <x:v>CNT-032</x:v>
      </x:c>
      <x:c r="C56" s="36" t="str">
        <x:v>콘텐츠·맵·미니게임</x:v>
      </x:c>
      <x:c r="D56" s="36" t="str">
        <x:v>정상 시나리오: 방 이름·미니게임 설명·문구 현지화</x:v>
      </x:c>
      <x:c r="E56" s="36" t="str">
        <x:v>문맥, 글자 수, 입력 아이콘, 도형 대체, 언어 대체 처리를 정의하고 언어 변경으로 문제 데이터의 정답이 달라지지 않는다.</x:v>
      </x:c>
      <x:c r="F56" s="36" t="str">
        <x:v>대상 기능이 포함된 베타 빌드, 필요한 테스트 계정·룸 설정·로그 접근 권한을 준비한다.</x:v>
      </x:c>
      <x:c r="G56" s="36" t="str">
        <x:v>1. 사전 조건 상태를 구성한다.
2. 표준 설정에서 다음 테스트 대상을 실행한다: 방 이름·미니게임 설명·문구 현지화.
3. UI, 서버 상태와 로그·텔레메트리를 확인한다.
4. 필요하면 재입장 또는 재실행하여 재현성을 확인한다.</x:v>
      </x:c>
      <x:c r="H56" s="36" t="str">
        <x:v>문맥, 글자 수, 입력 아이콘, 도형 대체, 언어 대체 처리를 정의하고 언어 변경으로 문제 데이터의 정답이 달라지지 않는다.</x:v>
      </x:c>
      <x:c r="I56" s="36" t="str">
        <x:v>현지화</x:v>
      </x:c>
      <x:c r="J56" s="36" t="str">
        <x:v>P1</x:v>
      </x:c>
      <x:c r="K56" s="36" t="str">
        <x:v>전체</x:v>
      </x:c>
      <x:c r="L56" s="36" t="str">
        <x:v>예</x:v>
      </x:c>
      <x:c r="M56" s="36" t="str">
        <x:v>미실시</x:v>
      </x:c>
      <x:c r="N56" s="36" t="str">
        <x:v>미정</x:v>
      </x:c>
      <x:c r="O56" s="36" t="str">
        <x:v>미정</x:v>
      </x:c>
      <x:c r="P56" s="36"/>
      <x:c r="Q56" s="36"/>
      <x:c r="R56" s="44" t="str">
        <x:v>2026-07-10</x:v>
      </x:c>
      <x:c r="S56" s="36"/>
      <x:c r="T56" s="54"/>
      <x:c r="U56" s="54"/>
      <x:c r="V56" s="53" t="str">
        <x:v>착수 전</x:v>
      </x:c>
    </x:row>
    <x:row r="57" ht="42" customHeight="1">
      <x:c r="A57" s="36" t="str">
        <x:v>TC-CNT-033-01</x:v>
      </x:c>
      <x:c r="B57" s="36" t="str">
        <x:v>CNT-033</x:v>
      </x:c>
      <x:c r="C57" s="36" t="str">
        <x:v>콘텐츠·맵·미니게임</x:v>
      </x:c>
      <x:c r="D57" s="36" t="str">
        <x:v>정상 시나리오: 튜토리얼 연습 공간·모의 메모</x:v>
      </x:c>
      <x:c r="E57" s="36" t="str">
        <x:v>다른 플레이어 없이 이동, 타인 등 관찰, 메모 작성, 등 뒤 부착, 미니게임, 밤 투표를 순서대로 연습할 수 있다.</x:v>
      </x:c>
      <x:c r="F57" s="36" t="str">
        <x:v>대상 기능이 포함된 알파 빌드, 필요한 테스트 계정·룸 설정·로그 접근 권한을 준비한다.</x:v>
      </x:c>
      <x:c r="G57" s="36" t="str">
        <x:v>1. 사전 조건 상태를 구성한다.
2. 표준 설정에서 다음 테스트 대상을 실행한다: 튜토리얼 연습 공간·모의 메모.
3. UI, 서버 상태와 로그·텔레메트리를 확인한다.
4. 필요하면 재입장 또는 재실행하여 재현성을 확인한다.</x:v>
      </x:c>
      <x:c r="H57" s="36" t="str">
        <x:v>다른 플레이어 없이 이동, 타인 등 관찰, 메모 작성, 등 뒤 부착, 미니게임, 밤 투표를 순서대로 연습할 수 있다.</x:v>
      </x:c>
      <x:c r="I57" s="36" t="str">
        <x:v>사용성</x:v>
      </x:c>
      <x:c r="J57" s="36" t="str">
        <x:v>P0</x:v>
      </x:c>
      <x:c r="K57" s="36" t="str">
        <x:v>전체</x:v>
      </x:c>
      <x:c r="L57" s="36" t="str">
        <x:v>부분</x:v>
      </x:c>
      <x:c r="M57" s="36" t="str">
        <x:v>미실시</x:v>
      </x:c>
      <x:c r="N57" s="36" t="str">
        <x:v>미정</x:v>
      </x:c>
      <x:c r="O57" s="36" t="str">
        <x:v>미정</x:v>
      </x:c>
      <x:c r="P57" s="36"/>
      <x:c r="Q57" s="36"/>
      <x:c r="R57" s="44" t="str">
        <x:v>2026-07-10</x:v>
      </x:c>
      <x:c r="S57" s="36"/>
      <x:c r="T57" s="54"/>
      <x:c r="U57" s="54"/>
      <x:c r="V57" s="53" t="str">
        <x:v>착수 전</x:v>
      </x:c>
    </x:row>
    <x:row r="58" ht="42" customHeight="1">
      <x:c r="A58" s="36" t="str">
        <x:v>TC-CNT-033-02</x:v>
      </x:c>
      <x:c r="B58" s="36" t="str">
        <x:v>CNT-033</x:v>
      </x:c>
      <x:c r="C58" s="36" t="str">
        <x:v>콘텐츠·맵·미니게임</x:v>
      </x:c>
      <x:c r="D58" s="36" t="str">
        <x:v>예외·경계 시나리오: 튜토리얼 연습 공간·모의 메모</x:v>
      </x:c>
      <x:c r="E58" s="36" t="str">
        <x:v>허용되지 않은 상태, 잘못된 값, 중복, 만료, 권한 부족, 연결 끊김 입력으로 데이터 손상·정보 유출·클라이언트 상태 분기가 발생하지 않는지 확인한다.</x:v>
      </x:c>
      <x:c r="F58" s="36" t="str">
        <x:v>대상 기능이 포함된 알파 빌드와 디버그 입력, 네트워크 열화, 비정상 요청 재현 수단을 준비한다.</x:v>
      </x:c>
      <x:c r="G58" s="36" t="str">
        <x:v>1. 허용되지 않은 페이즈 또는 경계값 조건을 구성한다.
2. 튜토리얼 연습 공간·모의 메모에 대해 중복·무효·지연·연결 끊김을 포함한 요청을 전송한다.
3. 서버 거부, 롤백, 오류 표시와 감사 로그를 확인한다.
4. 모든 클라이언트의 상태가 일치하는지 확인한다.</x:v>
      </x:c>
      <x:c r="H58" s="36" t="str">
        <x:v>요청은 사양에 따라 거부되거나 안전하게 복구되며, 중복 반영, 데이터 손실, 정보 유출 또는 진행 중단이 발생하지 않는다. 오류와 상관관계 ID가 기록된다.</x:v>
      </x:c>
      <x:c r="I58" s="36" t="str">
        <x:v>사용성</x:v>
      </x:c>
      <x:c r="J58" s="36" t="str">
        <x:v>P0</x:v>
      </x:c>
      <x:c r="K58" s="36" t="str">
        <x:v>전체</x:v>
      </x:c>
      <x:c r="L58" s="36" t="str">
        <x:v>부분</x:v>
      </x:c>
      <x:c r="M58" s="36" t="str">
        <x:v>미실시</x:v>
      </x:c>
      <x:c r="N58" s="36" t="str">
        <x:v>미정</x:v>
      </x:c>
      <x:c r="O58" s="36" t="str">
        <x:v>미정</x:v>
      </x:c>
      <x:c r="P58" s="36"/>
      <x:c r="Q58" s="36"/>
      <x:c r="R58" s="44" t="str">
        <x:v>2026-07-10</x:v>
      </x:c>
      <x:c r="S58" s="36"/>
      <x:c r="T58" s="54"/>
      <x:c r="U58" s="54"/>
      <x:c r="V58" s="53" t="str">
        <x:v>착수 전</x:v>
      </x:c>
    </x:row>
    <x:row r="59" ht="42" customHeight="1">
      <x:c r="A59" s="36" t="str">
        <x:v>TC-CNT-034-01</x:v>
      </x:c>
      <x:c r="B59" s="36" t="str">
        <x:v>CNT-034</x:v>
      </x:c>
      <x:c r="C59" s="36" t="str">
        <x:v>콘텐츠·맵·미니게임</x:v>
      </x:c>
      <x:c r="D59" s="36" t="str">
        <x:v>정상 시나리오: 맵·미니게임 접근성 리뷰</x:v>
      </x:c>
      <x:c r="E59" s="36" t="str">
        <x:v>색상, 점멸, 정밀 조작, 시간 제한, 소리 의존, 글자 크기, 운동 부담을 검토하고 대체 정보와 입력 방식을 구현한다.</x:v>
      </x:c>
      <x:c r="F59" s="36" t="str">
        <x:v>대상 기능이 포함된 베타 빌드, 필요한 테스트 계정·룸 설정·로그 접근 권한을 준비한다.</x:v>
      </x:c>
      <x:c r="G59" s="36" t="str">
        <x:v>1. 사전 조건 상태를 구성한다.
2. 표준 설정에서 다음 테스트 대상을 실행한다: 맵·미니게임 접근성 리뷰.
3. UI, 서버 상태와 로그·텔레메트리를 확인한다.
4. 필요하면 재입장 또는 재실행하여 재현성을 확인한다.</x:v>
      </x:c>
      <x:c r="H59" s="36" t="str">
        <x:v>색상, 점멸, 정밀 조작, 시간 제한, 소리 의존, 글자 크기, 운동 부담을 검토하고 대체 정보와 입력 방식을 구현한다.</x:v>
      </x:c>
      <x:c r="I59" s="36" t="str">
        <x:v>접근성</x:v>
      </x:c>
      <x:c r="J59" s="36" t="str">
        <x:v>P0</x:v>
      </x:c>
      <x:c r="K59" s="36" t="str">
        <x:v>전체</x:v>
      </x:c>
      <x:c r="L59" s="36" t="str">
        <x:v>부분</x:v>
      </x:c>
      <x:c r="M59" s="36" t="str">
        <x:v>미실시</x:v>
      </x:c>
      <x:c r="N59" s="36" t="str">
        <x:v>미정</x:v>
      </x:c>
      <x:c r="O59" s="36" t="str">
        <x:v>미정</x:v>
      </x:c>
      <x:c r="P59" s="36"/>
      <x:c r="Q59" s="36"/>
      <x:c r="R59" s="44" t="str">
        <x:v>2026-07-10</x:v>
      </x:c>
      <x:c r="S59" s="36"/>
      <x:c r="T59" s="54"/>
      <x:c r="U59" s="54"/>
      <x:c r="V59" s="53" t="str">
        <x:v>착수 전</x:v>
      </x:c>
    </x:row>
    <x:row r="60" ht="42" customHeight="1">
      <x:c r="A60" s="36" t="str">
        <x:v>TC-CNT-034-02</x:v>
      </x:c>
      <x:c r="B60" s="36" t="str">
        <x:v>CNT-034</x:v>
      </x:c>
      <x:c r="C60" s="36" t="str">
        <x:v>콘텐츠·맵·미니게임</x:v>
      </x:c>
      <x:c r="D60" s="36" t="str">
        <x:v>예외·경계 시나리오: 맵·미니게임 접근성 리뷰</x:v>
      </x:c>
      <x:c r="E60" s="36" t="str">
        <x:v>허용되지 않은 상태, 잘못된 값, 중복, 만료, 권한 부족, 연결 끊김 입력으로 데이터 손상·정보 유출·클라이언트 상태 분기가 발생하지 않는지 확인한다.</x:v>
      </x:c>
      <x:c r="F60" s="36" t="str">
        <x:v>대상 기능이 포함된 베타 빌드와 디버그 입력, 네트워크 열화, 비정상 요청 재현 수단을 준비한다.</x:v>
      </x:c>
      <x:c r="G60" s="36" t="str">
        <x:v>1. 허용되지 않은 페이즈 또는 경계값 조건을 구성한다.
2. 맵·미니게임 접근성 리뷰에 대해 중복·무효·지연·연결 끊김을 포함한 요청을 전송한다.
3. 서버 거부, 롤백, 오류 표시와 감사 로그를 확인한다.
4. 모든 클라이언트의 상태가 일치하는지 확인한다.</x:v>
      </x:c>
      <x:c r="H60" s="36" t="str">
        <x:v>요청은 사양에 따라 거부되거나 안전하게 복구되며, 중복 반영, 데이터 손실, 정보 유출 또는 진행 중단이 발생하지 않는다. 오류와 상관관계 ID가 기록된다.</x:v>
      </x:c>
      <x:c r="I60" s="36" t="str">
        <x:v>접근성</x:v>
      </x:c>
      <x:c r="J60" s="36" t="str">
        <x:v>P0</x:v>
      </x:c>
      <x:c r="K60" s="36" t="str">
        <x:v>전체</x:v>
      </x:c>
      <x:c r="L60" s="36" t="str">
        <x:v>부분</x:v>
      </x:c>
      <x:c r="M60" s="36" t="str">
        <x:v>미실시</x:v>
      </x:c>
      <x:c r="N60" s="36" t="str">
        <x:v>미정</x:v>
      </x:c>
      <x:c r="O60" s="36" t="str">
        <x:v>미정</x:v>
      </x:c>
      <x:c r="P60" s="36"/>
      <x:c r="Q60" s="36"/>
      <x:c r="R60" s="44" t="str">
        <x:v>2026-07-10</x:v>
      </x:c>
      <x:c r="S60" s="36"/>
      <x:c r="T60" s="54"/>
      <x:c r="U60" s="54"/>
      <x:c r="V60" s="53" t="str">
        <x:v>착수 전</x:v>
      </x:c>
    </x:row>
    <x:row r="61" ht="42" customHeight="1">
      <x:c r="A61" s="36" t="str">
        <x:v>TC-CNT-035-01</x:v>
      </x:c>
      <x:c r="B61" s="36" t="str">
        <x:v>CNT-035</x:v>
      </x:c>
      <x:c r="C61" s="36" t="str">
        <x:v>콘텐츠·맵·미니게임</x:v>
      </x:c>
      <x:c r="D61" s="36" t="str">
        <x:v>정상 시나리오: 추가 맵 제작·호환성 게이트</x:v>
      </x:c>
      <x:c r="E61" s="36" t="str">
        <x:v>새 맵은 이동 시간, 대화 범위, 중앙 관찰, 부착 여유 공간, 단말 배치, 성능, 판독성 게이트를 모두 통과한다.</x:v>
      </x:c>
      <x:c r="F61" s="36" t="str">
        <x:v>대상 기능이 포함된 출시 후 빌드, 필요한 테스트 계정·룸 설정·로그 접근 권한을 준비한다.</x:v>
      </x:c>
      <x:c r="G61" s="36" t="str">
        <x:v>1. 사전 조건 상태를 구성한다.
2. 표준 설정에서 다음 테스트 대상을 실행한다: 추가 맵 제작·호환성 게이트.
3. UI, 서버 상태와 로그·텔레메트리를 확인한다.
4. 필요하면 재입장 또는 재실행하여 재현성을 확인한다.</x:v>
      </x:c>
      <x:c r="H61" s="36" t="str">
        <x:v>새 맵은 이동 시간, 대화 범위, 중앙 관찰, 부착 여유 공간, 단말 배치, 성능, 판독성 게이트를 모두 통과한다.</x:v>
      </x:c>
      <x:c r="I61" s="36" t="str">
        <x:v>밸런스</x:v>
      </x:c>
      <x:c r="J61" s="36" t="str">
        <x:v>P3</x:v>
      </x:c>
      <x:c r="K61" s="36" t="str">
        <x:v>전체</x:v>
      </x:c>
      <x:c r="L61" s="36" t="str">
        <x:v>예</x:v>
      </x:c>
      <x:c r="M61" s="36" t="str">
        <x:v>미실시</x:v>
      </x:c>
      <x:c r="N61" s="36" t="str">
        <x:v>미정</x:v>
      </x:c>
      <x:c r="O61" s="36" t="str">
        <x:v>미정</x:v>
      </x:c>
      <x:c r="P61" s="36"/>
      <x:c r="Q61" s="36"/>
      <x:c r="R61" s="44" t="str">
        <x:v>2026-07-10</x:v>
      </x:c>
      <x:c r="S61" s="36"/>
      <x:c r="T61" s="54"/>
      <x:c r="U61" s="54"/>
      <x:c r="V61" s="53" t="str">
        <x:v>착수 전</x:v>
      </x:c>
    </x:row>
  </x:sheetData>
  <x:conditionalFormatting sqref="M2:M61">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61">
    <x:cfRule type="expression" dxfId="16" priority="7">
      <x:formula>J2="P0"</x:formula>
    </x:cfRule>
    <x:cfRule type="expression" dxfId="17" priority="8">
      <x:formula>J2="P1"</x:formula>
    </x:cfRule>
  </x:conditionalFormatting>
  <x:conditionalFormatting sqref="V2:V61">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61">
      <x:formula1>"기능,통합,경계값,네트워크,보안,성능,호환성,사용성,접근성,현지화,밸런스,운영,안전,부하"</x:formula1>
    </x:dataValidation>
    <x:dataValidation type="list" sqref="J2:J61">
      <x:formula1>"P0,P1,P2,P3"</x:formula1>
    </x:dataValidation>
    <x:dataValidation type="list" sqref="L2:L61">
      <x:formula1>"예,아니요,부분"</x:formula1>
    </x:dataValidation>
    <x:dataValidation type="list" sqref="M2:M61">
      <x:formula1>"미실시,진행 중,통과,실패,차단,대상 제외"</x:formula1>
    </x:dataValidation>
    <x:dataValidation type="list" sqref="K2:K61">
      <x:formula1>"전체,PC,콘솔,모바일,서버,백엔드,도구,웹·관리자"</x:formula1>
    </x:dataValidation>
    <x:dataValidation type="list" sqref="V2:V61">
      <x:formula1>"착수 전,작업 중,완료"</x:formula1>
    </x:dataValidation>
  </x:dataValidations>
  <x:pageMargins left="0.7" right="0.7" top="0.75" bottom="0.75" header="0.3" footer="0.3"/>
  <x:tableParts count="1">
    <x:tablePart xmlns:r="http://schemas.openxmlformats.org/officeDocument/2006/relationships" r:id="R658b4ed19e194bcb"/>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R-CNT-01</x:v>
      </x:c>
      <x:c r="B2" s="36" t="str">
        <x:v>콘텐츠·맵·미니게임</x:v>
      </x:c>
      <x:c r="C2" s="36" t="str">
        <x:v>밸런스</x:v>
      </x:c>
      <x:c r="D2" s="36" t="str">
        <x:v>맵이 너무 좁거나 넓어 대화와 메모 부착이 단조로워질 수 있다.</x:v>
      </x:c>
      <x:c r="E2" s="36" t="str">
        <x:v>이동 시간 미계측</x:v>
      </x:c>
      <x:c r="F2" s="36" t="str">
        <x:v>반복 플레이 가치 하락</x:v>
      </x:c>
      <x:c r="G2" s="36" t="str">
        <x:v>중간</x:v>
      </x:c>
      <x:c r="H2" s="36" t="str">
        <x:v>높음</x:v>
      </x:c>
      <x:c r="I2" s="36" t="n">
        <x:f>IF(G2="높음",3,IF(G2="중간",2,1))*IF(H2="높음",3,IF(H2="중간",2,1))</x:f>
        <x:v>6</x:v>
      </x:c>
      <x:c r="J2" s="36" t="str">
        <x:v>레벨 디자인 리드</x:v>
      </x:c>
      <x:c r="K2" s="36" t="str">
        <x:v>플레이테스트와 이동 시간 기준을 적용한다.</x:v>
      </x:c>
      <x:c r="L2" s="36" t="str">
        <x:v>배치, 이동 속도, 페이즈 시간을 조정한다.</x:v>
      </x:c>
      <x:c r="M2" s="36" t="str">
        <x:v>미대응</x:v>
      </x:c>
      <x:c r="N2" s="36" t="str">
        <x:v>CNT-001,CNT-002</x:v>
      </x:c>
      <x:c r="O2" s="44" t="str">
        <x:v>미정</x:v>
      </x:c>
      <x:c r="P2" s="36"/>
    </x:row>
    <x:row r="3" ht="42" customHeight="1">
      <x:c r="A3" s="36" t="str">
        <x:v>R-CNT-02</x:v>
      </x:c>
      <x:c r="B3" s="36" t="str">
        <x:v>콘텐츠·맵·미니게임</x:v>
      </x:c>
      <x:c r="C3" s="36" t="str">
        <x:v>판독성</x:v>
      </x:c>
      <x:c r="D3" s="36" t="str">
        <x:v>조명 또는 카메라 때문에 메모 색상과 문구를 읽지 못할 수 있다.</x:v>
      </x:c>
      <x:c r="E3" s="36" t="str">
        <x:v>아트 우선 진행으로 판독성 검증 지연</x:v>
      </x:c>
      <x:c r="F3" s="36" t="str">
        <x:v>추리 불가</x:v>
      </x:c>
      <x:c r="G3" s="36" t="str">
        <x:v>중간</x:v>
      </x:c>
      <x:c r="H3" s="36" t="str">
        <x:v>높음</x:v>
      </x:c>
      <x:c r="I3" s="36" t="n">
        <x:f>IF(G3="높음",3,IF(G3="중간",2,1))*IF(H3="높음",3,IF(H3="중간",2,1))</x:f>
        <x:v>6</x:v>
      </x:c>
      <x:c r="J3" s="36" t="str">
        <x:v>아트·UX</x:v>
      </x:c>
      <x:c r="K3" s="36" t="str">
        <x:v>조명 게이트와 FOV 조합 시험을 적용한다.</x:v>
      </x:c>
      <x:c r="L3" s="36" t="str">
        <x:v>조명과 LOD를 수정한다.</x:v>
      </x:c>
      <x:c r="M3" s="36" t="str">
        <x:v>미대응</x:v>
      </x:c>
      <x:c r="N3" s="36" t="str">
        <x:v>CNT-011,CNT-013</x:v>
      </x:c>
      <x:c r="O3" s="44" t="str">
        <x:v>미정</x:v>
      </x:c>
      <x:c r="P3" s="36"/>
    </x:row>
    <x:row r="4" ht="42" customHeight="1">
      <x:c r="A4" s="36" t="str">
        <x:v>R-CNT-03</x:v>
      </x:c>
      <x:c r="B4" s="36" t="str">
        <x:v>콘텐츠·맵·미니게임</x:v>
      </x:c>
      <x:c r="C4" s="36" t="str">
        <x:v>콘텐츠</x:v>
      </x:c>
      <x:c r="D4" s="36" t="str">
        <x:v>미니게임 보상이 중복되거나 최종 재판이 잘못 발동할 수 있다.</x:v>
      </x:c>
      <x:c r="E4" s="36" t="str">
        <x:v>완료 이벤트 중복 전송</x:v>
      </x:c>
      <x:c r="F4" s="36" t="str">
        <x:v>승패 불일치</x:v>
      </x:c>
      <x:c r="G4" s="36" t="str">
        <x:v>중간</x:v>
      </x:c>
      <x:c r="H4" s="36" t="str">
        <x:v>높음</x:v>
      </x:c>
      <x:c r="I4" s="36" t="n">
        <x:f>IF(G4="높음",3,IF(G4="중간",2,1))*IF(H4="높음",3,IF(H4="중간",2,1))</x:f>
        <x:v>6</x:v>
      </x:c>
      <x:c r="J4" s="36" t="str">
        <x:v>게임플레이 리드</x:v>
      </x:c>
      <x:c r="K4" s="36" t="str">
        <x:v>완료 Nonce와 자동 회귀 시험을 적용한다.</x:v>
      </x:c>
      <x:c r="L4" s="36" t="str">
        <x:v>서버에서 진행도를 재계산한다.</x:v>
      </x:c>
      <x:c r="M4" s="36" t="str">
        <x:v>미대응</x:v>
      </x:c>
      <x:c r="N4" s="36" t="str">
        <x:v>CNT-020,CNT-022</x:v>
      </x:c>
      <x:c r="O4" s="44" t="str">
        <x:v>미정</x:v>
      </x:c>
      <x:c r="P4" s="36"/>
    </x:row>
    <x:row r="5" ht="42" customHeight="1">
      <x:c r="A5" s="36" t="str">
        <x:v>R-CNT-04</x:v>
      </x:c>
      <x:c r="B5" s="36" t="str">
        <x:v>콘텐츠·맵·미니게임</x:v>
      </x:c>
      <x:c r="C5" s="36" t="str">
        <x:v>이해도</x:v>
      </x:c>
      <x:c r="D5" s="36" t="str">
        <x:v>처음 플레이하는 사용자가 미니게임 조작을 이해하지 못할 수 있다.</x:v>
      </x:c>
      <x:c r="E5" s="36" t="str">
        <x:v>설명과 입력 설계 부족</x:v>
      </x:c>
      <x:c r="F5" s="36" t="str">
        <x:v>이탈 증가·게임 시간 증가</x:v>
      </x:c>
      <x:c r="G5" s="36" t="str">
        <x:v>중간</x:v>
      </x:c>
      <x:c r="H5" s="36" t="str">
        <x:v>중간</x:v>
      </x:c>
      <x:c r="I5" s="36" t="n">
        <x:f>IF(G5="높음",3,IF(G5="중간",2,1))*IF(H5="높음",3,IF(H5="중간",2,1))</x:f>
        <x:v>4</x:v>
      </x:c>
      <x:c r="J5" s="36" t="str">
        <x:v>게임 디자인</x:v>
      </x:c>
      <x:c r="K5" s="36" t="str">
        <x:v>3초 이해 시험과 공통 UI를 적용한다.</x:v>
      </x:c>
      <x:c r="L5" s="36" t="str">
        <x:v>난이도와 설명을 원격으로 조정한다.</x:v>
      </x:c>
      <x:c r="M5" s="36" t="str">
        <x:v>미대응</x:v>
      </x:c>
      <x:c r="N5" s="36" t="str">
        <x:v>CNT-021,CNT-023,CNT-024,CNT-025</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aed4897e9ced42eb"/>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D-CNT-01</x:v>
      </x:c>
      <x:c r="B2" s="36" t="str">
        <x:v>콘텐츠·맵·미니게임</x:v>
      </x:c>
      <x:c r="C2" s="36" t="str">
        <x:v>MVP 맵 수</x:v>
      </x:c>
      <x:c r="D2" s="36" t="str">
        <x:v>MVP에 몇 개의 맵을 제공할 것인가?</x:v>
      </x:c>
      <x:c r="E2" s="36" t="str">
        <x:v>A: 1개 / B: 2개</x:v>
      </x:c>
      <x:c r="F2" s="36" t="str">
        <x:v>1개 맵을 높은 품질로 완성한다.</x:v>
      </x:c>
      <x:c r="G2" s="36" t="str">
        <x:v>미정</x:v>
      </x:c>
      <x:c r="H2" s="36" t="str">
        <x:v>미정</x:v>
      </x:c>
      <x:c r="I2" s="36" t="str">
        <x:v>게임 디렉터</x:v>
      </x:c>
      <x:c r="J2" s="44" t="str">
        <x:v>2026-07-24</x:v>
      </x:c>
      <x:c r="K2" s="36" t="str">
        <x:v>CNT-001,CNT-035</x:v>
      </x:c>
      <x:c r="L2" s="36" t="str">
        <x:v>핵심 게임 루프 검증을 우선한다.</x:v>
      </x:c>
      <x:c r="M2" s="44" t="str">
        <x:v>2026-07-10</x:v>
      </x:c>
    </x:row>
    <x:row r="3" ht="42" customHeight="1">
      <x:c r="A3" s="36" t="str">
        <x:v>D-CNT-02</x:v>
      </x:c>
      <x:c r="B3" s="36" t="str">
        <x:v>콘텐츠·맵·미니게임</x:v>
      </x:c>
      <x:c r="C3" s="36" t="str">
        <x:v>MVP 미니게임 수</x:v>
      </x:c>
      <x:c r="D3" s="36" t="str">
        <x:v>MVP에 몇 종류와 몇 개의 미니게임 단말을 제공할 것인가?</x:v>
      </x:c>
      <x:c r="E3" s="36" t="str">
        <x:v>A: 3종·5단말 / B: 5종·8단말</x:v>
      </x:c>
      <x:c r="F3" s="36" t="str">
        <x:v>3종을 제공하고 룸당 5~6회 완료를 요구한다.</x:v>
      </x:c>
      <x:c r="G3" s="36" t="str">
        <x:v>미정</x:v>
      </x:c>
      <x:c r="H3" s="36" t="str">
        <x:v>미정</x:v>
      </x:c>
      <x:c r="I3" s="36" t="str">
        <x:v>게임 디렉터</x:v>
      </x:c>
      <x:c r="J3" s="44" t="str">
        <x:v>2026-07-24</x:v>
      </x:c>
      <x:c r="K3" s="36" t="str">
        <x:v>CNT-023,CNT-024,CNT-025,CNT-027</x:v>
      </x:c>
      <x:c r="L3" s="36" t="str">
        <x:v>제작 부담과 반복감을 플레이테스트로 확인한다.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a9c8916419ab4940"/>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