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ee5fa940b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대시보드" sheetId="1" r:id="R2d3d41ae548a48d1"/>
    <x:sheet xmlns:r="http://schemas.openxmlformats.org/officeDocument/2006/relationships" name="01_통합_백로그" sheetId="2" r:id="Rc2387bae26974c9c"/>
    <x:sheet xmlns:r="http://schemas.openxmlformats.org/officeDocument/2006/relationships" name="02_마일스톤" sheetId="3" r:id="R253d1e0fbffe4763"/>
    <x:sheet xmlns:r="http://schemas.openxmlformats.org/officeDocument/2006/relationships" name="03_의존관계" sheetId="4" r:id="Rb711412aab25446d"/>
    <x:sheet xmlns:r="http://schemas.openxmlformats.org/officeDocument/2006/relationships" name="04_릴리스_게이트" sheetId="5" r:id="R3b617ec7c25144e7"/>
    <x:sheet xmlns:r="http://schemas.openxmlformats.org/officeDocument/2006/relationships" name="05_RACI" sheetId="6" r:id="Rb799d72f2dd246a5"/>
    <x:sheet xmlns:r="http://schemas.openxmlformats.org/officeDocument/2006/relationships" name="06_리스크" sheetId="7" r:id="Reb821fb20cb040e2"/>
    <x:sheet xmlns:r="http://schemas.openxmlformats.org/officeDocument/2006/relationships" name="07_의사결정" sheetId="8" r:id="R862ad570db6140c3"/>
    <x:sheet xmlns:r="http://schemas.openxmlformats.org/officeDocument/2006/relationships" name="08_변경요청" sheetId="9" r:id="R727e7235c6164e2c"/>
    <x:sheet xmlns:r="http://schemas.openxmlformats.org/officeDocument/2006/relationships" name="09_파일목록" sheetId="10" r:id="Rc97d4d5e8c1f47e2"/>
    <x:sheet xmlns:r="http://schemas.openxmlformats.org/officeDocument/2006/relationships" name="10_운영규칙" sheetId="11" r:id="R63a15df21e004d3f"/>
    <x:sheet xmlns:r="http://schemas.openxmlformats.org/officeDocument/2006/relationships" name="11_Jira_가져오기" sheetId="12" r:id="R80ca116fdeb94dd9"/>
    <x:sheet xmlns:r="http://schemas.openxmlformats.org/officeDocument/2006/relationships" name="99_목록" sheetId="13" r:id="Rb7288e5d0f09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9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5de23a5e034e17" /><Relationship Type="http://schemas.openxmlformats.org/officeDocument/2006/relationships/theme" Target="/xl/theme/theme1.xml" Id="R847573f32fcb4960" /><Relationship Type="http://schemas.openxmlformats.org/officeDocument/2006/relationships/sharedStrings" Target="/xl/sharedStrings.xml" Id="Ref6068fed2fc431c" /><Relationship Type="http://schemas.openxmlformats.org/officeDocument/2006/relationships/worksheet" Target="/xl/worksheets/sheet1.xml" Id="R2d3d41ae548a48d1" /><Relationship Type="http://schemas.openxmlformats.org/officeDocument/2006/relationships/worksheet" Target="/xl/worksheets/sheet2.xml" Id="Rc2387bae26974c9c" /><Relationship Type="http://schemas.openxmlformats.org/officeDocument/2006/relationships/worksheet" Target="/xl/worksheets/sheet3.xml" Id="R253d1e0fbffe4763" /><Relationship Type="http://schemas.openxmlformats.org/officeDocument/2006/relationships/worksheet" Target="/xl/worksheets/sheet4.xml" Id="Rb711412aab25446d" /><Relationship Type="http://schemas.openxmlformats.org/officeDocument/2006/relationships/worksheet" Target="/xl/worksheets/sheet5.xml" Id="R3b617ec7c25144e7" /><Relationship Type="http://schemas.openxmlformats.org/officeDocument/2006/relationships/worksheet" Target="/xl/worksheets/sheet6.xml" Id="Rb799d72f2dd246a5" /><Relationship Type="http://schemas.openxmlformats.org/officeDocument/2006/relationships/worksheet" Target="/xl/worksheets/sheet7.xml" Id="Reb821fb20cb040e2" /><Relationship Type="http://schemas.openxmlformats.org/officeDocument/2006/relationships/worksheet" Target="/xl/worksheets/sheet8.xml" Id="R862ad570db6140c3" /><Relationship Type="http://schemas.openxmlformats.org/officeDocument/2006/relationships/worksheet" Target="/xl/worksheets/sheet9.xml" Id="R727e7235c6164e2c" /><Relationship Type="http://schemas.openxmlformats.org/officeDocument/2006/relationships/worksheet" Target="/xl/worksheets/sheet10.xml" Id="Rc97d4d5e8c1f47e2" /><Relationship Type="http://schemas.openxmlformats.org/officeDocument/2006/relationships/worksheet" Target="/xl/worksheets/sheet11.xml" Id="R63a15df21e004d3f" /><Relationship Type="http://schemas.openxmlformats.org/officeDocument/2006/relationships/worksheet" Target="/xl/worksheets/sheet12.xml" Id="R80ca116fdeb94dd9" /><Relationship Type="http://schemas.openxmlformats.org/officeDocument/2006/relationships/worksheet" Target="/xl/worksheets/sheet13.xml" Id="Rb7288e5d0f0944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8691a3b47f42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통합 작업 상태 분포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파일</c:v>
          </c:tx>
          <c:cat>
            <c:strRef>
              <c:f>'00_대시보드'!$A$16:$A$25</c:f>
              <c:strCache>
                <c:ptCount val="0"/>
              </c:strCache>
            </c:strRef>
          </c:cat>
          <c:val>
            <c:numRef>
              <c:f>'00_대시보드'!$B$16:$B$25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총수</c:v>
          </c:tx>
          <c:cat>
            <c:strRef>
              <c:f>'00_대시보드'!$A$16:$A$25</c:f>
              <c:strCache>
                <c:ptCount val="0"/>
              </c:strCache>
            </c:strRef>
          </c:cat>
          <c:val>
            <c:numRef>
              <c:f>'00_대시보드'!$C$16:$C$25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14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8691a3b47f42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" name="MasterBacklogTable" displayName="MasterBacklogTable" ref="A1:AJ310" headerRowCount="1">
  <x:tableColumns count="36">
    <x:tableColumn id="1" name="ID"/>
    <x:tableColumn id="2" name="부문"/>
    <x:tableColumn id="3" name="에픽"/>
    <x:tableColumn id="4" name="기능 그룹"/>
    <x:tableColumn id="5" name="구현 항목"/>
    <x:tableColumn id="6" name="목적·설명"/>
    <x:tableColumn id="7" name="수용 기준"/>
    <x:tableColumn id="8" name="완료 정의"/>
    <x:tableColumn id="9" name="범위"/>
    <x:tableColumn id="10" name="우선순위"/>
    <x:tableColumn id="11" name="릴리스 게이트"/>
    <x:tableColumn id="12" name="게이트 분류"/>
    <x:tableColumn id="13" name="마일스톤"/>
    <x:tableColumn id="14" name="담당 부문"/>
    <x:tableColumn id="15" name="담당자명"/>
    <x:tableColumn id="16" name="검토자"/>
    <x:tableColumn id="17" name="대상 플랫폼"/>
    <x:tableColumn id="18" name="권한·실행 주체"/>
    <x:tableColumn id="19" name="영속화"/>
    <x:tableColumn id="20" name="예상 규모"/>
    <x:tableColumn id="21" name="상태"/>
    <x:tableColumn id="22" name="진행률"/>
    <x:tableColumn id="23" name="스프린트"/>
    <x:tableColumn id="24" name="기한"/>
    <x:tableColumn id="25" name="의존 ID"/>
    <x:tableColumn id="26" name="위험도"/>
    <x:tableColumn id="27" name="QA 유형"/>
    <x:tableColumn id="28" name="테스트 케이스 ID"/>
    <x:tableColumn id="29" name="외부 추적 도구 키"/>
    <x:tableColumn id="30" name="근거"/>
    <x:tableColumn id="31" name="증빙 링크"/>
    <x:tableColumn id="32" name="최종 갱신일"/>
    <x:tableColumn id="33" name="비고"/>
    <x:tableColumn id="34" name="시작일"/>
    <x:tableColumn id="35" name="종료일"/>
    <x:tableColumn id="36" name="진행상황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Table" displayName="MilestoneTable" ref="A1:J7" headerRowCount="1">
  <x:tableColumns count="10">
    <x:tableColumn id="1" name="마일스톤"/>
    <x:tableColumn id="2" name="목적"/>
    <x:tableColumn id="3" name="진입 조건"/>
    <x:tableColumn id="4" name="종료 조건"/>
    <x:tableColumn id="5" name="주요 산출물"/>
    <x:tableColumn id="6" name="담당자"/>
    <x:tableColumn id="7" name="상태"/>
    <x:tableColumn id="8" name="목표일"/>
    <x:tableColumn id="9" name="의존관계"/>
    <x:tableColumn id="10" name="증빙"/>
  </x:tableColumns>
  <x:tableStyleInfo name="TableStyleMedium2" showRowStripes="1"/>
</x:table>
</file>

<file path=xl/tables/table3.xml><?xml version="1.0" encoding="utf-8"?>
<x:table xmlns:x="http://schemas.openxmlformats.org/spreadsheetml/2006/main" id="3" name="DependencyTable" displayName="DependencyTable" ref="A1:J694" headerRowCount="1">
  <x:tableColumns count="10">
    <x:tableColumn id="1" name="의존관계 ID"/>
    <x:tableColumn id="2" name="후행 ID"/>
    <x:tableColumn id="3" name="선행 ID"/>
    <x:tableColumn id="4" name="유형"/>
    <x:tableColumn id="5" name="후행 담당 부문"/>
    <x:tableColumn id="6" name="선행 담당자"/>
    <x:tableColumn id="7" name="상태"/>
    <x:tableColumn id="8" name="필요일"/>
    <x:tableColumn id="9" name="증빙"/>
    <x:tableColumn id="10" name="경계"/>
  </x:tableColumns>
  <x:tableStyleInfo name="TableStyleMedium2" showRowStripes="1"/>
</x:table>
</file>

<file path=xl/tables/table4.xml><?xml version="1.0" encoding="utf-8"?>
<x:table xmlns:x="http://schemas.openxmlformats.org/spreadsheetml/2006/main" id="4" name="ReleaseGateTable" displayName="ReleaseGateTable" ref="A1:L12" headerRowCount="1">
  <x:tableColumns count="12">
    <x:tableColumn id="1" name="게이트 ID"/>
    <x:tableColumn id="2" name="마일스톤"/>
    <x:tableColumn id="3" name="분류"/>
    <x:tableColumn id="4" name="통과 기준"/>
    <x:tableColumn id="5" name="지표·임계값"/>
    <x:tableColumn id="6" name="담당자"/>
    <x:tableColumn id="7" name="승인자"/>
    <x:tableColumn id="8" name="상태"/>
    <x:tableColumn id="9" name="예외 ID"/>
    <x:tableColumn id="10" name="증빙"/>
    <x:tableColumn id="11" name="관련 ID"/>
    <x:tableColumn id="12" name="최종 검토일"/>
  </x:tableColumns>
  <x:tableStyleInfo name="TableStyleMedium2" showRowStripes="1"/>
</x:table>
</file>

<file path=xl/tables/table5.xml><?xml version="1.0" encoding="utf-8"?>
<x:table xmlns:x="http://schemas.openxmlformats.org/spreadsheetml/2006/main" id="5" name="RACITable" displayName="RACITable" ref="A1:N11" headerRowCount="1">
  <x:tableColumns count="14">
    <x:tableColumn id="1" name="업무"/>
    <x:tableColumn id="2" name="제품"/>
    <x:tableColumn id="3" name="게임 디자인"/>
    <x:tableColumn id="4" name="클라이언트"/>
    <x:tableColumn id="5" name="서버"/>
    <x:tableColumn id="6" name="네트워크"/>
    <x:tableColumn id="7" name="UI·UX"/>
    <x:tableColumn id="8" name="아트·테크 아트"/>
    <x:tableColumn id="9" name="오디오"/>
    <x:tableColumn id="10" name="백엔드·라이브 운영"/>
    <x:tableColumn id="11" name="QA"/>
    <x:tableColumn id="12" name="보안·개인정보"/>
    <x:tableColumn id="13" name="운영"/>
    <x:tableColumn id="14" name="퍼블리싱·법무"/>
  </x:tableColumns>
  <x:tableStyleInfo name="TableStyleMedium2" showRowStripes="1"/>
</x:table>
</file>

<file path=xl/tables/table6.xml><?xml version="1.0" encoding="utf-8"?>
<x:table xmlns:x="http://schemas.openxmlformats.org/spreadsheetml/2006/main" id="6" name="MasterRiskTable" displayName="MasterRiskTable" ref="A1:P41" headerRowCount="1">
  <x:tableColumns count="16">
    <x:tableColumn id="1" name="위험 ID"/>
    <x:tableColumn id="2" name="부문"/>
    <x:tableColumn id="3" name="분류"/>
    <x:tableColumn id="4" name="위험 내용"/>
    <x:tableColumn id="5" name="발생 조건"/>
    <x:tableColumn id="6" name="영향"/>
    <x:tableColumn id="7" name="발생 확률"/>
    <x:tableColumn id="8" name="영향도"/>
    <x:tableColumn id="9" name="점수"/>
    <x:tableColumn id="10" name="담당자"/>
    <x:tableColumn id="11" name="예방 조치"/>
    <x:tableColumn id="12" name="비상 대책"/>
    <x:tableColumn id="13" name="상태"/>
    <x:tableColumn id="14" name="관련 ID"/>
    <x:tableColumn id="15" name="검토일"/>
    <x:tableColumn id="16" name="비고"/>
  </x:tableColumns>
  <x:tableStyleInfo name="TableStyleMedium2" showRowStripes="1"/>
</x:table>
</file>

<file path=xl/tables/table7.xml><?xml version="1.0" encoding="utf-8"?>
<x:table xmlns:x="http://schemas.openxmlformats.org/spreadsheetml/2006/main" id="7" name="MasterDecisionTable" displayName="MasterDecisionTable" ref="A1:M22" headerRowCount="1">
  <x:tableColumns count="13">
    <x:tableColumn id="1" name="의사결정 ID"/>
    <x:tableColumn id="2" name="부문"/>
    <x:tableColumn id="3" name="논점"/>
    <x:tableColumn id="4" name="결정 질문"/>
    <x:tableColumn id="5" name="선택지"/>
    <x:tableColumn id="6" name="권고안"/>
    <x:tableColumn id="7" name="최종 결정"/>
    <x:tableColumn id="8" name="상태"/>
    <x:tableColumn id="9" name="결정권자"/>
    <x:tableColumn id="10" name="기한"/>
    <x:tableColumn id="11" name="관련 ID"/>
    <x:tableColumn id="12" name="판단 근거·증빙"/>
    <x:tableColumn id="13" name="최종 갱신일"/>
  </x:tableColumns>
  <x:tableStyleInfo name="TableStyleMedium2" showRowStripes="1"/>
</x:table>
</file>

<file path=xl/tables/table8.xml><?xml version="1.0" encoding="utf-8"?>
<x:table xmlns:x="http://schemas.openxmlformats.org/spreadsheetml/2006/main" id="8" name="ChangeRequestTable" displayName="ChangeRequestTable" ref="A1:P2" headerRowCount="1">
  <x:tableColumns count="16">
    <x:tableColumn id="1" name="변경 요청 ID"/>
    <x:tableColumn id="2" name="제출일"/>
    <x:tableColumn id="3" name="제출자"/>
    <x:tableColumn id="4" name="변경 개요"/>
    <x:tableColumn id="5" name="대상 ID"/>
    <x:tableColumn id="6" name="변경 이유"/>
    <x:tableColumn id="7" name="범위·비용 영향"/>
    <x:tableColumn id="8" name="품질·위험 영향"/>
    <x:tableColumn id="9" name="의존관계 영향"/>
    <x:tableColumn id="10" name="권고안"/>
    <x:tableColumn id="11" name="결정"/>
    <x:tableColumn id="12" name="상태"/>
    <x:tableColumn id="13" name="결정권자"/>
    <x:tableColumn id="14" name="결정일"/>
    <x:tableColumn id="15" name="구현·롤백 계획"/>
    <x:tableColumn id="16" name="증빙"/>
  </x:tableColumns>
  <x:tableStyleInfo name="TableStyleMedium2" showRowStripes="1"/>
</x:table>
</file>

<file path=xl/tables/table9.xml><?xml version="1.0" encoding="utf-8"?>
<x:table xmlns:x="http://schemas.openxmlformats.org/spreadsheetml/2006/main" id="9" name="FileIndexTable" displayName="FileIndexTable" ref="A1:I12" headerRowCount="1">
  <x:tableColumns count="9">
    <x:tableColumn id="1" name="번호"/>
    <x:tableColumn id="2" name="파일"/>
    <x:tableColumn id="3" name="부문"/>
    <x:tableColumn id="4" name="담당 부문"/>
    <x:tableColumn id="5" name="주요 용도"/>
    <x:tableColumn id="6" name="갱신 주기"/>
    <x:tableColumn id="7" name="기준 원본"/>
    <x:tableColumn id="8" name="통합 문서 링크"/>
    <x:tableColumn id="9" name="비고"/>
  </x:tableColumns>
  <x:tableStyleInfo name="TableStyleMedium2" showRowStripes="1"/>
</x:table>
</file>

<file path=xl/tables/table10.xml><?xml version="1.0" encoding="utf-8"?>
<x:table xmlns:x="http://schemas.openxmlformats.org/spreadsheetml/2006/main" id="10" name="OperatingRulesTable" displayName="OperatingRulesTable" ref="A1:D13" headerRowCount="1">
  <x:tableColumns count="4">
    <x:tableColumn id="1" name="번호"/>
    <x:tableColumn id="2" name="규칙"/>
    <x:tableColumn id="3" name="운영 내용"/>
    <x:tableColumn id="4" name="담당"/>
  </x:tableColumns>
  <x:tableStyleInfo name="TableStyleMedium2" showRowStripes="1"/>
</x:table>
</file>

<file path=xl/tables/table11.xml><?xml version="1.0" encoding="utf-8"?>
<x:table xmlns:x="http://schemas.openxmlformats.org/spreadsheetml/2006/main" id="11" name="JiraImportTable" displayName="JiraImportTable" ref="A1:O310" headerRowCount="1">
  <x:tableColumns count="15">
    <x:tableColumn id="1" name="이슈 유형"/>
    <x:tableColumn id="2" name="요약"/>
    <x:tableColumn id="3" name="설명"/>
    <x:tableColumn id="4" name="우선순위"/>
    <x:tableColumn id="5" name="컴포넌트"/>
    <x:tableColumn id="6" name="수정 버전"/>
    <x:tableColumn id="7" name="레이블"/>
    <x:tableColumn id="8" name="에픽 이름·링크"/>
    <x:tableColumn id="9" name="담당자"/>
    <x:tableColumn id="10" name="원본 ID"/>
    <x:tableColumn id="11" name="수용 기준"/>
    <x:tableColumn id="12" name="의존관계"/>
    <x:tableColumn id="13" name="QA 케이스"/>
    <x:tableColumn id="14" name="근거"/>
    <x:tableColumn id="15" name="외부 키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2b674d478c34a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ead426592547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cccaaddaa741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4f3c18ace6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e7725774424df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32db2bcc524f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e19764a470540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3aba63512946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eea38d0646c4f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ea9982478cf4d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817b3dd2564461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4cadbee76494ea3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20" hidden="0" customWidth="1"/>
  </x:cols>
  <x:sheetData>
    <x:row r="1" ht="34" customHeight="1">
      <x:c r="A1" s="5" t="str">
        <x:v>《등 뒤의 메모》 제작 통합 관리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버전 2.0-ko / 갱신일 2026-07-10 / 10개 부문 파일을 ID로 통합</x:v>
      </x:c>
      <x:c r="B2" s="13"/>
      <x:c r="C2" s="13"/>
      <x:c r="D2" s="13"/>
      <x:c r="E2" s="13"/>
      <x:c r="F2" s="13"/>
      <x:c r="G2" s="13"/>
      <x:c r="H2" s="13"/>
    </x:row>
    <x:row r="3">
      <x:c r="A3"/>
      <x:c r="B3"/>
      <x:c r="C3"/>
      <x:c r="D3"/>
      <x:c r="E3"/>
      <x:c r="F3"/>
      <x:c r="G3"/>
      <x:c r="H3"/>
    </x:row>
    <x:row r="4">
      <x:c r="A4" s="19" t="str">
        <x:v>핵심 지표</x:v>
      </x:c>
      <x:c r="B4" s="19" t="str">
        <x:v>값</x:v>
      </x:c>
      <x:c r="C4" s="19" t="str">
        <x:v>설명</x:v>
      </x:c>
      <x:c r="D4" s="19"/>
      <x:c r="E4" s="19" t="str">
        <x:v>포트폴리오 상태</x:v>
      </x:c>
      <x:c r="F4" s="19" t="str">
        <x:v>건수</x:v>
      </x:c>
      <x:c r="G4" s="19" t="str">
        <x:v>비율</x:v>
      </x:c>
      <x:c r="H4" s="19"/>
    </x:row>
    <x:row r="5">
      <x:c r="A5" t="str">
        <x:v>전체 작업</x:v>
      </x:c>
      <x:c r="B5" t="n">
        <x:f>COUNTA('01_통합_백로그'!A2:A310)</x:f>
        <x:v>309</x:v>
      </x:c>
      <x:c r="C5" t="str">
        <x:v>10개 부문 통합</x:v>
      </x:c>
      <x:c r="D5"/>
      <x:c r="E5" t="str">
        <x:v>미착수</x:v>
      </x:c>
      <x:c r="F5" t="n">
        <x:f>COUNTIF('01_통합_백로그'!U2:U310,E5)</x:f>
        <x:v>309</x:v>
      </x:c>
      <x:c r="G5" s="22" t="n">
        <x:f>IFERROR(F5/$B$5,0)</x:f>
        <x:v>1</x:v>
      </x:c>
      <x:c r="H5"/>
    </x:row>
    <x:row r="6">
      <x:c r="A6" t="str">
        <x:v>MVP 작업</x:v>
      </x:c>
      <x:c r="B6" t="n">
        <x:f>COUNTIF('01_통합_백로그'!I2:I310,"MVP")</x:f>
        <x:v>156</x:v>
      </x:c>
      <x:c r="C6" t="str">
        <x:v>MVP 범위</x:v>
      </x:c>
      <x:c r="D6"/>
      <x:c r="E6" t="str">
        <x:v>사양 확인 중</x:v>
      </x:c>
      <x:c r="F6" t="n">
        <x:f>COUNTIF('01_통합_백로그'!U2:U310,E6)</x:f>
        <x:v>0</x:v>
      </x:c>
      <x:c r="G6" s="22" t="n">
        <x:f>IFERROR(F6/$B$5,0)</x:f>
        <x:v>0</x:v>
      </x:c>
      <x:c r="H6"/>
    </x:row>
    <x:row r="7">
      <x:c r="A7" t="str">
        <x:v>P0 미완료</x:v>
      </x:c>
      <x:c r="B7" t="n">
        <x:f>COUNTIFS('01_통합_백로그'!J2:J310,"P0",'01_통합_백로그'!U2:U310,"&lt;&gt;완료")</x:f>
        <x:v>235</x:v>
      </x:c>
      <x:c r="C7" t="str">
        <x:v>P0이면서 완료되지 않음</x:v>
      </x:c>
      <x:c r="D7"/>
      <x:c r="E7" t="str">
        <x:v>구현 중</x:v>
      </x:c>
      <x:c r="F7" t="n">
        <x:f>COUNTIF('01_통합_백로그'!U2:U310,E7)</x:f>
        <x:v>0</x:v>
      </x:c>
      <x:c r="G7" s="22" t="n">
        <x:f>IFERROR(F7/$B$5,0)</x:f>
        <x:v>0</x:v>
      </x:c>
      <x:c r="H7"/>
    </x:row>
    <x:row r="8">
      <x:c r="A8" t="str">
        <x:v>차단</x:v>
      </x:c>
      <x:c r="B8" t="n">
        <x:f>COUNTIF('01_통합_백로그'!U2:U310,"차단")</x:f>
        <x:v>0</x:v>
      </x:c>
      <x:c r="C8" t="str">
        <x:v>현재 차단 항목</x:v>
      </x:c>
      <x:c r="D8"/>
      <x:c r="E8" t="str">
        <x:v>코드 리뷰</x:v>
      </x:c>
      <x:c r="F8" t="n">
        <x:f>COUNTIF('01_통합_백로그'!U2:U310,E8)</x:f>
        <x:v>0</x:v>
      </x:c>
      <x:c r="G8" s="22" t="n">
        <x:f>IFERROR(F8/$B$5,0)</x:f>
        <x:v>0</x:v>
      </x:c>
      <x:c r="H8"/>
    </x:row>
    <x:row r="9">
      <x:c r="A9" t="str">
        <x:v>완료</x:v>
      </x:c>
      <x:c r="B9" t="n">
        <x:f>COUNTIF('01_통합_백로그'!U2:U310,"완료")</x:f>
        <x:v>0</x:v>
      </x:c>
      <x:c r="C9" t="str">
        <x:v>완료 정의·QA·증빙 완료</x:v>
      </x:c>
      <x:c r="D9"/>
      <x:c r="E9" t="str">
        <x:v>QA 진행 중</x:v>
      </x:c>
      <x:c r="F9" t="n">
        <x:f>COUNTIF('01_통합_백로그'!U2:U310,E9)</x:f>
        <x:v>0</x:v>
      </x:c>
      <x:c r="G9" s="22" t="n">
        <x:f>IFERROR(F9/$B$5,0)</x:f>
        <x:v>0</x:v>
      </x:c>
      <x:c r="H9"/>
    </x:row>
    <x:row r="10">
      <x:c r="A10" t="str">
        <x:v>평균 진행률</x:v>
      </x:c>
      <x:c r="B10" s="22" t="n">
        <x:f>IFERROR(AVERAGE('01_통합_백로그'!V2:V310),0)</x:f>
        <x:v>0</x:v>
      </x:c>
      <x:c r="C10" t="str">
        <x:v>상태별 진행률 환산 평균</x:v>
      </x:c>
      <x:c r="D10"/>
      <x:c r="E10" t="str">
        <x:v>차단</x:v>
      </x:c>
      <x:c r="F10" t="n">
        <x:f>COUNTIF('01_통합_백로그'!U2:U310,E10)</x:f>
        <x:v>0</x:v>
      </x:c>
      <x:c r="G10" s="22" t="n">
        <x:f>IFERROR(F10/$B$5,0)</x:f>
        <x:v>0</x:v>
      </x:c>
      <x:c r="H10"/>
    </x:row>
    <x:row r="11">
      <x:c r="A11" t="str">
        <x:v>고위험 미해결</x:v>
      </x:c>
      <x:c r="B11" t="n">
        <x:f>COUNTIFS('06_리스크'!I2:I41,"&gt;=6",'06_리스크'!M2:M41,"&lt;&gt;해소",'06_리스크'!M2:M41,"&lt;&gt;종결")</x:f>
        <x:v>31</x:v>
      </x:c>
      <x:c r="C11" t="str">
        <x:v>위험 점수 6 이상 미해결</x:v>
      </x:c>
      <x:c r="D11"/>
      <x:c r="E11" t="str">
        <x:v>완료</x:v>
      </x:c>
      <x:c r="F11" t="n">
        <x:f>COUNTIF('01_통합_백로그'!U2:U310,E11)</x:f>
        <x:v>0</x:v>
      </x:c>
      <x:c r="G11" s="22" t="n">
        <x:f>IFERROR(F11/$B$5,0)</x:f>
        <x:v>0</x:v>
      </x:c>
      <x:c r="H11"/>
    </x:row>
    <x:row r="12">
      <x:c r="A12" t="str">
        <x:v>포트폴리오 판정</x:v>
      </x:c>
      <x:c r="B12" t="str">
        <x:f>IF(AND(B7=0,B8=0,B11=0),"준비 완료","준비 안 됨")</x:f>
        <x:v>준비 안 됨</x:v>
      </x:c>
      <x:c r="C12" t="str">
        <x:v>P0·차단·게이트 종합</x:v>
      </x:c>
      <x:c r="D12"/>
      <x:c r="E12" t="str">
        <x:v>보류</x:v>
      </x:c>
      <x:c r="F12" t="n">
        <x:f>COUNTIF('01_통합_백로그'!U2:U310,E12)</x:f>
        <x:v>0</x:v>
      </x:c>
      <x:c r="G12" s="22" t="n">
        <x:f>IFERROR(F12/$B$5,0)</x:f>
        <x:v>0</x:v>
      </x:c>
      <x:c r="H12"/>
    </x:row>
    <x:row r="13">
      <x:c r="A13"/>
      <x:c r="B13"/>
      <x:c r="C13"/>
      <x:c r="D13"/>
      <x:c r="E13"/>
      <x:c r="F13"/>
      <x:c r="G13"/>
      <x:c r="H13"/>
    </x:row>
    <x:row r="14">
      <x:c r="A14"/>
      <x:c r="B14"/>
      <x:c r="C14"/>
      <x:c r="D14"/>
      <x:c r="E14"/>
      <x:c r="F14"/>
      <x:c r="G14"/>
      <x:c r="H14"/>
    </x:row>
    <x:row r="15">
      <x:c r="A15" s="26" t="str">
        <x:v>부문</x:v>
      </x:c>
      <x:c r="B15" s="26" t="str">
        <x:v>파일</x:v>
      </x:c>
      <x:c r="C15" s="26" t="str">
        <x:v>전체</x:v>
      </x:c>
      <x:c r="D15" s="26" t="str">
        <x:v>P0 미완료</x:v>
      </x:c>
      <x:c r="E15" s="26" t="str">
        <x:v>평균 진행률</x:v>
      </x:c>
      <x:c r="F15"/>
      <x:c r="G15"/>
      <x:c r="H15"/>
    </x:row>
    <x:row r="16">
      <x:c r="A16" t="str">
        <x:v>인게임·게임플레이</x:v>
      </x:c>
      <x:c r="B16" t="str">
        <x:v>01_인게임_게임플레이.xlsx</x:v>
      </x:c>
      <x:c r="C16" t="n">
        <x:f>COUNTIF('01_통합_백로그'!B:B,A16)</x:f>
        <x:v>38</x:v>
      </x:c>
      <x:c r="D16" t="n">
        <x:f>COUNTIFS('01_통합_백로그'!B:B,A16,'01_통합_백로그'!J:J,"P0",'01_통합_백로그'!U:U,"&lt;&gt;완료")</x:f>
        <x:v>32</x:v>
      </x:c>
      <x:c r="E16" s="22" t="n">
        <x:f>IFERROR(SUMIF('01_통합_백로그'!B:B,A16,'01_통합_백로그'!V:V)/COUNTIF('01_통합_백로그'!B:B,A16),0)</x:f>
        <x:v>0</x:v>
      </x:c>
      <x:c r="F16"/>
      <x:c r="G16"/>
      <x:c r="H16"/>
    </x:row>
    <x:row r="17">
      <x:c r="A17" t="str">
        <x:v>UI·UX</x:v>
      </x:c>
      <x:c r="B17" t="str">
        <x:v>02_UI_UX.xlsx</x:v>
      </x:c>
      <x:c r="C17" t="n">
        <x:f>COUNTIF('01_통합_백로그'!B:B,A17)</x:f>
        <x:v>30</x:v>
      </x:c>
      <x:c r="D17" t="n">
        <x:f>COUNTIFS('01_통합_백로그'!B:B,A17,'01_통합_백로그'!J:J,"P0",'01_통합_백로그'!U:U,"&lt;&gt;완료")</x:f>
        <x:v>27</x:v>
      </x:c>
      <x:c r="E17" s="22" t="n">
        <x:f>IFERROR(SUMIF('01_통합_백로그'!B:B,A17,'01_통합_백로그'!V:V)/COUNTIF('01_통합_백로그'!B:B,A17),0)</x:f>
        <x:v>0</x:v>
      </x:c>
      <x:c r="F17"/>
      <x:c r="G17"/>
      <x:c r="H17"/>
    </x:row>
    <x:row r="18">
      <x:c r="A18" t="str">
        <x:v>게임 설정·접근성</x:v>
      </x:c>
      <x:c r="B18" t="str">
        <x:v>03_게임설정_접근성.xlsx</x:v>
      </x:c>
      <x:c r="C18" t="n">
        <x:f>COUNTIF('01_통합_백로그'!B:B,A18)</x:f>
        <x:v>28</x:v>
      </x:c>
      <x:c r="D18" t="n">
        <x:f>COUNTIFS('01_통합_백로그'!B:B,A18,'01_통합_백로그'!J:J,"P0",'01_통합_백로그'!U:U,"&lt;&gt;완료")</x:f>
        <x:v>18</x:v>
      </x:c>
      <x:c r="E18" s="22" t="n">
        <x:f>IFERROR(SUMIF('01_통합_백로그'!B:B,A18,'01_통합_백로그'!V:V)/COUNTIF('01_통합_백로그'!B:B,A18),0)</x:f>
        <x:v>0</x:v>
      </x:c>
      <x:c r="F18"/>
      <x:c r="G18"/>
      <x:c r="H18"/>
    </x:row>
    <x:row r="19">
      <x:c r="A19" t="str">
        <x:v>온라인·로비·매치메이킹</x:v>
      </x:c>
      <x:c r="B19" t="str">
        <x:v>04_온라인_로비_매치메이킹.xlsx</x:v>
      </x:c>
      <x:c r="C19" t="n">
        <x:f>COUNTIF('01_통합_백로그'!B:B,A19)</x:f>
        <x:v>25</x:v>
      </x:c>
      <x:c r="D19" t="n">
        <x:f>COUNTIFS('01_통합_백로그'!B:B,A19,'01_통합_백로그'!J:J,"P0",'01_통합_백로그'!U:U,"&lt;&gt;완료")</x:f>
        <x:v>17</x:v>
      </x:c>
      <x:c r="E19" s="22" t="n">
        <x:f>IFERROR(SUMIF('01_통합_백로그'!B:B,A19,'01_통합_백로그'!V:V)/COUNTIF('01_통합_백로그'!B:B,A19),0)</x:f>
        <x:v>0</x:v>
      </x:c>
      <x:c r="F19"/>
      <x:c r="G19"/>
      <x:c r="H19"/>
    </x:row>
    <x:row r="20">
      <x:c r="A20" t="str">
        <x:v>네트워크 동기화·보안</x:v>
      </x:c>
      <x:c r="B20" t="str">
        <x:v>05_네트워크_동기화.xlsx</x:v>
      </x:c>
      <x:c r="C20" t="n">
        <x:f>COUNTIF('01_통합_백로그'!B:B,A20)</x:f>
        <x:v>30</x:v>
      </x:c>
      <x:c r="D20" t="n">
        <x:f>COUNTIFS('01_통합_백로그'!B:B,A20,'01_통합_백로그'!J:J,"P0",'01_통합_백로그'!U:U,"&lt;&gt;완료")</x:f>
        <x:v>28</x:v>
      </x:c>
      <x:c r="E20" s="22" t="n">
        <x:f>IFERROR(SUMIF('01_통합_백로그'!B:B,A20,'01_통합_백로그'!V:V)/COUNTIF('01_통합_백로그'!B:B,A20),0)</x:f>
        <x:v>0</x:v>
      </x:c>
      <x:c r="F20"/>
      <x:c r="G20"/>
      <x:c r="H20"/>
    </x:row>
    <x:row r="21">
      <x:c r="A21" t="str">
        <x:v>백엔드·데이터·모더레이션</x:v>
      </x:c>
      <x:c r="B21" t="str">
        <x:v>06_백엔드_데이터_모더레이션.xlsx</x:v>
      </x:c>
      <x:c r="C21" t="n">
        <x:f>COUNTIF('01_통합_백로그'!B:B,A21)</x:f>
        <x:v>30</x:v>
      </x:c>
      <x:c r="D21" t="n">
        <x:f>COUNTIFS('01_통합_백로그'!B:B,A21,'01_통합_백로그'!J:J,"P0",'01_통합_백로그'!U:U,"&lt;&gt;완료")</x:f>
        <x:v>24</x:v>
      </x:c>
      <x:c r="E21" s="22" t="n">
        <x:f>IFERROR(SUMIF('01_통합_백로그'!B:B,A21,'01_통합_백로그'!V:V)/COUNTIF('01_통합_백로그'!B:B,A21),0)</x:f>
        <x:v>0</x:v>
      </x:c>
      <x:c r="F21"/>
      <x:c r="G21"/>
      <x:c r="H21"/>
    </x:row>
    <x:row r="22">
      <x:c r="A22" t="str">
        <x:v>캐릭터·커스터마이징·커머스</x:v>
      </x:c>
      <x:c r="B22" t="str">
        <x:v>07_캐릭터_커스터마이징_커머스.xlsx</x:v>
      </x:c>
      <x:c r="C22" t="n">
        <x:f>COUNTIF('01_통합_백로그'!B:B,A22)</x:f>
        <x:v>31</x:v>
      </x:c>
      <x:c r="D22" t="n">
        <x:f>COUNTIFS('01_통합_백로그'!B:B,A22,'01_통합_백로그'!J:J,"P0",'01_통합_백로그'!U:U,"&lt;&gt;완료")</x:f>
        <x:v>15</x:v>
      </x:c>
      <x:c r="E22" s="22" t="n">
        <x:f>IFERROR(SUMIF('01_통합_백로그'!B:B,A22,'01_통합_백로그'!V:V)/COUNTIF('01_통합_백로그'!B:B,A22),0)</x:f>
        <x:v>0</x:v>
      </x:c>
      <x:c r="F22"/>
      <x:c r="G22"/>
      <x:c r="H22"/>
    </x:row>
    <x:row r="23">
      <x:c r="A23" t="str">
        <x:v>오디오·보이스 채팅</x:v>
      </x:c>
      <x:c r="B23" t="str">
        <x:v>08_오디오_보이스채팅.xlsx</x:v>
      </x:c>
      <x:c r="C23" t="n">
        <x:f>COUNTIF('01_통합_백로그'!B:B,A23)</x:f>
        <x:v>24</x:v>
      </x:c>
      <x:c r="D23" t="n">
        <x:f>COUNTIFS('01_통합_백로그'!B:B,A23,'01_통합_백로그'!J:J,"P0",'01_통합_백로그'!U:U,"&lt;&gt;완료")</x:f>
        <x:v>15</x:v>
      </x:c>
      <x:c r="E23" s="22" t="n">
        <x:f>IFERROR(SUMIF('01_통합_백로그'!B:B,A23,'01_통합_백로그'!V:V)/COUNTIF('01_통합_백로그'!B:B,A23),0)</x:f>
        <x:v>0</x:v>
      </x:c>
      <x:c r="F23"/>
      <x:c r="G23"/>
      <x:c r="H23"/>
    </x:row>
    <x:row r="24">
      <x:c r="A24" t="str">
        <x:v>콘텐츠·맵·미니게임</x:v>
      </x:c>
      <x:c r="B24" t="str">
        <x:v>09_콘텐츠_맵_미니게임.xlsx</x:v>
      </x:c>
      <x:c r="C24" t="n">
        <x:f>COUNTIF('01_통합_백로그'!B:B,A24)</x:f>
        <x:v>35</x:v>
      </x:c>
      <x:c r="D24" t="n">
        <x:f>COUNTIFS('01_통합_백로그'!B:B,A24,'01_통합_백로그'!J:J,"P0",'01_통합_백로그'!U:U,"&lt;&gt;완료")</x:f>
        <x:v>25</x:v>
      </x:c>
      <x:c r="E24" s="22" t="n">
        <x:f>IFERROR(SUMIF('01_통합_백로그'!B:B,A24,'01_통합_백로그'!V:V)/COUNTIF('01_통합_백로그'!B:B,A24),0)</x:f>
        <x:v>0</x:v>
      </x:c>
      <x:c r="F24"/>
      <x:c r="G24"/>
      <x:c r="H24"/>
    </x:row>
    <x:row r="25">
      <x:c r="A25" t="str">
        <x:v>QA·릴리스·운영</x:v>
      </x:c>
      <x:c r="B25" t="str">
        <x:v>10_QA_릴리스_운영.xlsx</x:v>
      </x:c>
      <x:c r="C25" t="n">
        <x:f>COUNTIF('01_통합_백로그'!B:B,A25)</x:f>
        <x:v>38</x:v>
      </x:c>
      <x:c r="D25" t="n">
        <x:f>COUNTIFS('01_통합_백로그'!B:B,A25,'01_통합_백로그'!J:J,"P0",'01_통합_백로그'!U:U,"&lt;&gt;완료")</x:f>
        <x:v>34</x:v>
      </x:c>
      <x:c r="E25" s="22" t="n">
        <x:f>IFERROR(SUMIF('01_통합_백로그'!B:B,A25,'01_통합_백로그'!V:V)/COUNTIF('01_통합_백로그'!B:B,A25),0)</x:f>
        <x:v>0</x:v>
      </x:c>
      <x:c r="F25"/>
      <x:c r="G25"/>
      <x:c r="H2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2b674d478c34a7a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22" hidden="0" customWidth="1"/>
    <x:col min="5" max="5" width="34" hidden="0" customWidth="1"/>
    <x:col min="6" max="6" width="44" hidden="0" customWidth="1"/>
    <x:col min="7" max="7" width="54" hidden="0" customWidth="1"/>
    <x:col min="8" max="8" width="48" hidden="0" customWidth="1"/>
    <x:col min="9" max="9" width="13" hidden="0" customWidth="1"/>
    <x:col min="10" max="10" width="10" hidden="0" customWidth="1"/>
    <x:col min="11" max="11" width="13" hidden="0" customWidth="1"/>
    <x:col min="12" max="12" width="18" hidden="0" customWidth="1"/>
    <x:col min="13" max="13" width="16" hidden="0" customWidth="1"/>
    <x:col min="14" max="14" width="22" hidden="0" customWidth="1"/>
    <x:col min="15" max="15" width="16" hidden="0" customWidth="1"/>
    <x:col min="16" max="16" width="16" hidden="0" customWidth="1"/>
    <x:col min="17" max="17" width="20" hidden="0" customWidth="1"/>
    <x:col min="18" max="18" width="20" hidden="0" customWidth="1"/>
    <x:col min="19" max="19" width="14" hidden="0" customWidth="1"/>
    <x:col min="20" max="20" width="10" hidden="0" customWidth="1"/>
    <x:col min="21" max="21" width="14" hidden="0" customWidth="1"/>
    <x:col min="22" max="22" width="10" hidden="0" customWidth="1"/>
    <x:col min="23" max="23" width="12" hidden="0" customWidth="1"/>
    <x:col min="24" max="24" width="13" hidden="0" customWidth="1"/>
    <x:col min="25" max="25" width="24" hidden="0" customWidth="1"/>
    <x:col min="26" max="26" width="12" hidden="0" customWidth="1"/>
    <x:col min="27" max="27" width="15" hidden="0" customWidth="1"/>
    <x:col min="28" max="28" width="24" hidden="0" customWidth="1"/>
    <x:col min="29" max="29" width="18" hidden="0" customWidth="1"/>
    <x:col min="30" max="30" width="30" hidden="0" customWidth="1"/>
    <x:col min="31" max="31" width="28" hidden="0" customWidth="1"/>
    <x:col min="32" max="32" width="13" hidden="0" customWidth="1"/>
    <x:col min="33" max="33" width="28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32" t="str">
        <x:v>ID</x:v>
      </x:c>
      <x:c r="B1" s="32" t="str">
        <x:v>부문</x:v>
      </x:c>
      <x:c r="C1" s="32" t="str">
        <x:v>에픽</x:v>
      </x:c>
      <x:c r="D1" s="32" t="str">
        <x:v>기능 그룹</x:v>
      </x:c>
      <x:c r="E1" s="32" t="str">
        <x:v>구현 항목</x:v>
      </x:c>
      <x:c r="F1" s="32" t="str">
        <x:v>목적·설명</x:v>
      </x:c>
      <x:c r="G1" s="32" t="str">
        <x:v>수용 기준</x:v>
      </x:c>
      <x:c r="H1" s="32" t="str">
        <x:v>완료 정의</x:v>
      </x:c>
      <x:c r="I1" s="32" t="str">
        <x:v>범위</x:v>
      </x:c>
      <x:c r="J1" s="32" t="str">
        <x:v>우선순위</x:v>
      </x:c>
      <x:c r="K1" s="32" t="str">
        <x:v>릴리스 게이트</x:v>
      </x:c>
      <x:c r="L1" s="32" t="str">
        <x:v>게이트 분류</x:v>
      </x:c>
      <x:c r="M1" s="32" t="str">
        <x:v>마일스톤</x:v>
      </x:c>
      <x:c r="N1" s="32" t="str">
        <x:v>담당 부문</x:v>
      </x:c>
      <x:c r="O1" s="32" t="str">
        <x:v>담당자명</x:v>
      </x:c>
      <x:c r="P1" s="32" t="str">
        <x:v>검토자</x:v>
      </x:c>
      <x:c r="Q1" s="32" t="str">
        <x:v>대상 플랫폼</x:v>
      </x:c>
      <x:c r="R1" s="32" t="str">
        <x:v>권한·실행 주체</x:v>
      </x:c>
      <x:c r="S1" s="32" t="str">
        <x:v>영속화</x:v>
      </x:c>
      <x:c r="T1" s="32" t="str">
        <x:v>예상 규모</x:v>
      </x:c>
      <x:c r="U1" s="32" t="str">
        <x:v>상태</x:v>
      </x:c>
      <x:c r="V1" s="32" t="str">
        <x:v>진행률</x:v>
      </x:c>
      <x:c r="W1" s="32" t="str">
        <x:v>스프린트</x:v>
      </x:c>
      <x:c r="X1" s="32" t="str">
        <x:v>기한</x:v>
      </x:c>
      <x:c r="Y1" s="32" t="str">
        <x:v>의존 ID</x:v>
      </x:c>
      <x:c r="Z1" s="32" t="str">
        <x:v>위험도</x:v>
      </x:c>
      <x:c r="AA1" s="32" t="str">
        <x:v>QA 유형</x:v>
      </x:c>
      <x:c r="AB1" s="32" t="str">
        <x:v>테스트 케이스 ID</x:v>
      </x:c>
      <x:c r="AC1" s="32" t="str">
        <x:v>외부 추적 도구 키</x:v>
      </x:c>
      <x:c r="AD1" s="32" t="str">
        <x:v>근거</x:v>
      </x:c>
      <x:c r="AE1" s="32" t="str">
        <x:v>증빙 링크</x:v>
      </x:c>
      <x:c r="AF1" s="32" t="str">
        <x:v>최종 갱신일</x:v>
      </x:c>
      <x:c r="AG1" s="32" t="str">
        <x:v>비고</x:v>
      </x:c>
      <x:c r="AH1" s="48" t="str">
        <x:v>시작일</x:v>
      </x:c>
      <x:c r="AI1" s="48" t="str">
        <x:v>종료일</x:v>
      </x:c>
      <x:c r="AJ1" s="48" t="str">
        <x:v>진행상황</x:v>
      </x:c>
    </x:row>
    <x:row r="2" ht="42" customHeight="1">
      <x:c r="A2" s="37" t="str">
        <x:v>IGM-001</x:v>
      </x:c>
      <x:c r="B2" s="37" t="str">
        <x:v>인게임·게임플레이</x:v>
      </x:c>
      <x:c r="C2" s="37" t="str">
        <x:v>게임 세션</x:v>
      </x:c>
      <x:c r="D2" s="37" t="str">
        <x:v>매치 상태</x:v>
      </x:c>
      <x:c r="E2" s="37" t="str">
        <x:v>서버 권한 기반 매치 상태 머신</x:v>
      </x:c>
      <x:c r="F2" s="37" t="str">
        <x:v>게임 규칙, 운영 요구사항과 대상 플랫폼 제약을 충족하도록 서버 권한 기반 매치 상태 머신 기능을 구현하고 검증한다.</x:v>
      </x:c>
      <x:c r="G2" s="37" t="str">
        <x:v>로비→역할 공개→낮→밤 관찰→밤 투표→결과 또는 최종 재판의 상태 전이가 서버에서 단일하게 결정되고, 모든 클라이언트가 동일한 상태와 남은 시간을 표시한다.</x:v>
      </x:c>
      <x:c r="H2" s="37" t="str">
        <x:v>구현, 코드 리뷰, 사양 갱신, 대상 QA 케이스 실행, 로그·텔레메트리 확인과 관련 플랫폼 검증을 완료하고 미해결 P0·P1 결함이 없다.</x:v>
      </x:c>
      <x:c r="I2" s="37" t="str">
        <x:v>MVP</x:v>
      </x:c>
      <x:c r="J2" s="37" t="str">
        <x:v>P0</x:v>
      </x:c>
      <x:c r="K2" s="37" t="str">
        <x:v>필수</x:v>
      </x:c>
      <x:c r="L2" s="37" t="str">
        <x:v>핵심 규칙</x:v>
      </x:c>
      <x:c r="M2" s="37" t="str">
        <x:v>MVP</x:v>
      </x:c>
      <x:c r="N2" s="37" t="str">
        <x:v>게임플레이 엔지니어링</x:v>
      </x:c>
      <x:c r="O2" s="37" t="str">
        <x:v>미정</x:v>
      </x:c>
      <x:c r="P2" s="37" t="str">
        <x:v>미정</x:v>
      </x:c>
      <x:c r="Q2" s="37" t="str">
        <x:v>전체</x:v>
      </x:c>
      <x:c r="R2" s="37" t="str">
        <x:v>서버 권한</x:v>
      </x:c>
      <x:c r="S2" s="37" t="str">
        <x:v>세션</x:v>
      </x:c>
      <x:c r="T2" s="37" t="str">
        <x:v>L</x:v>
      </x:c>
      <x:c r="U2" s="37" t="str">
        <x:v>미착수</x:v>
      </x:c>
      <x:c r="V2" s="42" t="n">
        <x:f>IF(U2="완료",1,IF(U2="QA 진행 중",0.8,IF(U2="코드 리뷰",0.65,IF(U2="구현 중",0.4,IF(U2="사양 확인 중",0.1,IF(U2="차단",0.4,0))))))</x:f>
        <x:v>0</x:v>
      </x:c>
      <x:c r="W2" s="37" t="str">
        <x:v>미정</x:v>
      </x:c>
      <x:c r="X2" s="40"/>
      <x:c r="Y2" s="37"/>
      <x:c r="Z2" s="37" t="str">
        <x:v>중간</x:v>
      </x:c>
      <x:c r="AA2" s="37" t="str">
        <x:v>통합</x:v>
      </x:c>
      <x:c r="AB2" s="37" t="str">
        <x:v>TC-IGM-001-01, TC-IGM-001-02</x:v>
      </x:c>
      <x:c r="AC2" s="37"/>
      <x:c r="AD2" s="37" t="str">
        <x:v>게임 기획서</x:v>
      </x:c>
      <x:c r="AE2" s="37"/>
      <x:c r="AF2" s="40" t="str">
        <x:v>2026-07-10</x:v>
      </x:c>
      <x:c r="AG2" s="37"/>
      <x:c r="AH2" s="49"/>
      <x:c r="AI2" s="49"/>
      <x:c r="AJ2" s="48" t="str">
        <x:v>착수 전</x:v>
      </x:c>
    </x:row>
    <x:row r="3" ht="42" customHeight="1">
      <x:c r="A3" s="37" t="str">
        <x:v>IGM-002</x:v>
      </x:c>
      <x:c r="B3" s="37" t="str">
        <x:v>인게임·게임플레이</x:v>
      </x:c>
      <x:c r="C3" s="37" t="str">
        <x:v>역할 시스템</x:v>
      </x:c>
      <x:c r="D3" s="37" t="str">
        <x:v>배정</x:v>
      </x:c>
      <x:c r="E3" s="37" t="str">
        <x:v>시민·마피아 비밀 역할 배정</x:v>
      </x:c>
      <x:c r="F3" s="37" t="str">
        <x:v>게임 규칙, 운영 요구사항과 대상 플랫폼 제약을 충족하도록 시민·마피아 비밀 역할 배정 기능을 구현하고 검증한다.</x:v>
      </x:c>
      <x:c r="G3" s="37" t="str">
        <x:v>기본 구성인 4~6명·마피아 1명에서 역할이 중복 없이 배정되며, 본인을 제외한 클라이언트로 역할 정보가 전송되지 않는다.</x:v>
      </x:c>
      <x:c r="H3" s="37" t="str">
        <x:v>구현, 코드 리뷰, 사양 갱신, 대상 QA 케이스 실행, 로그·텔레메트리 확인과 관련 플랫폼 검증을 완료하고 미해결 P0·P1 결함이 없다.</x:v>
      </x:c>
      <x:c r="I3" s="37" t="str">
        <x:v>MVP</x:v>
      </x:c>
      <x:c r="J3" s="37" t="str">
        <x:v>P0</x:v>
      </x:c>
      <x:c r="K3" s="37" t="str">
        <x:v>필수</x:v>
      </x:c>
      <x:c r="L3" s="37" t="str">
        <x:v>정보 비공개</x:v>
      </x:c>
      <x:c r="M3" s="37" t="str">
        <x:v>MVP</x:v>
      </x:c>
      <x:c r="N3" s="37" t="str">
        <x:v>게임플레이 엔지니어링</x:v>
      </x:c>
      <x:c r="O3" s="37" t="str">
        <x:v>미정</x:v>
      </x:c>
      <x:c r="P3" s="37" t="str">
        <x:v>미정</x:v>
      </x:c>
      <x:c r="Q3" s="37" t="str">
        <x:v>전체</x:v>
      </x:c>
      <x:c r="R3" s="37" t="str">
        <x:v>서버 권한</x:v>
      </x:c>
      <x:c r="S3" s="37" t="str">
        <x:v>세션</x:v>
      </x:c>
      <x:c r="T3" s="37" t="str">
        <x:v>M</x:v>
      </x:c>
      <x:c r="U3" s="37" t="str">
        <x:v>미착수</x:v>
      </x:c>
      <x:c r="V3" s="42" t="n">
        <x:f>IF(U3="완료",1,IF(U3="QA 진행 중",0.8,IF(U3="코드 리뷰",0.65,IF(U3="구현 중",0.4,IF(U3="사양 확인 중",0.1,IF(U3="차단",0.4,0))))))</x:f>
        <x:v>0</x:v>
      </x:c>
      <x:c r="W3" s="37" t="str">
        <x:v>미정</x:v>
      </x:c>
      <x:c r="X3" s="40"/>
      <x:c r="Y3" s="37" t="str">
        <x:v>IGM-001</x:v>
      </x:c>
      <x:c r="Z3" s="37" t="str">
        <x:v>중간</x:v>
      </x:c>
      <x:c r="AA3" s="37" t="str">
        <x:v>보안</x:v>
      </x:c>
      <x:c r="AB3" s="37" t="str">
        <x:v>TC-IGM-002-01, TC-IGM-002-02</x:v>
      </x:c>
      <x:c r="AC3" s="37"/>
      <x:c r="AD3" s="37" t="str">
        <x:v>게임 기획서</x:v>
      </x:c>
      <x:c r="AE3" s="37"/>
      <x:c r="AF3" s="40" t="str">
        <x:v>2026-07-10</x:v>
      </x:c>
      <x:c r="AG3" s="37"/>
      <x:c r="AH3" s="49"/>
      <x:c r="AI3" s="49"/>
      <x:c r="AJ3" s="48" t="str">
        <x:v>착수 전</x:v>
      </x:c>
    </x:row>
    <x:row r="4" ht="42" customHeight="1">
      <x:c r="A4" s="37" t="str">
        <x:v>IGM-003</x:v>
      </x:c>
      <x:c r="B4" s="37" t="str">
        <x:v>인게임·게임플레이</x:v>
      </x:c>
      <x:c r="C4" s="37" t="str">
        <x:v>플레이어 식별</x:v>
      </x:c>
      <x:c r="D4" s="37" t="str">
        <x:v>색상 할당</x:v>
      </x:c>
      <x:c r="E4" s="37" t="str">
        <x:v>플레이어 고유 색상 일관 적용</x:v>
      </x:c>
      <x:c r="F4" s="37" t="str">
        <x:v>게임 규칙, 운영 요구사항과 대상 플랫폼 제약을 충족하도록 플레이어 고유 색상 일관 적용 기능을 구현하고 검증한다.</x:v>
      </x:c>
      <x:c r="G4" s="37" t="str">
        <x:v>각 참가자에게 중복되지 않는 색상을 할당하고 캐릭터, 이름표, LED, 메모 규칙, 투표 UI가 동일한 색상 ID를 참조한다.</x:v>
      </x:c>
      <x:c r="H4" s="37" t="str">
        <x:v>구현, 코드 리뷰, 사양 갱신, 대상 QA 케이스 실행, 로그·텔레메트리 확인과 관련 플랫폼 검증을 완료하고 미해결 P0·P1 결함이 없다.</x:v>
      </x:c>
      <x:c r="I4" s="37" t="str">
        <x:v>MVP</x:v>
      </x:c>
      <x:c r="J4" s="37" t="str">
        <x:v>P0</x:v>
      </x:c>
      <x:c r="K4" s="37" t="str">
        <x:v>필수</x:v>
      </x:c>
      <x:c r="L4" s="37" t="str">
        <x:v>핵심 규칙</x:v>
      </x:c>
      <x:c r="M4" s="37" t="str">
        <x:v>MVP</x:v>
      </x:c>
      <x:c r="N4" s="37" t="str">
        <x:v>게임플레이 엔지니어링</x:v>
      </x:c>
      <x:c r="O4" s="37" t="str">
        <x:v>미정</x:v>
      </x:c>
      <x:c r="P4" s="37" t="str">
        <x:v>미정</x:v>
      </x:c>
      <x:c r="Q4" s="37" t="str">
        <x:v>전체</x:v>
      </x:c>
      <x:c r="R4" s="37" t="str">
        <x:v>서버 권한</x:v>
      </x:c>
      <x:c r="S4" s="37" t="str">
        <x:v>세션</x:v>
      </x:c>
      <x:c r="T4" s="37" t="str">
        <x:v>M</x:v>
      </x:c>
      <x:c r="U4" s="37" t="str">
        <x:v>미착수</x:v>
      </x:c>
      <x:c r="V4" s="42" t="n">
        <x:f>IF(U4="완료",1,IF(U4="QA 진행 중",0.8,IF(U4="코드 리뷰",0.65,IF(U4="구현 중",0.4,IF(U4="사양 확인 중",0.1,IF(U4="차단",0.4,0))))))</x:f>
        <x:v>0</x:v>
      </x:c>
      <x:c r="W4" s="37" t="str">
        <x:v>미정</x:v>
      </x:c>
      <x:c r="X4" s="40"/>
      <x:c r="Y4" s="37" t="str">
        <x:v>ONL-009</x:v>
      </x:c>
      <x:c r="Z4" s="37" t="str">
        <x:v>중간</x:v>
      </x:c>
      <x:c r="AA4" s="37" t="str">
        <x:v>통합</x:v>
      </x:c>
      <x:c r="AB4" s="37" t="str">
        <x:v>TC-IGM-003-01, TC-IGM-003-02</x:v>
      </x:c>
      <x:c r="AC4" s="37"/>
      <x:c r="AD4" s="37" t="str">
        <x:v>게임 기획서 §7 / 캐릭터 사양서 §5</x:v>
      </x:c>
      <x:c r="AE4" s="37"/>
      <x:c r="AF4" s="40" t="str">
        <x:v>2026-07-10</x:v>
      </x:c>
      <x:c r="AG4" s="37"/>
      <x:c r="AH4" s="49"/>
      <x:c r="AI4" s="49"/>
      <x:c r="AJ4" s="48" t="str">
        <x:v>착수 전</x:v>
      </x:c>
    </x:row>
    <x:row r="5" ht="42" customHeight="1">
      <x:c r="A5" s="37" t="str">
        <x:v>IGM-004</x:v>
      </x:c>
      <x:c r="B5" s="37" t="str">
        <x:v>인게임·게임플레이</x:v>
      </x:c>
      <x:c r="C5" s="37" t="str">
        <x:v>페이즈 규칙</x:v>
      </x:c>
      <x:c r="D5" s="37" t="str">
        <x:v>낮 페이즈</x:v>
      </x:c>
      <x:c r="E5" s="37" t="str">
        <x:v>낮 페이즈 시작·종료·타이머</x:v>
      </x:c>
      <x:c r="F5" s="37" t="str">
        <x:v>게임 규칙, 운영 요구사항과 대상 플랫폼 제약을 충족하도록 낮 페이즈 시작·종료·타이머 기능을 구현하고 검증한다.</x:v>
      </x:c>
      <x:c r="G5" s="37" t="str">
        <x:v>낮은 기본 180초로 시작하며 남은 시간이 0초가 되면 신규 메모 부착과 미니게임 시작을 거부한 뒤 안전하게 밤으로 전환한다.</x:v>
      </x:c>
      <x:c r="H5" s="37" t="str">
        <x:v>구현, 코드 리뷰, 사양 갱신, 대상 QA 케이스 실행, 로그·텔레메트리 확인과 관련 플랫폼 검증을 완료하고 미해결 P0·P1 결함이 없다.</x:v>
      </x:c>
      <x:c r="I5" s="37" t="str">
        <x:v>MVP</x:v>
      </x:c>
      <x:c r="J5" s="37" t="str">
        <x:v>P0</x:v>
      </x:c>
      <x:c r="K5" s="37" t="str">
        <x:v>필수</x:v>
      </x:c>
      <x:c r="L5" s="37" t="str">
        <x:v>핵심 규칙</x:v>
      </x:c>
      <x:c r="M5" s="37" t="str">
        <x:v>MVP</x:v>
      </x:c>
      <x:c r="N5" s="37" t="str">
        <x:v>게임플레이 엔지니어링</x:v>
      </x:c>
      <x:c r="O5" s="37" t="str">
        <x:v>미정</x:v>
      </x:c>
      <x:c r="P5" s="37" t="str">
        <x:v>미정</x:v>
      </x:c>
      <x:c r="Q5" s="37" t="str">
        <x:v>전체</x:v>
      </x:c>
      <x:c r="R5" s="37" t="str">
        <x:v>서버 권한</x:v>
      </x:c>
      <x:c r="S5" s="37" t="str">
        <x:v>세션</x:v>
      </x:c>
      <x:c r="T5" s="37" t="str">
        <x:v>M</x:v>
      </x:c>
      <x:c r="U5" s="37" t="str">
        <x:v>미착수</x:v>
      </x:c>
      <x:c r="V5" s="42" t="n">
        <x:f>IF(U5="완료",1,IF(U5="QA 진행 중",0.8,IF(U5="코드 리뷰",0.65,IF(U5="구현 중",0.4,IF(U5="사양 확인 중",0.1,IF(U5="차단",0.4,0))))))</x:f>
        <x:v>0</x:v>
      </x:c>
      <x:c r="W5" s="37" t="str">
        <x:v>미정</x:v>
      </x:c>
      <x:c r="X5" s="40"/>
      <x:c r="Y5" s="37" t="str">
        <x:v>IGM-001</x:v>
      </x:c>
      <x:c r="Z5" s="37" t="str">
        <x:v>중간</x:v>
      </x:c>
      <x:c r="AA5" s="37" t="str">
        <x:v>경계값</x:v>
      </x:c>
      <x:c r="AB5" s="37" t="str">
        <x:v>TC-IGM-004-01, TC-IGM-004-02</x:v>
      </x:c>
      <x:c r="AC5" s="37"/>
      <x:c r="AD5" s="37" t="str">
        <x:v>게임 기획서</x:v>
      </x:c>
      <x:c r="AE5" s="37"/>
      <x:c r="AF5" s="40" t="str">
        <x:v>2026-07-10</x:v>
      </x:c>
      <x:c r="AG5" s="37"/>
      <x:c r="AH5" s="49"/>
      <x:c r="AI5" s="49"/>
      <x:c r="AJ5" s="48" t="str">
        <x:v>착수 전</x:v>
      </x:c>
    </x:row>
    <x:row r="6" ht="42" customHeight="1">
      <x:c r="A6" s="37" t="str">
        <x:v>IGM-005</x:v>
      </x:c>
      <x:c r="B6" s="37" t="str">
        <x:v>인게임·게임플레이</x:v>
      </x:c>
      <x:c r="C6" s="37" t="str">
        <x:v>페이즈 규칙</x:v>
      </x:c>
      <x:c r="D6" s="37" t="str">
        <x:v>낮 페이즈</x:v>
      </x:c>
      <x:c r="E6" s="37" t="str">
        <x:v>낮 페이즈 행동 허용 제어</x:v>
      </x:c>
      <x:c r="F6" s="37" t="str">
        <x:v>게임 규칙, 운영 요구사항과 대상 플랫폼 제약을 충족하도록 낮 페이즈 행동 허용 제어 기능을 구현하고 검증한다.</x:v>
      </x:c>
      <x:c r="G6" s="37" t="str">
        <x:v>이동, 근거리 대화, 미니게임, 메모 작성·부착은 낮에만 사용할 수 있고, 페이즈 전환 중 입력이 중복 실행되지 않는다.</x:v>
      </x:c>
      <x:c r="H6" s="37" t="str">
        <x:v>구현, 코드 리뷰, 사양 갱신, 대상 QA 케이스 실행, 로그·텔레메트리 확인과 관련 플랫폼 검증을 완료하고 미해결 P0·P1 결함이 없다.</x:v>
      </x:c>
      <x:c r="I6" s="37" t="str">
        <x:v>MVP</x:v>
      </x:c>
      <x:c r="J6" s="37" t="str">
        <x:v>P0</x:v>
      </x:c>
      <x:c r="K6" s="37" t="str">
        <x:v>필수</x:v>
      </x:c>
      <x:c r="L6" s="37" t="str">
        <x:v>핵심 규칙</x:v>
      </x:c>
      <x:c r="M6" s="37" t="str">
        <x:v>MVP</x:v>
      </x:c>
      <x:c r="N6" s="37" t="str">
        <x:v>게임플레이 엔지니어링</x:v>
      </x:c>
      <x:c r="O6" s="37" t="str">
        <x:v>미정</x:v>
      </x:c>
      <x:c r="P6" s="37" t="str">
        <x:v>미정</x:v>
      </x:c>
      <x:c r="Q6" s="37" t="str">
        <x:v>전체</x:v>
      </x:c>
      <x:c r="R6" s="37" t="str">
        <x:v>서버 권한</x:v>
      </x:c>
      <x:c r="S6" s="37" t="str">
        <x:v>세션</x:v>
      </x:c>
      <x:c r="T6" s="37" t="str">
        <x:v>M</x:v>
      </x:c>
      <x:c r="U6" s="37" t="str">
        <x:v>미착수</x:v>
      </x:c>
      <x:c r="V6" s="42" t="n">
        <x:f>IF(U6="완료",1,IF(U6="QA 진행 중",0.8,IF(U6="코드 리뷰",0.65,IF(U6="구현 중",0.4,IF(U6="사양 확인 중",0.1,IF(U6="차단",0.4,0))))))</x:f>
        <x:v>0</x:v>
      </x:c>
      <x:c r="W6" s="37" t="str">
        <x:v>미정</x:v>
      </x:c>
      <x:c r="X6" s="40"/>
      <x:c r="Y6" s="37" t="str">
        <x:v>IGM-004</x:v>
      </x:c>
      <x:c r="Z6" s="37" t="str">
        <x:v>중간</x:v>
      </x:c>
      <x:c r="AA6" s="37" t="str">
        <x:v>통합</x:v>
      </x:c>
      <x:c r="AB6" s="37" t="str">
        <x:v>TC-IGM-005-01, TC-IGM-005-02</x:v>
      </x:c>
      <x:c r="AC6" s="37"/>
      <x:c r="AD6" s="37" t="str">
        <x:v>게임 기획서</x:v>
      </x:c>
      <x:c r="AE6" s="37"/>
      <x:c r="AF6" s="40" t="str">
        <x:v>2026-07-10</x:v>
      </x:c>
      <x:c r="AG6" s="37"/>
      <x:c r="AH6" s="49"/>
      <x:c r="AI6" s="49"/>
      <x:c r="AJ6" s="48" t="str">
        <x:v>착수 전</x:v>
      </x:c>
    </x:row>
    <x:row r="7" ht="42" customHeight="1">
      <x:c r="A7" s="37" t="str">
        <x:v>IGM-006</x:v>
      </x:c>
      <x:c r="B7" s="37" t="str">
        <x:v>인게임·게임플레이</x:v>
      </x:c>
      <x:c r="C7" s="37" t="str">
        <x:v>페이즈 규칙</x:v>
      </x:c>
      <x:c r="D7" s="37" t="str">
        <x:v>밤 페이즈</x:v>
      </x:c>
      <x:c r="E7" s="37" t="str">
        <x:v>밤 시작 시 중앙 집결 처리</x:v>
      </x:c>
      <x:c r="F7" s="37" t="str">
        <x:v>게임 규칙, 운영 요구사항과 대상 플랫폼 제약을 충족하도록 밤 시작 시 중앙 집결 처리 기능을 구현하고 검증한다.</x:v>
      </x:c>
      <x:c r="G7" s="37" t="str">
        <x:v>생존자만 중앙 관찰 구역으로 안전하게 이동하며 충돌, 낙하, 카메라 오류가 없고 연결이 끊긴 플레이어는 집결 대상에서 제외한다.</x:v>
      </x:c>
      <x:c r="H7" s="37" t="str">
        <x:v>구현, 코드 리뷰, 사양 갱신, 대상 QA 케이스 실행, 로그·텔레메트리 확인과 관련 플랫폼 검증을 완료하고 미해결 P0·P1 결함이 없다.</x:v>
      </x:c>
      <x:c r="I7" s="37" t="str">
        <x:v>MVP</x:v>
      </x:c>
      <x:c r="J7" s="37" t="str">
        <x:v>P0</x:v>
      </x:c>
      <x:c r="K7" s="37" t="str">
        <x:v>필수</x:v>
      </x:c>
      <x:c r="L7" s="37" t="str">
        <x:v>핵심 규칙</x:v>
      </x:c>
      <x:c r="M7" s="37" t="str">
        <x:v>MVP</x:v>
      </x:c>
      <x:c r="N7" s="37" t="str">
        <x:v>게임플레이 엔지니어링</x:v>
      </x:c>
      <x:c r="O7" s="37" t="str">
        <x:v>미정</x:v>
      </x:c>
      <x:c r="P7" s="37" t="str">
        <x:v>미정</x:v>
      </x:c>
      <x:c r="Q7" s="37" t="str">
        <x:v>전체</x:v>
      </x:c>
      <x:c r="R7" s="37" t="str">
        <x:v>서버 권한</x:v>
      </x:c>
      <x:c r="S7" s="37" t="str">
        <x:v>세션</x:v>
      </x:c>
      <x:c r="T7" s="37" t="str">
        <x:v>M</x:v>
      </x:c>
      <x:c r="U7" s="37" t="str">
        <x:v>미착수</x:v>
      </x:c>
      <x:c r="V7" s="42" t="n">
        <x:f>IF(U7="완료",1,IF(U7="QA 진행 중",0.8,IF(U7="코드 리뷰",0.65,IF(U7="구현 중",0.4,IF(U7="사양 확인 중",0.1,IF(U7="차단",0.4,0))))))</x:f>
        <x:v>0</x:v>
      </x:c>
      <x:c r="W7" s="37" t="str">
        <x:v>미정</x:v>
      </x:c>
      <x:c r="X7" s="40"/>
      <x:c r="Y7" s="37" t="str">
        <x:v>IGM-001</x:v>
      </x:c>
      <x:c r="Z7" s="37" t="str">
        <x:v>중간</x:v>
      </x:c>
      <x:c r="AA7" s="37" t="str">
        <x:v>통합</x:v>
      </x:c>
      <x:c r="AB7" s="37" t="str">
        <x:v>TC-IGM-006-01, TC-IGM-006-02</x:v>
      </x:c>
      <x:c r="AC7" s="37"/>
      <x:c r="AD7" s="37" t="str">
        <x:v>게임 기획서</x:v>
      </x:c>
      <x:c r="AE7" s="37"/>
      <x:c r="AF7" s="40" t="str">
        <x:v>2026-07-10</x:v>
      </x:c>
      <x:c r="AG7" s="37"/>
      <x:c r="AH7" s="49"/>
      <x:c r="AI7" s="49"/>
      <x:c r="AJ7" s="48" t="str">
        <x:v>착수 전</x:v>
      </x:c>
    </x:row>
    <x:row r="8" ht="42" customHeight="1">
      <x:c r="A8" s="37" t="str">
        <x:v>IGM-007</x:v>
      </x:c>
      <x:c r="B8" s="37" t="str">
        <x:v>인게임·게임플레이</x:v>
      </x:c>
      <x:c r="C8" s="37" t="str">
        <x:v>페이즈 규칙</x:v>
      </x:c>
      <x:c r="D8" s="37" t="str">
        <x:v>밤 페이즈</x:v>
      </x:c>
      <x:c r="E8" s="37" t="str">
        <x:v>밤 이동·상호작용 잠금</x:v>
      </x:c>
      <x:c r="F8" s="37" t="str">
        <x:v>게임 규칙, 운영 요구사항과 대상 플랫폼 제약을 충족하도록 밤 이동·상호작용 잠금 기능을 구현하고 검증한다.</x:v>
      </x:c>
      <x:c r="G8" s="37" t="str">
        <x:v>밤에는 지정 범위 밖 이동, 메모 조작, 미니게임, 아이템 조작, 이모트를 서버와 클라이언트 양쪽에서 모두 차단한다.</x:v>
      </x:c>
      <x:c r="H8" s="37" t="str">
        <x:v>구현, 코드 리뷰, 사양 갱신, 대상 QA 케이스 실행, 로그·텔레메트리 확인과 관련 플랫폼 검증을 완료하고 미해결 P0·P1 결함이 없다.</x:v>
      </x:c>
      <x:c r="I8" s="37" t="str">
        <x:v>MVP</x:v>
      </x:c>
      <x:c r="J8" s="37" t="str">
        <x:v>P0</x:v>
      </x:c>
      <x:c r="K8" s="37" t="str">
        <x:v>필수</x:v>
      </x:c>
      <x:c r="L8" s="37" t="str">
        <x:v>핵심 규칙</x:v>
      </x:c>
      <x:c r="M8" s="37" t="str">
        <x:v>MVP</x:v>
      </x:c>
      <x:c r="N8" s="37" t="str">
        <x:v>게임플레이 엔지니어링</x:v>
      </x:c>
      <x:c r="O8" s="37" t="str">
        <x:v>미정</x:v>
      </x:c>
      <x:c r="P8" s="37" t="str">
        <x:v>미정</x:v>
      </x:c>
      <x:c r="Q8" s="37" t="str">
        <x:v>전체</x:v>
      </x:c>
      <x:c r="R8" s="37" t="str">
        <x:v>서버 권한</x:v>
      </x:c>
      <x:c r="S8" s="37" t="str">
        <x:v>세션</x:v>
      </x:c>
      <x:c r="T8" s="37" t="str">
        <x:v>M</x:v>
      </x:c>
      <x:c r="U8" s="37" t="str">
        <x:v>미착수</x:v>
      </x:c>
      <x:c r="V8" s="42" t="n">
        <x:f>IF(U8="완료",1,IF(U8="QA 진행 중",0.8,IF(U8="코드 리뷰",0.65,IF(U8="구현 중",0.4,IF(U8="사양 확인 중",0.1,IF(U8="차단",0.4,0))))))</x:f>
        <x:v>0</x:v>
      </x:c>
      <x:c r="W8" s="37" t="str">
        <x:v>미정</x:v>
      </x:c>
      <x:c r="X8" s="40"/>
      <x:c r="Y8" s="37" t="str">
        <x:v>IGM-006</x:v>
      </x:c>
      <x:c r="Z8" s="37" t="str">
        <x:v>중간</x:v>
      </x:c>
      <x:c r="AA8" s="37" t="str">
        <x:v>보안</x:v>
      </x:c>
      <x:c r="AB8" s="37" t="str">
        <x:v>TC-IGM-007-01, TC-IGM-007-02</x:v>
      </x:c>
      <x:c r="AC8" s="37"/>
      <x:c r="AD8" s="37" t="str">
        <x:v>게임 기획서</x:v>
      </x:c>
      <x:c r="AE8" s="37"/>
      <x:c r="AF8" s="40" t="str">
        <x:v>2026-07-10</x:v>
      </x:c>
      <x:c r="AG8" s="37"/>
      <x:c r="AH8" s="49"/>
      <x:c r="AI8" s="49"/>
      <x:c r="AJ8" s="48" t="str">
        <x:v>착수 전</x:v>
      </x:c>
    </x:row>
    <x:row r="9" ht="42" customHeight="1">
      <x:c r="A9" s="37" t="str">
        <x:v>IGM-008</x:v>
      </x:c>
      <x:c r="B9" s="37" t="str">
        <x:v>인게임·게임플레이</x:v>
      </x:c>
      <x:c r="C9" s="37" t="str">
        <x:v>페이즈 규칙</x:v>
      </x:c>
      <x:c r="D9" s="37" t="str">
        <x:v>밤 페이즈</x:v>
      </x:c>
      <x:c r="E9" s="37" t="str">
        <x:v>밤 무언 관찰 시간</x:v>
      </x:c>
      <x:c r="F9" s="37" t="str">
        <x:v>게임 규칙, 운영 요구사항과 대상 플랫폼 제약을 충족하도록 밤 무언 관찰 시간 기능을 구현하고 검증한다.</x:v>
      </x:c>
      <x:c r="G9" s="37" t="str">
        <x:v>기본 25초의 관찰 시간 동안 다른 플레이어의 등 메모만 확인할 수 있으며, 투표 시작 전에는 선택을 확정할 수 없다.</x:v>
      </x:c>
      <x:c r="H9" s="37" t="str">
        <x:v>구현, 코드 리뷰, 사양 갱신, 대상 QA 케이스 실행, 로그·텔레메트리 확인과 관련 플랫폼 검증을 완료하고 미해결 P0·P1 결함이 없다.</x:v>
      </x:c>
      <x:c r="I9" s="37" t="str">
        <x:v>MVP</x:v>
      </x:c>
      <x:c r="J9" s="37" t="str">
        <x:v>P0</x:v>
      </x:c>
      <x:c r="K9" s="37" t="str">
        <x:v>필수</x:v>
      </x:c>
      <x:c r="L9" s="37" t="str">
        <x:v>핵심 규칙</x:v>
      </x:c>
      <x:c r="M9" s="37" t="str">
        <x:v>MVP</x:v>
      </x:c>
      <x:c r="N9" s="37" t="str">
        <x:v>게임플레이 엔지니어링</x:v>
      </x:c>
      <x:c r="O9" s="37" t="str">
        <x:v>미정</x:v>
      </x:c>
      <x:c r="P9" s="37" t="str">
        <x:v>미정</x:v>
      </x:c>
      <x:c r="Q9" s="37" t="str">
        <x:v>전체</x:v>
      </x:c>
      <x:c r="R9" s="37" t="str">
        <x:v>서버 권한</x:v>
      </x:c>
      <x:c r="S9" s="37" t="str">
        <x:v>세션</x:v>
      </x:c>
      <x:c r="T9" s="37" t="str">
        <x:v>M</x:v>
      </x:c>
      <x:c r="U9" s="37" t="str">
        <x:v>미착수</x:v>
      </x:c>
      <x:c r="V9" s="42" t="n">
        <x:f>IF(U9="완료",1,IF(U9="QA 진행 중",0.8,IF(U9="코드 리뷰",0.65,IF(U9="구현 중",0.4,IF(U9="사양 확인 중",0.1,IF(U9="차단",0.4,0))))))</x:f>
        <x:v>0</x:v>
      </x:c>
      <x:c r="W9" s="37" t="str">
        <x:v>미정</x:v>
      </x:c>
      <x:c r="X9" s="40"/>
      <x:c r="Y9" s="37" t="str">
        <x:v>IGM-006,AUD-006,UIX-018</x:v>
      </x:c>
      <x:c r="Z9" s="37" t="str">
        <x:v>중간</x:v>
      </x:c>
      <x:c r="AA9" s="37" t="str">
        <x:v>통합</x:v>
      </x:c>
      <x:c r="AB9" s="37" t="str">
        <x:v>TC-IGM-008-01, TC-IGM-008-02</x:v>
      </x:c>
      <x:c r="AC9" s="37"/>
      <x:c r="AD9" s="37" t="str">
        <x:v>게임 기획서</x:v>
      </x:c>
      <x:c r="AE9" s="37"/>
      <x:c r="AF9" s="40" t="str">
        <x:v>2026-07-10</x:v>
      </x:c>
      <x:c r="AG9" s="37"/>
      <x:c r="AH9" s="49"/>
      <x:c r="AI9" s="49"/>
      <x:c r="AJ9" s="48" t="str">
        <x:v>착수 전</x:v>
      </x:c>
    </x:row>
    <x:row r="10" ht="42" customHeight="1">
      <x:c r="A10" s="37" t="str">
        <x:v>IGM-009</x:v>
      </x:c>
      <x:c r="B10" s="37" t="str">
        <x:v>인게임·게임플레이</x:v>
      </x:c>
      <x:c r="C10" s="37" t="str">
        <x:v>메모 시스템</x:v>
      </x:c>
      <x:c r="D10" s="37" t="str">
        <x:v>인벤토리</x:v>
      </x:c>
      <x:c r="E10" s="37" t="str">
        <x:v>메모 보유 수량·상한 서버 관리</x:v>
      </x:c>
      <x:c r="F10" s="37" t="str">
        <x:v>게임 규칙, 운영 요구사항과 대상 플랫폼 제약을 충족하도록 메모 보유 수량·상한 서버 관리 기능을 구현하고 검증한다.</x:v>
      </x:c>
      <x:c r="G10" s="37" t="str">
        <x:v>서버가 플레이어별 메모 보유 수량을 관리하고 기본 상한 3장을 초과하는 지급·소비·재접속 복원 과정에서 불일치가 발생하지 않는다.</x:v>
      </x:c>
      <x:c r="H10" s="37" t="str">
        <x:v>구현, 코드 리뷰, 사양 갱신, 대상 QA 케이스 실행, 로그·텔레메트리 확인과 관련 플랫폼 검증을 완료하고 미해결 P0·P1 결함이 없다.</x:v>
      </x:c>
      <x:c r="I10" s="37" t="str">
        <x:v>MVP</x:v>
      </x:c>
      <x:c r="J10" s="37" t="str">
        <x:v>P0</x:v>
      </x:c>
      <x:c r="K10" s="37" t="str">
        <x:v>필수</x:v>
      </x:c>
      <x:c r="L10" s="37" t="str">
        <x:v>메모</x:v>
      </x:c>
      <x:c r="M10" s="37" t="str">
        <x:v>MVP</x:v>
      </x:c>
      <x:c r="N10" s="37" t="str">
        <x:v>게임플레이 엔지니어링</x:v>
      </x:c>
      <x:c r="O10" s="37" t="str">
        <x:v>미정</x:v>
      </x:c>
      <x:c r="P10" s="37" t="str">
        <x:v>미정</x:v>
      </x:c>
      <x:c r="Q10" s="37" t="str">
        <x:v>전체</x:v>
      </x:c>
      <x:c r="R10" s="37" t="str">
        <x:v>서버 권한</x:v>
      </x:c>
      <x:c r="S10" s="37" t="str">
        <x:v>세션</x:v>
      </x:c>
      <x:c r="T10" s="37" t="str">
        <x:v>M</x:v>
      </x:c>
      <x:c r="U10" s="37" t="str">
        <x:v>미착수</x:v>
      </x:c>
      <x:c r="V10" s="42" t="n">
        <x:f>IF(U10="완료",1,IF(U10="QA 진행 중",0.8,IF(U10="코드 리뷰",0.65,IF(U10="구현 중",0.4,IF(U10="사양 확인 중",0.1,IF(U10="차단",0.4,0))))))</x:f>
        <x:v>0</x:v>
      </x:c>
      <x:c r="W10" s="37" t="str">
        <x:v>미정</x:v>
      </x:c>
      <x:c r="X10" s="40"/>
      <x:c r="Y10" s="37" t="str">
        <x:v>IGM-001</x:v>
      </x:c>
      <x:c r="Z10" s="37" t="str">
        <x:v>중간</x:v>
      </x:c>
      <x:c r="AA10" s="37" t="str">
        <x:v>경계값</x:v>
      </x:c>
      <x:c r="AB10" s="37" t="str">
        <x:v>TC-IGM-009-01, TC-IGM-009-02</x:v>
      </x:c>
      <x:c r="AC10" s="37"/>
      <x:c r="AD10" s="37" t="str">
        <x:v>게임 기획서</x:v>
      </x:c>
      <x:c r="AE10" s="37"/>
      <x:c r="AF10" s="40" t="str">
        <x:v>2026-07-10</x:v>
      </x:c>
      <x:c r="AG10" s="37"/>
      <x:c r="AH10" s="49"/>
      <x:c r="AI10" s="49"/>
      <x:c r="AJ10" s="48" t="str">
        <x:v>착수 전</x:v>
      </x:c>
    </x:row>
    <x:row r="11" ht="42" customHeight="1">
      <x:c r="A11" s="37" t="str">
        <x:v>IGM-010</x:v>
      </x:c>
      <x:c r="B11" s="37" t="str">
        <x:v>인게임·게임플레이</x:v>
      </x:c>
      <x:c r="C11" s="37" t="str">
        <x:v>메모 시스템</x:v>
      </x:c>
      <x:c r="D11" s="37" t="str">
        <x:v>획득</x:v>
      </x:c>
      <x:c r="E11" s="37" t="str">
        <x:v>미니게임 성공 메모 보상</x:v>
      </x:c>
      <x:c r="F11" s="37" t="str">
        <x:v>게임 규칙, 운영 요구사항과 대상 플랫폼 제약을 충족하도록 미니게임 성공 메모 보상 기능을 구현하고 검증한다.</x:v>
      </x:c>
      <x:c r="G11" s="37" t="str">
        <x:v>유효한 미니게임 완료 이벤트 1회당 메모 1장을 지급하고 재전송, 다중 입력, 재접속에 따른 중복 지급을 방지한다.</x:v>
      </x:c>
      <x:c r="H11" s="37" t="str">
        <x:v>구현, 코드 리뷰, 사양 갱신, 대상 QA 케이스 실행, 로그·텔레메트리 확인과 관련 플랫폼 검증을 완료하고 미해결 P0·P1 결함이 없다.</x:v>
      </x:c>
      <x:c r="I11" s="37" t="str">
        <x:v>MVP</x:v>
      </x:c>
      <x:c r="J11" s="37" t="str">
        <x:v>P0</x:v>
      </x:c>
      <x:c r="K11" s="37" t="str">
        <x:v>필수</x:v>
      </x:c>
      <x:c r="L11" s="37" t="str">
        <x:v>메모</x:v>
      </x:c>
      <x:c r="M11" s="37" t="str">
        <x:v>MVP</x:v>
      </x:c>
      <x:c r="N11" s="37" t="str">
        <x:v>게임플레이 엔지니어링</x:v>
      </x:c>
      <x:c r="O11" s="37" t="str">
        <x:v>미정</x:v>
      </x:c>
      <x:c r="P11" s="37" t="str">
        <x:v>미정</x:v>
      </x:c>
      <x:c r="Q11" s="37" t="str">
        <x:v>전체</x:v>
      </x:c>
      <x:c r="R11" s="37" t="str">
        <x:v>서버 권한</x:v>
      </x:c>
      <x:c r="S11" s="37" t="str">
        <x:v>세션</x:v>
      </x:c>
      <x:c r="T11" s="37" t="str">
        <x:v>M</x:v>
      </x:c>
      <x:c r="U11" s="37" t="str">
        <x:v>미착수</x:v>
      </x:c>
      <x:c r="V11" s="42" t="n">
        <x:f>IF(U11="완료",1,IF(U11="QA 진행 중",0.8,IF(U11="코드 리뷰",0.65,IF(U11="구현 중",0.4,IF(U11="사양 확인 중",0.1,IF(U11="차단",0.4,0))))))</x:f>
        <x:v>0</x:v>
      </x:c>
      <x:c r="W11" s="37" t="str">
        <x:v>미정</x:v>
      </x:c>
      <x:c r="X11" s="40"/>
      <x:c r="Y11" s="37" t="str">
        <x:v>IGM-009,CNT-020,NET-015</x:v>
      </x:c>
      <x:c r="Z11" s="37" t="str">
        <x:v>중간</x:v>
      </x:c>
      <x:c r="AA11" s="37" t="str">
        <x:v>보안</x:v>
      </x:c>
      <x:c r="AB11" s="37" t="str">
        <x:v>TC-IGM-010-01, TC-IGM-010-02</x:v>
      </x:c>
      <x:c r="AC11" s="37"/>
      <x:c r="AD11" s="37" t="str">
        <x:v>게임 기획서</x:v>
      </x:c>
      <x:c r="AE11" s="37"/>
      <x:c r="AF11" s="40" t="str">
        <x:v>2026-07-10</x:v>
      </x:c>
      <x:c r="AG11" s="37"/>
      <x:c r="AH11" s="49"/>
      <x:c r="AI11" s="49"/>
      <x:c r="AJ11" s="48" t="str">
        <x:v>착수 전</x:v>
      </x:c>
    </x:row>
    <x:row r="12" ht="42" customHeight="1">
      <x:c r="A12" s="37" t="str">
        <x:v>IGM-011</x:v>
      </x:c>
      <x:c r="B12" s="37" t="str">
        <x:v>인게임·게임플레이</x:v>
      </x:c>
      <x:c r="C12" s="37" t="str">
        <x:v>메모 시스템</x:v>
      </x:c>
      <x:c r="D12" s="37" t="str">
        <x:v>획득</x:v>
      </x:c>
      <x:c r="E12" s="37" t="str">
        <x:v>마피아 아침 무료 메모</x:v>
      </x:c>
      <x:c r="F12" s="37" t="str">
        <x:v>게임 규칙, 운영 요구사항과 대상 플랫폼 제약을 충족하도록 마피아 아침 무료 메모 기능을 구현하고 검증한다.</x:v>
      </x:c>
      <x:c r="G12" s="37" t="str">
        <x:v>각 낮 시작 시 생존 중인 마피아에게 기본 메모 1장을 한 번만 지급하며, 보유 상한 도달 시 처리 방식이 설정 사양과 일치한다.</x:v>
      </x:c>
      <x:c r="H12" s="37" t="str">
        <x:v>구현, 코드 리뷰, 사양 갱신, 대상 QA 케이스 실행, 로그·텔레메트리 확인과 관련 플랫폼 검증을 완료하고 미해결 P0·P1 결함이 없다.</x:v>
      </x:c>
      <x:c r="I12" s="37" t="str">
        <x:v>MVP</x:v>
      </x:c>
      <x:c r="J12" s="37" t="str">
        <x:v>P0</x:v>
      </x:c>
      <x:c r="K12" s="37" t="str">
        <x:v>필수</x:v>
      </x:c>
      <x:c r="L12" s="37" t="str">
        <x:v>메모</x:v>
      </x:c>
      <x:c r="M12" s="37" t="str">
        <x:v>MVP</x:v>
      </x:c>
      <x:c r="N12" s="37" t="str">
        <x:v>게임플레이 엔지니어링</x:v>
      </x:c>
      <x:c r="O12" s="37" t="str">
        <x:v>미정</x:v>
      </x:c>
      <x:c r="P12" s="37" t="str">
        <x:v>미정</x:v>
      </x:c>
      <x:c r="Q12" s="37" t="str">
        <x:v>전체</x:v>
      </x:c>
      <x:c r="R12" s="37" t="str">
        <x:v>서버 권한</x:v>
      </x:c>
      <x:c r="S12" s="37" t="str">
        <x:v>세션</x:v>
      </x:c>
      <x:c r="T12" s="37" t="str">
        <x:v>S</x:v>
      </x:c>
      <x:c r="U12" s="37" t="str">
        <x:v>미착수</x:v>
      </x:c>
      <x:c r="V12" s="42" t="n">
        <x:f>IF(U12="완료",1,IF(U12="QA 진행 중",0.8,IF(U12="코드 리뷰",0.65,IF(U12="구현 중",0.4,IF(U12="사양 확인 중",0.1,IF(U12="차단",0.4,0))))))</x:f>
        <x:v>0</x:v>
      </x:c>
      <x:c r="W12" s="37" t="str">
        <x:v>미정</x:v>
      </x:c>
      <x:c r="X12" s="40"/>
      <x:c r="Y12" s="37" t="str">
        <x:v>IGM-009,IGM-004</x:v>
      </x:c>
      <x:c r="Z12" s="37" t="str">
        <x:v>중간</x:v>
      </x:c>
      <x:c r="AA12" s="37" t="str">
        <x:v>경계값</x:v>
      </x:c>
      <x:c r="AB12" s="37" t="str">
        <x:v>TC-IGM-011-01, TC-IGM-011-02</x:v>
      </x:c>
      <x:c r="AC12" s="37"/>
      <x:c r="AD12" s="37" t="str">
        <x:v>게임 기획서</x:v>
      </x:c>
      <x:c r="AE12" s="37"/>
      <x:c r="AF12" s="40" t="str">
        <x:v>2026-07-10</x:v>
      </x:c>
      <x:c r="AG12" s="37"/>
      <x:c r="AH12" s="49"/>
      <x:c r="AI12" s="49"/>
      <x:c r="AJ12" s="48" t="str">
        <x:v>착수 전</x:v>
      </x:c>
    </x:row>
    <x:row r="13" ht="42" customHeight="1">
      <x:c r="A13" s="37" t="str">
        <x:v>IGM-012</x:v>
      </x:c>
      <x:c r="B13" s="37" t="str">
        <x:v>인게임·게임플레이</x:v>
      </x:c>
      <x:c r="C13" s="37" t="str">
        <x:v>메모 시스템</x:v>
      </x:c>
      <x:c r="D13" s="37" t="str">
        <x:v>제작</x:v>
      </x:c>
      <x:c r="E13" s="37" t="str">
        <x:v>프리셋 문구 기반 메모 작성</x:v>
      </x:c>
      <x:c r="F13" s="37" t="str">
        <x:v>게임 규칙, 운영 요구사항과 대상 플랫폼 제약을 충족하도록 프리셋 문구 기반 메모 작성 기능을 구현하고 검증한다.</x:v>
      </x:c>
      <x:c r="G13" s="37" t="str">
        <x:v>MVP에서는 승인된 프리셋만 선택할 수 있고 문구 ID, 현지화 키, 선택 색상을 서버로 전송한다. 자유 입력 기능은 노출하지 않는다.</x:v>
      </x:c>
      <x:c r="H13" s="37" t="str">
        <x:v>구현, 코드 리뷰, 사양 갱신, 대상 QA 케이스 실행, 로그·텔레메트리 확인과 관련 플랫폼 검증을 완료하고 미해결 P0·P1 결함이 없다.</x:v>
      </x:c>
      <x:c r="I13" s="37" t="str">
        <x:v>MVP</x:v>
      </x:c>
      <x:c r="J13" s="37" t="str">
        <x:v>P0</x:v>
      </x:c>
      <x:c r="K13" s="37" t="str">
        <x:v>필수</x:v>
      </x:c>
      <x:c r="L13" s="37" t="str">
        <x:v>메모</x:v>
      </x:c>
      <x:c r="M13" s="37" t="str">
        <x:v>MVP</x:v>
      </x:c>
      <x:c r="N13" s="37" t="str">
        <x:v>게임플레이 엔지니어링</x:v>
      </x:c>
      <x:c r="O13" s="37" t="str">
        <x:v>미정</x:v>
      </x:c>
      <x:c r="P13" s="37" t="str">
        <x:v>미정</x:v>
      </x:c>
      <x:c r="Q13" s="37" t="str">
        <x:v>전체</x:v>
      </x:c>
      <x:c r="R13" s="37" t="str">
        <x:v>클라이언트 예측·서버 검증</x:v>
      </x:c>
      <x:c r="S13" s="37" t="str">
        <x:v>세션</x:v>
      </x:c>
      <x:c r="T13" s="37" t="str">
        <x:v>M</x:v>
      </x:c>
      <x:c r="U13" s="37" t="str">
        <x:v>미착수</x:v>
      </x:c>
      <x:c r="V13" s="42" t="n">
        <x:f>IF(U13="완료",1,IF(U13="QA 진행 중",0.8,IF(U13="코드 리뷰",0.65,IF(U13="구현 중",0.4,IF(U13="사양 확인 중",0.1,IF(U13="차단",0.4,0))))))</x:f>
        <x:v>0</x:v>
      </x:c>
      <x:c r="W13" s="37" t="str">
        <x:v>미정</x:v>
      </x:c>
      <x:c r="X13" s="40"/>
      <x:c r="Y13" s="37" t="str">
        <x:v>IGM-009,UIX-012</x:v>
      </x:c>
      <x:c r="Z13" s="37" t="str">
        <x:v>중간</x:v>
      </x:c>
      <x:c r="AA13" s="37" t="str">
        <x:v>기능</x:v>
      </x:c>
      <x:c r="AB13" s="37" t="str">
        <x:v>TC-IGM-012-01, TC-IGM-012-02</x:v>
      </x:c>
      <x:c r="AC13" s="37"/>
      <x:c r="AD13" s="37" t="str">
        <x:v>게임 기획서</x:v>
      </x:c>
      <x:c r="AE13" s="37"/>
      <x:c r="AF13" s="40" t="str">
        <x:v>2026-07-10</x:v>
      </x:c>
      <x:c r="AG13" s="37"/>
      <x:c r="AH13" s="49"/>
      <x:c r="AI13" s="49"/>
      <x:c r="AJ13" s="48" t="str">
        <x:v>착수 전</x:v>
      </x:c>
    </x:row>
    <x:row r="14" ht="42" customHeight="1">
      <x:c r="A14" s="37" t="str">
        <x:v>IGM-013</x:v>
      </x:c>
      <x:c r="B14" s="37" t="str">
        <x:v>인게임·게임플레이</x:v>
      </x:c>
      <x:c r="C14" s="37" t="str">
        <x:v>메모 시스템</x:v>
      </x:c>
      <x:c r="D14" s="37" t="str">
        <x:v>색상 규칙</x:v>
      </x:c>
      <x:c r="E14" s="37" t="str">
        <x:v>시민 메모 본인 색상 고정</x:v>
      </x:c>
      <x:c r="F14" s="37" t="str">
        <x:v>게임 규칙, 운영 요구사항과 대상 플랫폼 제약을 충족하도록 시민 메모 본인 색상 고정 기능을 구현하고 검증한다.</x:v>
      </x:c>
      <x:c r="G14" s="37" t="str">
        <x:v>시민의 메모 작성 요청은 클라이언트 지정값과 무관하게 서버가 본인의 색상 ID로 강제하며, 다른 색상 요청은 감사 로그에 기록한다.</x:v>
      </x:c>
      <x:c r="H14" s="37" t="str">
        <x:v>구현, 코드 리뷰, 사양 갱신, 대상 QA 케이스 실행, 로그·텔레메트리 확인과 관련 플랫폼 검증을 완료하고 미해결 P0·P1 결함이 없다.</x:v>
      </x:c>
      <x:c r="I14" s="37" t="str">
        <x:v>MVP</x:v>
      </x:c>
      <x:c r="J14" s="37" t="str">
        <x:v>P0</x:v>
      </x:c>
      <x:c r="K14" s="37" t="str">
        <x:v>필수</x:v>
      </x:c>
      <x:c r="L14" s="37" t="str">
        <x:v>정보 비공개</x:v>
      </x:c>
      <x:c r="M14" s="37" t="str">
        <x:v>MVP</x:v>
      </x:c>
      <x:c r="N14" s="37" t="str">
        <x:v>게임플레이 엔지니어링</x:v>
      </x:c>
      <x:c r="O14" s="37" t="str">
        <x:v>미정</x:v>
      </x:c>
      <x:c r="P14" s="37" t="str">
        <x:v>미정</x:v>
      </x:c>
      <x:c r="Q14" s="37" t="str">
        <x:v>전체</x:v>
      </x:c>
      <x:c r="R14" s="37" t="str">
        <x:v>서버 권한</x:v>
      </x:c>
      <x:c r="S14" s="37" t="str">
        <x:v>세션</x:v>
      </x:c>
      <x:c r="T14" s="37" t="str">
        <x:v>S</x:v>
      </x:c>
      <x:c r="U14" s="37" t="str">
        <x:v>미착수</x:v>
      </x:c>
      <x:c r="V14" s="42" t="n">
        <x:f>IF(U14="완료",1,IF(U14="QA 진행 중",0.8,IF(U14="코드 리뷰",0.65,IF(U14="구현 중",0.4,IF(U14="사양 확인 중",0.1,IF(U14="차단",0.4,0))))))</x:f>
        <x:v>0</x:v>
      </x:c>
      <x:c r="W14" s="37" t="str">
        <x:v>미정</x:v>
      </x:c>
      <x:c r="X14" s="40"/>
      <x:c r="Y14" s="37" t="str">
        <x:v>IGM-012,IGM-003</x:v>
      </x:c>
      <x:c r="Z14" s="37" t="str">
        <x:v>중간</x:v>
      </x:c>
      <x:c r="AA14" s="37" t="str">
        <x:v>보안</x:v>
      </x:c>
      <x:c r="AB14" s="37" t="str">
        <x:v>TC-IGM-013-01, TC-IGM-013-02</x:v>
      </x:c>
      <x:c r="AC14" s="37"/>
      <x:c r="AD14" s="37" t="str">
        <x:v>게임 기획서</x:v>
      </x:c>
      <x:c r="AE14" s="37"/>
      <x:c r="AF14" s="40" t="str">
        <x:v>2026-07-10</x:v>
      </x:c>
      <x:c r="AG14" s="37"/>
      <x:c r="AH14" s="49"/>
      <x:c r="AI14" s="49"/>
      <x:c r="AJ14" s="48" t="str">
        <x:v>착수 전</x:v>
      </x:c>
    </x:row>
    <x:row r="15" ht="42" customHeight="1">
      <x:c r="A15" s="37" t="str">
        <x:v>IGM-014</x:v>
      </x:c>
      <x:c r="B15" s="37" t="str">
        <x:v>인게임·게임플레이</x:v>
      </x:c>
      <x:c r="C15" s="37" t="str">
        <x:v>메모 시스템</x:v>
      </x:c>
      <x:c r="D15" s="37" t="str">
        <x:v>색상 위조</x:v>
      </x:c>
      <x:c r="E15" s="37" t="str">
        <x:v>마피아 색상 위조</x:v>
      </x:c>
      <x:c r="F15" s="37" t="str">
        <x:v>게임 규칙, 운영 요구사항과 대상 플랫폼 제약을 충족하도록 마피아 색상 위조 기능을 구현하고 검증한다.</x:v>
      </x:c>
      <x:c r="G15" s="37" t="str">
        <x:v>마피아는 생존 플레이어의 색상 중 하나를 선택해 위조 메모를 작성할 수 있다. 공개 데이터에는 실제 작성자와 위조 여부를 포함하지 않는다.</x:v>
      </x:c>
      <x:c r="H15" s="37" t="str">
        <x:v>구현, 코드 리뷰, 사양 갱신, 대상 QA 케이스 실행, 로그·텔레메트리 확인과 관련 플랫폼 검증을 완료하고 미해결 P0·P1 결함이 없다.</x:v>
      </x:c>
      <x:c r="I15" s="37" t="str">
        <x:v>MVP</x:v>
      </x:c>
      <x:c r="J15" s="37" t="str">
        <x:v>P0</x:v>
      </x:c>
      <x:c r="K15" s="37" t="str">
        <x:v>필수</x:v>
      </x:c>
      <x:c r="L15" s="37" t="str">
        <x:v>핵심 규칙</x:v>
      </x:c>
      <x:c r="M15" s="37" t="str">
        <x:v>MVP</x:v>
      </x:c>
      <x:c r="N15" s="37" t="str">
        <x:v>게임플레이 엔지니어링</x:v>
      </x:c>
      <x:c r="O15" s="37" t="str">
        <x:v>미정</x:v>
      </x:c>
      <x:c r="P15" s="37" t="str">
        <x:v>미정</x:v>
      </x:c>
      <x:c r="Q15" s="37" t="str">
        <x:v>전체</x:v>
      </x:c>
      <x:c r="R15" s="37" t="str">
        <x:v>서버 권한</x:v>
      </x:c>
      <x:c r="S15" s="37" t="str">
        <x:v>세션</x:v>
      </x:c>
      <x:c r="T15" s="37" t="str">
        <x:v>L</x:v>
      </x:c>
      <x:c r="U15" s="37" t="str">
        <x:v>미착수</x:v>
      </x:c>
      <x:c r="V15" s="42" t="n">
        <x:f>IF(U15="완료",1,IF(U15="QA 진행 중",0.8,IF(U15="코드 리뷰",0.65,IF(U15="구현 중",0.4,IF(U15="사양 확인 중",0.1,IF(U15="차단",0.4,0))))))</x:f>
        <x:v>0</x:v>
      </x:c>
      <x:c r="W15" s="37" t="str">
        <x:v>미정</x:v>
      </x:c>
      <x:c r="X15" s="40"/>
      <x:c r="Y15" s="37" t="str">
        <x:v>IGM-012,IGM-003</x:v>
      </x:c>
      <x:c r="Z15" s="37" t="str">
        <x:v>중간</x:v>
      </x:c>
      <x:c r="AA15" s="37" t="str">
        <x:v>보안</x:v>
      </x:c>
      <x:c r="AB15" s="37" t="str">
        <x:v>TC-IGM-014-01, TC-IGM-014-02</x:v>
      </x:c>
      <x:c r="AC15" s="37"/>
      <x:c r="AD15" s="37" t="str">
        <x:v>게임 기획서</x:v>
      </x:c>
      <x:c r="AE15" s="37"/>
      <x:c r="AF15" s="40" t="str">
        <x:v>2026-07-10</x:v>
      </x:c>
      <x:c r="AG15" s="37"/>
      <x:c r="AH15" s="49"/>
      <x:c r="AI15" s="49"/>
      <x:c r="AJ15" s="48" t="str">
        <x:v>착수 전</x:v>
      </x:c>
    </x:row>
    <x:row r="16" ht="42" customHeight="1">
      <x:c r="A16" s="37" t="str">
        <x:v>IGM-015</x:v>
      </x:c>
      <x:c r="B16" s="37" t="str">
        <x:v>인게임·게임플레이</x:v>
      </x:c>
      <x:c r="C16" s="37" t="str">
        <x:v>메모 시스템</x:v>
      </x:c>
      <x:c r="D16" s="37" t="str">
        <x:v>색상 위조</x:v>
      </x:c>
      <x:c r="E16" s="37" t="str">
        <x:v>색상 위조 일일 횟수 제한</x:v>
      </x:c>
      <x:c r="F16" s="37" t="str">
        <x:v>게임 규칙, 운영 요구사항과 대상 플랫폼 제약을 충족하도록 색상 위조 일일 횟수 제한 기능을 구현하고 검증한다.</x:v>
      </x:c>
      <x:c r="G16" s="37" t="str">
        <x:v>서버가 기본 하루 1회의 위조 제한을 검증하고 낮 시작 시에만 횟수를 초기화한다. 연속 입력, 지연, 재접속으로 횟수가 증가하지 않는다.</x:v>
      </x:c>
      <x:c r="H16" s="37" t="str">
        <x:v>구현, 코드 리뷰, 사양 갱신, 대상 QA 케이스 실행, 로그·텔레메트리 확인과 관련 플랫폼 검증을 완료하고 미해결 P0·P1 결함이 없다.</x:v>
      </x:c>
      <x:c r="I16" s="37" t="str">
        <x:v>MVP</x:v>
      </x:c>
      <x:c r="J16" s="37" t="str">
        <x:v>P0</x:v>
      </x:c>
      <x:c r="K16" s="37" t="str">
        <x:v>필수</x:v>
      </x:c>
      <x:c r="L16" s="37" t="str">
        <x:v>핵심 규칙</x:v>
      </x:c>
      <x:c r="M16" s="37" t="str">
        <x:v>MVP</x:v>
      </x:c>
      <x:c r="N16" s="37" t="str">
        <x:v>게임플레이 엔지니어링</x:v>
      </x:c>
      <x:c r="O16" s="37" t="str">
        <x:v>미정</x:v>
      </x:c>
      <x:c r="P16" s="37" t="str">
        <x:v>미정</x:v>
      </x:c>
      <x:c r="Q16" s="37" t="str">
        <x:v>전체</x:v>
      </x:c>
      <x:c r="R16" s="37" t="str">
        <x:v>서버 권한</x:v>
      </x:c>
      <x:c r="S16" s="37" t="str">
        <x:v>세션</x:v>
      </x:c>
      <x:c r="T16" s="37" t="str">
        <x:v>M</x:v>
      </x:c>
      <x:c r="U16" s="37" t="str">
        <x:v>미착수</x:v>
      </x:c>
      <x:c r="V16" s="42" t="n">
        <x:f>IF(U16="완료",1,IF(U16="QA 진행 중",0.8,IF(U16="코드 리뷰",0.65,IF(U16="구현 중",0.4,IF(U16="사양 확인 중",0.1,IF(U16="차단",0.4,0))))))</x:f>
        <x:v>0</x:v>
      </x:c>
      <x:c r="W16" s="37" t="str">
        <x:v>미정</x:v>
      </x:c>
      <x:c r="X16" s="40"/>
      <x:c r="Y16" s="37" t="str">
        <x:v>IGM-014,IGM-004</x:v>
      </x:c>
      <x:c r="Z16" s="37" t="str">
        <x:v>중간</x:v>
      </x:c>
      <x:c r="AA16" s="37" t="str">
        <x:v>경계값</x:v>
      </x:c>
      <x:c r="AB16" s="37" t="str">
        <x:v>TC-IGM-015-01, TC-IGM-015-02</x:v>
      </x:c>
      <x:c r="AC16" s="37"/>
      <x:c r="AD16" s="37" t="str">
        <x:v>게임 기획서</x:v>
      </x:c>
      <x:c r="AE16" s="37"/>
      <x:c r="AF16" s="40" t="str">
        <x:v>2026-07-10</x:v>
      </x:c>
      <x:c r="AG16" s="37"/>
      <x:c r="AH16" s="49"/>
      <x:c r="AI16" s="49"/>
      <x:c r="AJ16" s="48" t="str">
        <x:v>착수 전</x:v>
      </x:c>
    </x:row>
    <x:row r="17" ht="42" customHeight="1">
      <x:c r="A17" s="37" t="str">
        <x:v>IGM-016</x:v>
      </x:c>
      <x:c r="B17" s="37" t="str">
        <x:v>인게임·게임플레이</x:v>
      </x:c>
      <x:c r="C17" s="37" t="str">
        <x:v>메모 시스템</x:v>
      </x:c>
      <x:c r="D17" s="37" t="str">
        <x:v>부착</x:v>
      </x:c>
      <x:c r="E17" s="37" t="str">
        <x:v>메모 부착 각도·거리·대상 검증</x:v>
      </x:c>
      <x:c r="F17" s="37" t="str">
        <x:v>게임 규칙, 운영 요구사항과 대상 플랫폼 제약을 충족하도록 메모 부착 각도·거리·대상 검증 기능을 구현하고 검증한다.</x:v>
      </x:c>
      <x:c r="G17" s="37" t="str">
        <x:v>생존 대상의 등 뒤, 허용 거리, 시야 조건을 모두 충족할 때만 부착을 시작하며 본인, 탈락자, 밤, 범위 밖 대상 요청은 거부한다.</x:v>
      </x:c>
      <x:c r="H17" s="37" t="str">
        <x:v>구현, 코드 리뷰, 사양 갱신, 대상 QA 케이스 실행, 로그·텔레메트리 확인과 관련 플랫폼 검증을 완료하고 미해결 P0·P1 결함이 없다.</x:v>
      </x:c>
      <x:c r="I17" s="37" t="str">
        <x:v>MVP</x:v>
      </x:c>
      <x:c r="J17" s="37" t="str">
        <x:v>P0</x:v>
      </x:c>
      <x:c r="K17" s="37" t="str">
        <x:v>필수</x:v>
      </x:c>
      <x:c r="L17" s="37" t="str">
        <x:v>메모</x:v>
      </x:c>
      <x:c r="M17" s="37" t="str">
        <x:v>MVP</x:v>
      </x:c>
      <x:c r="N17" s="37" t="str">
        <x:v>게임플레이 엔지니어링</x:v>
      </x:c>
      <x:c r="O17" s="37" t="str">
        <x:v>미정</x:v>
      </x:c>
      <x:c r="P17" s="37" t="str">
        <x:v>미정</x:v>
      </x:c>
      <x:c r="Q17" s="37" t="str">
        <x:v>전체</x:v>
      </x:c>
      <x:c r="R17" s="37" t="str">
        <x:v>클라이언트 예측·서버 검증</x:v>
      </x:c>
      <x:c r="S17" s="37" t="str">
        <x:v>세션</x:v>
      </x:c>
      <x:c r="T17" s="37" t="str">
        <x:v>L</x:v>
      </x:c>
      <x:c r="U17" s="37" t="str">
        <x:v>미착수</x:v>
      </x:c>
      <x:c r="V17" s="42" t="n">
        <x:f>IF(U17="완료",1,IF(U17="QA 진행 중",0.8,IF(U17="코드 리뷰",0.65,IF(U17="구현 중",0.4,IF(U17="사양 확인 중",0.1,IF(U17="차단",0.4,0))))))</x:f>
        <x:v>0</x:v>
      </x:c>
      <x:c r="W17" s="37" t="str">
        <x:v>미정</x:v>
      </x:c>
      <x:c r="X17" s="40"/>
      <x:c r="Y17" s="37" t="str">
        <x:v>IGM-009,NET-013</x:v>
      </x:c>
      <x:c r="Z17" s="37" t="str">
        <x:v>중간</x:v>
      </x:c>
      <x:c r="AA17" s="37" t="str">
        <x:v>보안</x:v>
      </x:c>
      <x:c r="AB17" s="37" t="str">
        <x:v>TC-IGM-016-01, TC-IGM-016-02</x:v>
      </x:c>
      <x:c r="AC17" s="37"/>
      <x:c r="AD17" s="37" t="str">
        <x:v>게임 기획서</x:v>
      </x:c>
      <x:c r="AE17" s="37"/>
      <x:c r="AF17" s="40" t="str">
        <x:v>2026-07-10</x:v>
      </x:c>
      <x:c r="AG17" s="37"/>
      <x:c r="AH17" s="49"/>
      <x:c r="AI17" s="49"/>
      <x:c r="AJ17" s="48" t="str">
        <x:v>착수 전</x:v>
      </x:c>
    </x:row>
    <x:row r="18" ht="42" customHeight="1">
      <x:c r="A18" s="37" t="str">
        <x:v>IGM-017</x:v>
      </x:c>
      <x:c r="B18" s="37" t="str">
        <x:v>인게임·게임플레이</x:v>
      </x:c>
      <x:c r="C18" s="37" t="str">
        <x:v>메모 시스템</x:v>
      </x:c>
      <x:c r="D18" s="37" t="str">
        <x:v>부착</x:v>
      </x:c>
      <x:c r="E18" s="37" t="str">
        <x:v>메모 부착 채널링·취소</x:v>
      </x:c>
      <x:c r="F18" s="37" t="str">
        <x:v>게임 규칙, 운영 요구사항과 대상 플랫폼 제약을 충족하도록 메모 부착 채널링·취소 기능을 구현하고 검증한다.</x:v>
      </x:c>
      <x:c r="G18" s="37" t="str">
        <x:v>기본 1.5초의 채널링 완료 후에만 부착을 확정하며 대상 또는 부착자의 이동, 상태 변경, 페이즈 종료 시 취소한다.</x:v>
      </x:c>
      <x:c r="H18" s="37" t="str">
        <x:v>구현, 코드 리뷰, 사양 갱신, 대상 QA 케이스 실행, 로그·텔레메트리 확인과 관련 플랫폼 검증을 완료하고 미해결 P0·P1 결함이 없다.</x:v>
      </x:c>
      <x:c r="I18" s="37" t="str">
        <x:v>MVP</x:v>
      </x:c>
      <x:c r="J18" s="37" t="str">
        <x:v>P0</x:v>
      </x:c>
      <x:c r="K18" s="37" t="str">
        <x:v>필수</x:v>
      </x:c>
      <x:c r="L18" s="37" t="str">
        <x:v>메모</x:v>
      </x:c>
      <x:c r="M18" s="37" t="str">
        <x:v>MVP</x:v>
      </x:c>
      <x:c r="N18" s="37" t="str">
        <x:v>게임플레이 엔지니어링</x:v>
      </x:c>
      <x:c r="O18" s="37" t="str">
        <x:v>미정</x:v>
      </x:c>
      <x:c r="P18" s="37" t="str">
        <x:v>미정</x:v>
      </x:c>
      <x:c r="Q18" s="37" t="str">
        <x:v>전체</x:v>
      </x:c>
      <x:c r="R18" s="37" t="str">
        <x:v>서버 권한</x:v>
      </x:c>
      <x:c r="S18" s="37" t="str">
        <x:v>세션</x:v>
      </x:c>
      <x:c r="T18" s="37" t="str">
        <x:v>M</x:v>
      </x:c>
      <x:c r="U18" s="37" t="str">
        <x:v>미착수</x:v>
      </x:c>
      <x:c r="V18" s="42" t="n">
        <x:f>IF(U18="완료",1,IF(U18="QA 진행 중",0.8,IF(U18="코드 리뷰",0.65,IF(U18="구현 중",0.4,IF(U18="사양 확인 중",0.1,IF(U18="차단",0.4,0))))))</x:f>
        <x:v>0</x:v>
      </x:c>
      <x:c r="W18" s="37" t="str">
        <x:v>미정</x:v>
      </x:c>
      <x:c r="X18" s="40"/>
      <x:c r="Y18" s="37" t="str">
        <x:v>IGM-016</x:v>
      </x:c>
      <x:c r="Z18" s="37" t="str">
        <x:v>중간</x:v>
      </x:c>
      <x:c r="AA18" s="37" t="str">
        <x:v>경계값</x:v>
      </x:c>
      <x:c r="AB18" s="37" t="str">
        <x:v>TC-IGM-017-01, TC-IGM-017-02</x:v>
      </x:c>
      <x:c r="AC18" s="37"/>
      <x:c r="AD18" s="37" t="str">
        <x:v>게임 기획서</x:v>
      </x:c>
      <x:c r="AE18" s="37"/>
      <x:c r="AF18" s="40" t="str">
        <x:v>2026-07-10</x:v>
      </x:c>
      <x:c r="AG18" s="37"/>
      <x:c r="AH18" s="49"/>
      <x:c r="AI18" s="49"/>
      <x:c r="AJ18" s="48" t="str">
        <x:v>착수 전</x:v>
      </x:c>
    </x:row>
    <x:row r="19" ht="42" customHeight="1">
      <x:c r="A19" s="37" t="str">
        <x:v>IGM-018</x:v>
      </x:c>
      <x:c r="B19" s="37" t="str">
        <x:v>인게임·게임플레이</x:v>
      </x:c>
      <x:c r="C19" s="37" t="str">
        <x:v>메모 시스템</x:v>
      </x:c>
      <x:c r="D19" s="37" t="str">
        <x:v>부착</x:v>
      </x:c>
      <x:c r="E19" s="37" t="str">
        <x:v>메모 부착 확정·소비 원자 처리</x:v>
      </x:c>
      <x:c r="F19" s="37" t="str">
        <x:v>게임 규칙, 운영 요구사항과 대상 플랫폼 제약을 충족하도록 메모 부착 확정·소비 원자 처리 기능을 구현하고 검증한다.</x:v>
      </x:c>
      <x:c r="G19" s="37" t="str">
        <x:v>서버에서 메모 소비, 부착 이력 추가, 표시 갱신을 단일 트랜잭션으로 처리하고 실패 시 모든 변경을 롤백한다.</x:v>
      </x:c>
      <x:c r="H19" s="37" t="str">
        <x:v>구현, 코드 리뷰, 사양 갱신, 대상 QA 케이스 실행, 로그·텔레메트리 확인과 관련 플랫폼 검증을 완료하고 미해결 P0·P1 결함이 없다.</x:v>
      </x:c>
      <x:c r="I19" s="37" t="str">
        <x:v>MVP</x:v>
      </x:c>
      <x:c r="J19" s="37" t="str">
        <x:v>P0</x:v>
      </x:c>
      <x:c r="K19" s="37" t="str">
        <x:v>필수</x:v>
      </x:c>
      <x:c r="L19" s="37" t="str">
        <x:v>데이터 무결성</x:v>
      </x:c>
      <x:c r="M19" s="37" t="str">
        <x:v>MVP</x:v>
      </x:c>
      <x:c r="N19" s="37" t="str">
        <x:v>게임플레이 엔지니어링</x:v>
      </x:c>
      <x:c r="O19" s="37" t="str">
        <x:v>미정</x:v>
      </x:c>
      <x:c r="P19" s="37" t="str">
        <x:v>미정</x:v>
      </x:c>
      <x:c r="Q19" s="37" t="str">
        <x:v>전체</x:v>
      </x:c>
      <x:c r="R19" s="37" t="str">
        <x:v>서버 권한</x:v>
      </x:c>
      <x:c r="S19" s="37" t="str">
        <x:v>세션</x:v>
      </x:c>
      <x:c r="T19" s="37" t="str">
        <x:v>L</x:v>
      </x:c>
      <x:c r="U19" s="37" t="str">
        <x:v>미착수</x:v>
      </x:c>
      <x:c r="V19" s="42" t="n">
        <x:f>IF(U19="완료",1,IF(U19="QA 진행 중",0.8,IF(U19="코드 리뷰",0.65,IF(U19="구현 중",0.4,IF(U19="사양 확인 중",0.1,IF(U19="차단",0.4,0))))))</x:f>
        <x:v>0</x:v>
      </x:c>
      <x:c r="W19" s="37" t="str">
        <x:v>미정</x:v>
      </x:c>
      <x:c r="X19" s="40"/>
      <x:c r="Y19" s="37" t="str">
        <x:v>IGM-017,NET-014</x:v>
      </x:c>
      <x:c r="Z19" s="37" t="str">
        <x:v>중간</x:v>
      </x:c>
      <x:c r="AA19" s="37" t="str">
        <x:v>통합</x:v>
      </x:c>
      <x:c r="AB19" s="37" t="str">
        <x:v>TC-IGM-018-01, TC-IGM-018-02</x:v>
      </x:c>
      <x:c r="AC19" s="37"/>
      <x:c r="AD19" s="37" t="str">
        <x:v>게임 기획서</x:v>
      </x:c>
      <x:c r="AE19" s="37"/>
      <x:c r="AF19" s="40" t="str">
        <x:v>2026-07-10</x:v>
      </x:c>
      <x:c r="AG19" s="37"/>
      <x:c r="AH19" s="49"/>
      <x:c r="AI19" s="49"/>
      <x:c r="AJ19" s="48" t="str">
        <x:v>착수 전</x:v>
      </x:c>
    </x:row>
    <x:row r="20" ht="42" customHeight="1">
      <x:c r="A20" s="37" t="str">
        <x:v>IGM-019</x:v>
      </x:c>
      <x:c r="B20" s="37" t="str">
        <x:v>인게임·게임플레이</x:v>
      </x:c>
      <x:c r="C20" s="37" t="str">
        <x:v>메모 시스템</x:v>
      </x:c>
      <x:c r="D20" s="37" t="str">
        <x:v>가시성</x:v>
      </x:c>
      <x:c r="E20" s="37" t="str">
        <x:v>본인 등 메모 완전 비공개</x:v>
      </x:c>
      <x:c r="F20" s="37" t="str">
        <x:v>게임 규칙, 운영 요구사항과 대상 플랫폼 제약을 충족하도록 본인 등 메모 완전 비공개 기능을 구현하고 검증한다.</x:v>
      </x:c>
      <x:c r="G20" s="37" t="str">
        <x:v>본인의 카메라, HUD, 공개 리플레이 스트림 및 클라이언트 공개 모델에서 자신의 등 메모 색상, 내용, 수량을 조회할 수 없다.</x:v>
      </x:c>
      <x:c r="H20" s="37" t="str">
        <x:v>구현, 코드 리뷰, 사양 갱신, 대상 QA 케이스 실행, 로그·텔레메트리 확인과 관련 플랫폼 검증을 완료하고 미해결 P0·P1 결함이 없다.</x:v>
      </x:c>
      <x:c r="I20" s="37" t="str">
        <x:v>MVP</x:v>
      </x:c>
      <x:c r="J20" s="37" t="str">
        <x:v>P0</x:v>
      </x:c>
      <x:c r="K20" s="37" t="str">
        <x:v>필수</x:v>
      </x:c>
      <x:c r="L20" s="37" t="str">
        <x:v>정보 비공개</x:v>
      </x:c>
      <x:c r="M20" s="37" t="str">
        <x:v>MVP</x:v>
      </x:c>
      <x:c r="N20" s="37" t="str">
        <x:v>게임플레이 엔지니어링</x:v>
      </x:c>
      <x:c r="O20" s="37" t="str">
        <x:v>미정</x:v>
      </x:c>
      <x:c r="P20" s="37" t="str">
        <x:v>미정</x:v>
      </x:c>
      <x:c r="Q20" s="37" t="str">
        <x:v>전체</x:v>
      </x:c>
      <x:c r="R20" s="37" t="str">
        <x:v>서버 권한</x:v>
      </x:c>
      <x:c r="S20" s="37" t="str">
        <x:v>세션</x:v>
      </x:c>
      <x:c r="T20" s="37" t="str">
        <x:v>L</x:v>
      </x:c>
      <x:c r="U20" s="37" t="str">
        <x:v>미착수</x:v>
      </x:c>
      <x:c r="V20" s="42" t="n">
        <x:f>IF(U20="완료",1,IF(U20="QA 진행 중",0.8,IF(U20="코드 리뷰",0.65,IF(U20="구현 중",0.4,IF(U20="사양 확인 중",0.1,IF(U20="차단",0.4,0))))))</x:f>
        <x:v>0</x:v>
      </x:c>
      <x:c r="W20" s="37" t="str">
        <x:v>미정</x:v>
      </x:c>
      <x:c r="X20" s="40"/>
      <x:c r="Y20" s="37" t="str">
        <x:v>IGM-018,NET-018</x:v>
      </x:c>
      <x:c r="Z20" s="37" t="str">
        <x:v>중간</x:v>
      </x:c>
      <x:c r="AA20" s="37" t="str">
        <x:v>보안</x:v>
      </x:c>
      <x:c r="AB20" s="37" t="str">
        <x:v>TC-IGM-019-01, TC-IGM-019-02</x:v>
      </x:c>
      <x:c r="AC20" s="37"/>
      <x:c r="AD20" s="37" t="str">
        <x:v>게임 기획서</x:v>
      </x:c>
      <x:c r="AE20" s="37"/>
      <x:c r="AF20" s="40" t="str">
        <x:v>2026-07-10</x:v>
      </x:c>
      <x:c r="AG20" s="37"/>
      <x:c r="AH20" s="49"/>
      <x:c r="AI20" s="49"/>
      <x:c r="AJ20" s="48" t="str">
        <x:v>착수 전</x:v>
      </x:c>
    </x:row>
    <x:row r="21" ht="42" customHeight="1">
      <x:c r="A21" s="37" t="str">
        <x:v>IGM-020</x:v>
      </x:c>
      <x:c r="B21" s="37" t="str">
        <x:v>인게임·게임플레이</x:v>
      </x:c>
      <x:c r="C21" s="37" t="str">
        <x:v>메모 시스템</x:v>
      </x:c>
      <x:c r="D21" s="37" t="str">
        <x:v>가시성</x:v>
      </x:c>
      <x:c r="E21" s="37" t="str">
        <x:v>타인 등 메모 거리별 표시</x:v>
      </x:c>
      <x:c r="F21" s="37" t="str">
        <x:v>게임 규칙, 운영 요구사항과 대상 플랫폼 제약을 충족하도록 타인 등 메모 거리별 표시 기능을 구현하고 검증한다.</x:v>
      </x:c>
      <x:c r="G21" s="37" t="str">
        <x:v>중거리에서는 색상, 근거리에서는 문구를 판독할 수 있고 차폐, LOD, 시야각, 커스터마이징 때문에 의도하지 않은 정보 누락이 발생하지 않는다.</x:v>
      </x:c>
      <x:c r="H21" s="37" t="str">
        <x:v>구현, 코드 리뷰, 사양 갱신, 대상 QA 케이스 실행, 로그·텔레메트리 확인과 관련 플랫폼 검증을 완료하고 미해결 P0·P1 결함이 없다.</x:v>
      </x:c>
      <x:c r="I21" s="37" t="str">
        <x:v>MVP</x:v>
      </x:c>
      <x:c r="J21" s="37" t="str">
        <x:v>P0</x:v>
      </x:c>
      <x:c r="K21" s="37" t="str">
        <x:v>필수</x:v>
      </x:c>
      <x:c r="L21" s="37" t="str">
        <x:v>판독성</x:v>
      </x:c>
      <x:c r="M21" s="37" t="str">
        <x:v>MVP</x:v>
      </x:c>
      <x:c r="N21" s="37" t="str">
        <x:v>게임플레이 엔지니어링</x:v>
      </x:c>
      <x:c r="O21" s="37" t="str">
        <x:v>미정</x:v>
      </x:c>
      <x:c r="P21" s="37" t="str">
        <x:v>미정</x:v>
      </x:c>
      <x:c r="Q21" s="37" t="str">
        <x:v>전체</x:v>
      </x:c>
      <x:c r="R21" s="37" t="str">
        <x:v>클라이언트 로컬</x:v>
      </x:c>
      <x:c r="S21" s="37" t="str">
        <x:v>세션</x:v>
      </x:c>
      <x:c r="T21" s="37" t="str">
        <x:v>L</x:v>
      </x:c>
      <x:c r="U21" s="37" t="str">
        <x:v>미착수</x:v>
      </x:c>
      <x:c r="V21" s="42" t="n">
        <x:f>IF(U21="완료",1,IF(U21="QA 진행 중",0.8,IF(U21="코드 리뷰",0.65,IF(U21="구현 중",0.4,IF(U21="사양 확인 중",0.1,IF(U21="차단",0.4,0))))))</x:f>
        <x:v>0</x:v>
      </x:c>
      <x:c r="W21" s="37" t="str">
        <x:v>미정</x:v>
      </x:c>
      <x:c r="X21" s="40"/>
      <x:c r="Y21" s="37" t="str">
        <x:v>IGM-018,CHR-012,UIX-014</x:v>
      </x:c>
      <x:c r="Z21" s="37" t="str">
        <x:v>중간</x:v>
      </x:c>
      <x:c r="AA21" s="37" t="str">
        <x:v>사용성</x:v>
      </x:c>
      <x:c r="AB21" s="37" t="str">
        <x:v>TC-IGM-020-01, TC-IGM-020-02</x:v>
      </x:c>
      <x:c r="AC21" s="37"/>
      <x:c r="AD21" s="37" t="str">
        <x:v>게임 기획서 §7 / 캐릭터 사양서 §7</x:v>
      </x:c>
      <x:c r="AE21" s="37"/>
      <x:c r="AF21" s="40" t="str">
        <x:v>2026-07-10</x:v>
      </x:c>
      <x:c r="AG21" s="37"/>
      <x:c r="AH21" s="49"/>
      <x:c r="AI21" s="49"/>
      <x:c r="AJ21" s="48" t="str">
        <x:v>착수 전</x:v>
      </x:c>
    </x:row>
    <x:row r="22" ht="42" customHeight="1">
      <x:c r="A22" s="37" t="str">
        <x:v>IGM-021</x:v>
      </x:c>
      <x:c r="B22" s="37" t="str">
        <x:v>인게임·게임플레이</x:v>
      </x:c>
      <x:c r="C22" s="37" t="str">
        <x:v>메모 시스템</x:v>
      </x:c>
      <x:c r="D22" s="37" t="str">
        <x:v>이력</x:v>
      </x:c>
      <x:c r="E22" s="37" t="str">
        <x:v>메모 부착 순서 결정론적 관리</x:v>
      </x:c>
      <x:c r="F22" s="37" t="str">
        <x:v>게임 규칙, 운영 요구사항과 대상 플랫폼 제약을 충족하도록 메모 부착 순서 결정론적 관리 기능을 구현하고 검증한다.</x:v>
      </x:c>
      <x:c r="G22" s="37" t="str">
        <x:v>같은 대상에 동시에 부착된 메모도 서버 순번으로 고유하게 정렬하며 오래된 메모는 왼쪽 위, 새 메모는 오른쪽 아래에 배치한다. 정확한 시각은 공개하지 않는다.</x:v>
      </x:c>
      <x:c r="H22" s="37" t="str">
        <x:v>구현, 코드 리뷰, 사양 갱신, 대상 QA 케이스 실행, 로그·텔레메트리 확인과 관련 플랫폼 검증을 완료하고 미해결 P0·P1 결함이 없다.</x:v>
      </x:c>
      <x:c r="I22" s="37" t="str">
        <x:v>MVP</x:v>
      </x:c>
      <x:c r="J22" s="37" t="str">
        <x:v>P0</x:v>
      </x:c>
      <x:c r="K22" s="37" t="str">
        <x:v>필수</x:v>
      </x:c>
      <x:c r="L22" s="37" t="str">
        <x:v>데이터 무결성</x:v>
      </x:c>
      <x:c r="M22" s="37" t="str">
        <x:v>MVP</x:v>
      </x:c>
      <x:c r="N22" s="37" t="str">
        <x:v>게임플레이 엔지니어링</x:v>
      </x:c>
      <x:c r="O22" s="37" t="str">
        <x:v>미정</x:v>
      </x:c>
      <x:c r="P22" s="37" t="str">
        <x:v>미정</x:v>
      </x:c>
      <x:c r="Q22" s="37" t="str">
        <x:v>전체</x:v>
      </x:c>
      <x:c r="R22" s="37" t="str">
        <x:v>서버 권한</x:v>
      </x:c>
      <x:c r="S22" s="37" t="str">
        <x:v>세션</x:v>
      </x:c>
      <x:c r="T22" s="37" t="str">
        <x:v>M</x:v>
      </x:c>
      <x:c r="U22" s="37" t="str">
        <x:v>미착수</x:v>
      </x:c>
      <x:c r="V22" s="42" t="n">
        <x:f>IF(U22="완료",1,IF(U22="QA 진행 중",0.8,IF(U22="코드 리뷰",0.65,IF(U22="구현 중",0.4,IF(U22="사양 확인 중",0.1,IF(U22="차단",0.4,0))))))</x:f>
        <x:v>0</x:v>
      </x:c>
      <x:c r="W22" s="37" t="str">
        <x:v>미정</x:v>
      </x:c>
      <x:c r="X22" s="40"/>
      <x:c r="Y22" s="37" t="str">
        <x:v>IGM-018,NET-014</x:v>
      </x:c>
      <x:c r="Z22" s="37" t="str">
        <x:v>중간</x:v>
      </x:c>
      <x:c r="AA22" s="37" t="str">
        <x:v>경계값</x:v>
      </x:c>
      <x:c r="AB22" s="37" t="str">
        <x:v>TC-IGM-021-01, TC-IGM-021-02</x:v>
      </x:c>
      <x:c r="AC22" s="37"/>
      <x:c r="AD22" s="37" t="str">
        <x:v>게임 기획서</x:v>
      </x:c>
      <x:c r="AE22" s="37"/>
      <x:c r="AF22" s="40" t="str">
        <x:v>2026-07-10</x:v>
      </x:c>
      <x:c r="AG22" s="37"/>
      <x:c r="AH22" s="49"/>
      <x:c r="AI22" s="49"/>
      <x:c r="AJ22" s="48" t="str">
        <x:v>착수 전</x:v>
      </x:c>
    </x:row>
    <x:row r="23" ht="42" customHeight="1">
      <x:c r="A23" s="37" t="str">
        <x:v>IGM-022</x:v>
      </x:c>
      <x:c r="B23" s="37" t="str">
        <x:v>인게임·게임플레이</x:v>
      </x:c>
      <x:c r="C23" s="37" t="str">
        <x:v>메모 시스템</x:v>
      </x:c>
      <x:c r="D23" s="37" t="str">
        <x:v>이력</x:v>
      </x:c>
      <x:c r="E23" s="37" t="str">
        <x:v>등 메모 최대 표시 수·초과 처리</x:v>
      </x:c>
      <x:c r="F23" s="37" t="str">
        <x:v>게임 규칙, 운영 요구사항과 대상 플랫폼 제약을 충족하도록 등 메모 최대 표시 수·초과 처리 기능을 구현하고 검증한다.</x:v>
      </x:c>
      <x:c r="G23" s="37" t="str">
        <x:v>기본 6장까지 판독 가능하게 표시하고 7장째부터는 설정된 거부 또는 보관 규칙으로 처리하며 모든 클라이언트의 결과가 일치한다.</x:v>
      </x:c>
      <x:c r="H23" s="37" t="str">
        <x:v>구현, 코드 리뷰, 사양 갱신, 대상 QA 케이스 실행, 로그·텔레메트리 확인과 관련 플랫폼 검증을 완료하고 미해결 P0·P1 결함이 없다.</x:v>
      </x:c>
      <x:c r="I23" s="37" t="str">
        <x:v>MVP</x:v>
      </x:c>
      <x:c r="J23" s="37" t="str">
        <x:v>P1</x:v>
      </x:c>
      <x:c r="K23" s="37" t="str">
        <x:v>필수</x:v>
      </x:c>
      <x:c r="L23" s="37" t="str">
        <x:v>판독성</x:v>
      </x:c>
      <x:c r="M23" s="37" t="str">
        <x:v>MVP</x:v>
      </x:c>
      <x:c r="N23" s="37" t="str">
        <x:v>게임플레이 엔지니어링</x:v>
      </x:c>
      <x:c r="O23" s="37" t="str">
        <x:v>미정</x:v>
      </x:c>
      <x:c r="P23" s="37" t="str">
        <x:v>미정</x:v>
      </x:c>
      <x:c r="Q23" s="37" t="str">
        <x:v>전체</x:v>
      </x:c>
      <x:c r="R23" s="37" t="str">
        <x:v>서버 권한</x:v>
      </x:c>
      <x:c r="S23" s="37" t="str">
        <x:v>세션</x:v>
      </x:c>
      <x:c r="T23" s="37" t="str">
        <x:v>M</x:v>
      </x:c>
      <x:c r="U23" s="37" t="str">
        <x:v>미착수</x:v>
      </x:c>
      <x:c r="V23" s="42" t="n">
        <x:f>IF(U23="완료",1,IF(U23="QA 진행 중",0.8,IF(U23="코드 리뷰",0.65,IF(U23="구현 중",0.4,IF(U23="사양 확인 중",0.1,IF(U23="차단",0.4,0))))))</x:f>
        <x:v>0</x:v>
      </x:c>
      <x:c r="W23" s="37" t="str">
        <x:v>미정</x:v>
      </x:c>
      <x:c r="X23" s="40"/>
      <x:c r="Y23" s="37" t="str">
        <x:v>IGM-021,CHR-012</x:v>
      </x:c>
      <x:c r="Z23" s="37" t="str">
        <x:v>중간</x:v>
      </x:c>
      <x:c r="AA23" s="37" t="str">
        <x:v>경계값</x:v>
      </x:c>
      <x:c r="AB23" s="37" t="str">
        <x:v>TC-IGM-022-01</x:v>
      </x:c>
      <x:c r="AC23" s="37"/>
      <x:c r="AD23" s="37" t="str">
        <x:v>게임 기획서</x:v>
      </x:c>
      <x:c r="AE23" s="37"/>
      <x:c r="AF23" s="40" t="str">
        <x:v>2026-07-10</x:v>
      </x:c>
      <x:c r="AG23" s="37"/>
      <x:c r="AH23" s="49"/>
      <x:c r="AI23" s="49"/>
      <x:c r="AJ23" s="48" t="str">
        <x:v>착수 전</x:v>
      </x:c>
    </x:row>
    <x:row r="24" ht="42" customHeight="1">
      <x:c r="A24" s="37" t="str">
        <x:v>IGM-023</x:v>
      </x:c>
      <x:c r="B24" s="37" t="str">
        <x:v>인게임·게임플레이</x:v>
      </x:c>
      <x:c r="C24" s="37" t="str">
        <x:v>투표</x:v>
      </x:c>
      <x:c r="D24" s="37" t="str">
        <x:v>밤 투표</x:v>
      </x:c>
      <x:c r="E24" s="37" t="str">
        <x:v>스킵 없는 강제 단일 투표</x:v>
      </x:c>
      <x:c r="F24" s="37" t="str">
        <x:v>게임 규칙, 운영 요구사항과 대상 플랫폼 제약을 충족하도록 스킵 없는 강제 단일 투표 기능을 구현하고 검증한다.</x:v>
      </x:c>
      <x:c r="G24" s="37" t="str">
        <x:v>모든 생존자는 투표 시간 안에 생존자 1명을 선택하고 확정 이후의 중복 전송과 변경은 무효로 처리한다. 미투표 시 서버 규칙을 명문화한다.</x:v>
      </x:c>
      <x:c r="H24" s="37" t="str">
        <x:v>구현, 코드 리뷰, 사양 갱신, 대상 QA 케이스 실행, 로그·텔레메트리 확인과 관련 플랫폼 검증을 완료하고 미해결 P0·P1 결함이 없다.</x:v>
      </x:c>
      <x:c r="I24" s="37" t="str">
        <x:v>MVP</x:v>
      </x:c>
      <x:c r="J24" s="37" t="str">
        <x:v>P0</x:v>
      </x:c>
      <x:c r="K24" s="37" t="str">
        <x:v>필수</x:v>
      </x:c>
      <x:c r="L24" s="37" t="str">
        <x:v>핵심 규칙</x:v>
      </x:c>
      <x:c r="M24" s="37" t="str">
        <x:v>MVP</x:v>
      </x:c>
      <x:c r="N24" s="37" t="str">
        <x:v>게임플레이 엔지니어링</x:v>
      </x:c>
      <x:c r="O24" s="37" t="str">
        <x:v>미정</x:v>
      </x:c>
      <x:c r="P24" s="37" t="str">
        <x:v>미정</x:v>
      </x:c>
      <x:c r="Q24" s="37" t="str">
        <x:v>전체</x:v>
      </x:c>
      <x:c r="R24" s="37" t="str">
        <x:v>서버 권한</x:v>
      </x:c>
      <x:c r="S24" s="37" t="str">
        <x:v>세션</x:v>
      </x:c>
      <x:c r="T24" s="37" t="str">
        <x:v>L</x:v>
      </x:c>
      <x:c r="U24" s="37" t="str">
        <x:v>미착수</x:v>
      </x:c>
      <x:c r="V24" s="42" t="n">
        <x:f>IF(U24="완료",1,IF(U24="QA 진행 중",0.8,IF(U24="코드 리뷰",0.65,IF(U24="구현 중",0.4,IF(U24="사양 확인 중",0.1,IF(U24="차단",0.4,0))))))</x:f>
        <x:v>0</x:v>
      </x:c>
      <x:c r="W24" s="37" t="str">
        <x:v>미정</x:v>
      </x:c>
      <x:c r="X24" s="40"/>
      <x:c r="Y24" s="37" t="str">
        <x:v>IGM-008,UIX-019,NET-016</x:v>
      </x:c>
      <x:c r="Z24" s="37" t="str">
        <x:v>중간</x:v>
      </x:c>
      <x:c r="AA24" s="37" t="str">
        <x:v>보안</x:v>
      </x:c>
      <x:c r="AB24" s="37" t="str">
        <x:v>TC-IGM-023-01, TC-IGM-023-02</x:v>
      </x:c>
      <x:c r="AC24" s="37"/>
      <x:c r="AD24" s="37" t="str">
        <x:v>게임 기획서</x:v>
      </x:c>
      <x:c r="AE24" s="37"/>
      <x:c r="AF24" s="40" t="str">
        <x:v>2026-07-10</x:v>
      </x:c>
      <x:c r="AG24" s="37"/>
      <x:c r="AH24" s="49"/>
      <x:c r="AI24" s="49"/>
      <x:c r="AJ24" s="48" t="str">
        <x:v>착수 전</x:v>
      </x:c>
    </x:row>
    <x:row r="25" ht="42" customHeight="1">
      <x:c r="A25" s="37" t="str">
        <x:v>IGM-024</x:v>
      </x:c>
      <x:c r="B25" s="37" t="str">
        <x:v>인게임·게임플레이</x:v>
      </x:c>
      <x:c r="C25" s="37" t="str">
        <x:v>투표</x:v>
      </x:c>
      <x:c r="D25" s="37" t="str">
        <x:v>밤 투표</x:v>
      </x:c>
      <x:c r="E25" s="37" t="str">
        <x:v>밤 투표 동률 처리</x:v>
      </x:c>
      <x:c r="F25" s="37" t="str">
        <x:v>게임 규칙, 운영 요구사항과 대상 플랫폼 제약을 충족하도록 밤 투표 동률 처리 기능을 구현하고 검증한다.</x:v>
      </x:c>
      <x:c r="G25" s="37" t="str">
        <x:v>동률 시 재투표 또는 결정 규칙이 설정, 서버, UI, 튜토리얼에서 동일하고 무한 반복이 발생하지 않는다.</x:v>
      </x:c>
      <x:c r="H25" s="37" t="str">
        <x:v>구현, 코드 리뷰, 사양 갱신, 대상 QA 케이스 실행, 로그·텔레메트리 확인과 관련 플랫폼 검증을 완료하고 미해결 P0·P1 결함이 없다.</x:v>
      </x:c>
      <x:c r="I25" s="37" t="str">
        <x:v>MVP</x:v>
      </x:c>
      <x:c r="J25" s="37" t="str">
        <x:v>P0</x:v>
      </x:c>
      <x:c r="K25" s="37" t="str">
        <x:v>필수</x:v>
      </x:c>
      <x:c r="L25" s="37" t="str">
        <x:v>규칙 결정</x:v>
      </x:c>
      <x:c r="M25" s="37" t="str">
        <x:v>MVP</x:v>
      </x:c>
      <x:c r="N25" s="37" t="str">
        <x:v>게임플레이 엔지니어링</x:v>
      </x:c>
      <x:c r="O25" s="37" t="str">
        <x:v>미정</x:v>
      </x:c>
      <x:c r="P25" s="37" t="str">
        <x:v>미정</x:v>
      </x:c>
      <x:c r="Q25" s="37" t="str">
        <x:v>전체</x:v>
      </x:c>
      <x:c r="R25" s="37" t="str">
        <x:v>서버 권한</x:v>
      </x:c>
      <x:c r="S25" s="37" t="str">
        <x:v>세션</x:v>
      </x:c>
      <x:c r="T25" s="37" t="str">
        <x:v>M</x:v>
      </x:c>
      <x:c r="U25" s="37" t="str">
        <x:v>미착수</x:v>
      </x:c>
      <x:c r="V25" s="42" t="n">
        <x:f>IF(U25="완료",1,IF(U25="QA 진행 중",0.8,IF(U25="코드 리뷰",0.65,IF(U25="구현 중",0.4,IF(U25="사양 확인 중",0.1,IF(U25="차단",0.4,0))))))</x:f>
        <x:v>0</x:v>
      </x:c>
      <x:c r="W25" s="37" t="str">
        <x:v>미정</x:v>
      </x:c>
      <x:c r="X25" s="40"/>
      <x:c r="Y25" s="37" t="str">
        <x:v>IGM-023,SET-011</x:v>
      </x:c>
      <x:c r="Z25" s="37" t="str">
        <x:v>중간</x:v>
      </x:c>
      <x:c r="AA25" s="37" t="str">
        <x:v>경계값</x:v>
      </x:c>
      <x:c r="AB25" s="37" t="str">
        <x:v>TC-IGM-024-01, TC-IGM-024-02</x:v>
      </x:c>
      <x:c r="AC25" s="37"/>
      <x:c r="AD25" s="37" t="str">
        <x:v>게임 기획서</x:v>
      </x:c>
      <x:c r="AE25" s="37"/>
      <x:c r="AF25" s="40" t="str">
        <x:v>2026-07-10</x:v>
      </x:c>
      <x:c r="AG25" s="37" t="str">
        <x:v>제품 판단이 필요하다. 의사결정 기록을 참조한다.</x:v>
      </x:c>
      <x:c r="AH25" s="49"/>
      <x:c r="AI25" s="49"/>
      <x:c r="AJ25" s="48" t="str">
        <x:v>착수 전</x:v>
      </x:c>
    </x:row>
    <x:row r="26" ht="42" customHeight="1">
      <x:c r="A26" s="37" t="str">
        <x:v>IGM-025</x:v>
      </x:c>
      <x:c r="B26" s="37" t="str">
        <x:v>인게임·게임플레이</x:v>
      </x:c>
      <x:c r="C26" s="37" t="str">
        <x:v>투표</x:v>
      </x:c>
      <x:c r="D26" s="37" t="str">
        <x:v>추방</x:v>
      </x:c>
      <x:c r="E26" s="37" t="str">
        <x:v>추방·탈락 상태 적용</x:v>
      </x:c>
      <x:c r="F26" s="37" t="str">
        <x:v>게임 규칙, 운영 요구사항과 대상 플랫폼 제약을 충족하도록 추방·탈락 상태 적용 기능을 구현하고 검증한다.</x:v>
      </x:c>
      <x:c r="G26" s="37" t="str">
        <x:v>최다 득표자를 탈락 처리해 이동, 상호작용, 투표, 보상 대상에서 제외하고 관전 가능 여부와 역할 공개 정책을 적용한다.</x:v>
      </x:c>
      <x:c r="H26" s="37" t="str">
        <x:v>구현, 코드 리뷰, 사양 갱신, 대상 QA 케이스 실행, 로그·텔레메트리 확인과 관련 플랫폼 검증을 완료하고 미해결 P0·P1 결함이 없다.</x:v>
      </x:c>
      <x:c r="I26" s="37" t="str">
        <x:v>MVP</x:v>
      </x:c>
      <x:c r="J26" s="37" t="str">
        <x:v>P0</x:v>
      </x:c>
      <x:c r="K26" s="37" t="str">
        <x:v>필수</x:v>
      </x:c>
      <x:c r="L26" s="37" t="str">
        <x:v>핵심 규칙</x:v>
      </x:c>
      <x:c r="M26" s="37" t="str">
        <x:v>MVP</x:v>
      </x:c>
      <x:c r="N26" s="37" t="str">
        <x:v>게임플레이 엔지니어링</x:v>
      </x:c>
      <x:c r="O26" s="37" t="str">
        <x:v>미정</x:v>
      </x:c>
      <x:c r="P26" s="37" t="str">
        <x:v>미정</x:v>
      </x:c>
      <x:c r="Q26" s="37" t="str">
        <x:v>전체</x:v>
      </x:c>
      <x:c r="R26" s="37" t="str">
        <x:v>서버 권한</x:v>
      </x:c>
      <x:c r="S26" s="37" t="str">
        <x:v>세션</x:v>
      </x:c>
      <x:c r="T26" s="37" t="str">
        <x:v>M</x:v>
      </x:c>
      <x:c r="U26" s="37" t="str">
        <x:v>미착수</x:v>
      </x:c>
      <x:c r="V26" s="42" t="n">
        <x:f>IF(U26="완료",1,IF(U26="QA 진행 중",0.8,IF(U26="코드 리뷰",0.65,IF(U26="구현 중",0.4,IF(U26="사양 확인 중",0.1,IF(U26="차단",0.4,0))))))</x:f>
        <x:v>0</x:v>
      </x:c>
      <x:c r="W26" s="37" t="str">
        <x:v>미정</x:v>
      </x:c>
      <x:c r="X26" s="40"/>
      <x:c r="Y26" s="37" t="str">
        <x:v>IGM-023,IGM-024</x:v>
      </x:c>
      <x:c r="Z26" s="37" t="str">
        <x:v>중간</x:v>
      </x:c>
      <x:c r="AA26" s="37" t="str">
        <x:v>통합</x:v>
      </x:c>
      <x:c r="AB26" s="37" t="str">
        <x:v>TC-IGM-025-01, TC-IGM-025-02</x:v>
      </x:c>
      <x:c r="AC26" s="37"/>
      <x:c r="AD26" s="37" t="str">
        <x:v>게임 기획서</x:v>
      </x:c>
      <x:c r="AE26" s="37"/>
      <x:c r="AF26" s="40" t="str">
        <x:v>2026-07-10</x:v>
      </x:c>
      <x:c r="AG26" s="37"/>
      <x:c r="AH26" s="49"/>
      <x:c r="AI26" s="49"/>
      <x:c r="AJ26" s="48" t="str">
        <x:v>착수 전</x:v>
      </x:c>
    </x:row>
    <x:row r="27" ht="42" customHeight="1">
      <x:c r="A27" s="37" t="str">
        <x:v>IGM-026</x:v>
      </x:c>
      <x:c r="B27" s="37" t="str">
        <x:v>인게임·게임플레이</x:v>
      </x:c>
      <x:c r="C27" s="37" t="str">
        <x:v>승패</x:v>
      </x:c>
      <x:c r="D27" s="37" t="str">
        <x:v>기본 승리</x:v>
      </x:c>
      <x:c r="E27" s="37" t="str">
        <x:v>마피아 추방 시 시민 승리</x:v>
      </x:c>
      <x:c r="F27" s="37" t="str">
        <x:v>게임 규칙, 운영 요구사항과 대상 플랫폼 제약을 충족하도록 마피아 추방 시 시민 승리 기능을 구현하고 검증한다.</x:v>
      </x:c>
      <x:c r="G27" s="37" t="str">
        <x:v>조수 규칙이 꺼진 MVP에서 마피아가 추방되면 다른 상태 전이보다 우선하여 시민 승리를 확정하고 결과 화면으로 이동한다.</x:v>
      </x:c>
      <x:c r="H27" s="37" t="str">
        <x:v>구현, 코드 리뷰, 사양 갱신, 대상 QA 케이스 실행, 로그·텔레메트리 확인과 관련 플랫폼 검증을 완료하고 미해결 P0·P1 결함이 없다.</x:v>
      </x:c>
      <x:c r="I27" s="37" t="str">
        <x:v>MVP</x:v>
      </x:c>
      <x:c r="J27" s="37" t="str">
        <x:v>P0</x:v>
      </x:c>
      <x:c r="K27" s="37" t="str">
        <x:v>필수</x:v>
      </x:c>
      <x:c r="L27" s="37" t="str">
        <x:v>승패</x:v>
      </x:c>
      <x:c r="M27" s="37" t="str">
        <x:v>MVP</x:v>
      </x:c>
      <x:c r="N27" s="37" t="str">
        <x:v>게임플레이 엔지니어링</x:v>
      </x:c>
      <x:c r="O27" s="37" t="str">
        <x:v>미정</x:v>
      </x:c>
      <x:c r="P27" s="37" t="str">
        <x:v>미정</x:v>
      </x:c>
      <x:c r="Q27" s="37" t="str">
        <x:v>전체</x:v>
      </x:c>
      <x:c r="R27" s="37" t="str">
        <x:v>서버 권한</x:v>
      </x:c>
      <x:c r="S27" s="37" t="str">
        <x:v>세션</x:v>
      </x:c>
      <x:c r="T27" s="37" t="str">
        <x:v>S</x:v>
      </x:c>
      <x:c r="U27" s="37" t="str">
        <x:v>미착수</x:v>
      </x:c>
      <x:c r="V27" s="42" t="n">
        <x:f>IF(U27="완료",1,IF(U27="QA 진행 중",0.8,IF(U27="코드 리뷰",0.65,IF(U27="구현 중",0.4,IF(U27="사양 확인 중",0.1,IF(U27="차단",0.4,0))))))</x:f>
        <x:v>0</x:v>
      </x:c>
      <x:c r="W27" s="37" t="str">
        <x:v>미정</x:v>
      </x:c>
      <x:c r="X27" s="40"/>
      <x:c r="Y27" s="37" t="str">
        <x:v>IGM-025,IGM-002</x:v>
      </x:c>
      <x:c r="Z27" s="37" t="str">
        <x:v>중간</x:v>
      </x:c>
      <x:c r="AA27" s="37" t="str">
        <x:v>경계값</x:v>
      </x:c>
      <x:c r="AB27" s="37" t="str">
        <x:v>TC-IGM-026-01, TC-IGM-026-02</x:v>
      </x:c>
      <x:c r="AC27" s="37"/>
      <x:c r="AD27" s="37" t="str">
        <x:v>게임 기획서</x:v>
      </x:c>
      <x:c r="AE27" s="37"/>
      <x:c r="AF27" s="40" t="str">
        <x:v>2026-07-10</x:v>
      </x:c>
      <x:c r="AG27" s="37"/>
      <x:c r="AH27" s="49"/>
      <x:c r="AI27" s="49"/>
      <x:c r="AJ27" s="48" t="str">
        <x:v>착수 전</x:v>
      </x:c>
    </x:row>
    <x:row r="28" ht="42" customHeight="1">
      <x:c r="A28" s="37" t="str">
        <x:v>IGM-027</x:v>
      </x:c>
      <x:c r="B28" s="37" t="str">
        <x:v>인게임·게임플레이</x:v>
      </x:c>
      <x:c r="C28" s="37" t="str">
        <x:v>승패</x:v>
      </x:c>
      <x:c r="D28" s="37" t="str">
        <x:v>기본 승리</x:v>
      </x:c>
      <x:c r="E28" s="37" t="str">
        <x:v>생존 인원 동수 조건 마피아 승리</x:v>
      </x:c>
      <x:c r="F28" s="37" t="str">
        <x:v>게임 규칙, 운영 요구사항과 대상 플랫폼 제약을 충족하도록 생존 인원 동수 조건 마피아 승리 기능을 구현하고 검증한다.</x:v>
      </x:c>
      <x:c r="G28" s="37" t="str">
        <x:v>생존 시민 수가 생존 마피아 수 이하가 되는 안전한 판정 시점에 마피아 승리를 확정하고 중복 승패 판정을 방지한다.</x:v>
      </x:c>
      <x:c r="H28" s="37" t="str">
        <x:v>구현, 코드 리뷰, 사양 갱신, 대상 QA 케이스 실행, 로그·텔레메트리 확인과 관련 플랫폼 검증을 완료하고 미해결 P0·P1 결함이 없다.</x:v>
      </x:c>
      <x:c r="I28" s="37" t="str">
        <x:v>MVP</x:v>
      </x:c>
      <x:c r="J28" s="37" t="str">
        <x:v>P0</x:v>
      </x:c>
      <x:c r="K28" s="37" t="str">
        <x:v>필수</x:v>
      </x:c>
      <x:c r="L28" s="37" t="str">
        <x:v>승패</x:v>
      </x:c>
      <x:c r="M28" s="37" t="str">
        <x:v>MVP</x:v>
      </x:c>
      <x:c r="N28" s="37" t="str">
        <x:v>게임플레이 엔지니어링</x:v>
      </x:c>
      <x:c r="O28" s="37" t="str">
        <x:v>미정</x:v>
      </x:c>
      <x:c r="P28" s="37" t="str">
        <x:v>미정</x:v>
      </x:c>
      <x:c r="Q28" s="37" t="str">
        <x:v>전체</x:v>
      </x:c>
      <x:c r="R28" s="37" t="str">
        <x:v>서버 권한</x:v>
      </x:c>
      <x:c r="S28" s="37" t="str">
        <x:v>세션</x:v>
      </x:c>
      <x:c r="T28" s="37" t="str">
        <x:v>S</x:v>
      </x:c>
      <x:c r="U28" s="37" t="str">
        <x:v>미착수</x:v>
      </x:c>
      <x:c r="V28" s="42" t="n">
        <x:f>IF(U28="완료",1,IF(U28="QA 진행 중",0.8,IF(U28="코드 리뷰",0.65,IF(U28="구현 중",0.4,IF(U28="사양 확인 중",0.1,IF(U28="차단",0.4,0))))))</x:f>
        <x:v>0</x:v>
      </x:c>
      <x:c r="W28" s="37" t="str">
        <x:v>미정</x:v>
      </x:c>
      <x:c r="X28" s="40"/>
      <x:c r="Y28" s="37" t="str">
        <x:v>IGM-025,IGM-002</x:v>
      </x:c>
      <x:c r="Z28" s="37" t="str">
        <x:v>중간</x:v>
      </x:c>
      <x:c r="AA28" s="37" t="str">
        <x:v>경계값</x:v>
      </x:c>
      <x:c r="AB28" s="37" t="str">
        <x:v>TC-IGM-027-01, TC-IGM-027-02</x:v>
      </x:c>
      <x:c r="AC28" s="37"/>
      <x:c r="AD28" s="37" t="str">
        <x:v>게임 기획서</x:v>
      </x:c>
      <x:c r="AE28" s="37"/>
      <x:c r="AF28" s="40" t="str">
        <x:v>2026-07-10</x:v>
      </x:c>
      <x:c r="AG28" s="37"/>
      <x:c r="AH28" s="49"/>
      <x:c r="AI28" s="49"/>
      <x:c r="AJ28" s="48" t="str">
        <x:v>착수 전</x:v>
      </x:c>
    </x:row>
    <x:row r="29" ht="42" customHeight="1">
      <x:c r="A29" s="37" t="str">
        <x:v>IGM-028</x:v>
      </x:c>
      <x:c r="B29" s="37" t="str">
        <x:v>인게임·게임플레이</x:v>
      </x:c>
      <x:c r="C29" s="37" t="str">
        <x:v>최종 재판</x:v>
      </x:c>
      <x:c r="D29" s="37" t="str">
        <x:v>발동 조건</x:v>
      </x:c>
      <x:c r="E29" s="37" t="str">
        <x:v>최종 재판 3개 조건 발동</x:v>
      </x:c>
      <x:c r="F29" s="37" t="str">
        <x:v>게임 규칙, 운영 요구사항과 대상 플랫폼 제약을 충족하도록 최종 재판 3개 조건 발동 기능을 구현하고 검증한다.</x:v>
      </x:c>
      <x:c r="G29" s="37" t="str">
        <x:v>모든 미니게임 완료, 생존자 3명 이하, 5일째 낮 종료 중 하나를 충족하면 최종 재판을 한 번만 시작하며 일반 밤 투표와 충돌하지 않는다.</x:v>
      </x:c>
      <x:c r="H29" s="37" t="str">
        <x:v>구현, 코드 리뷰, 사양 갱신, 대상 QA 케이스 실행, 로그·텔레메트리 확인과 관련 플랫폼 검증을 완료하고 미해결 P0·P1 결함이 없다.</x:v>
      </x:c>
      <x:c r="I29" s="37" t="str">
        <x:v>MVP</x:v>
      </x:c>
      <x:c r="J29" s="37" t="str">
        <x:v>P0</x:v>
      </x:c>
      <x:c r="K29" s="37" t="str">
        <x:v>필수</x:v>
      </x:c>
      <x:c r="L29" s="37" t="str">
        <x:v>승패</x:v>
      </x:c>
      <x:c r="M29" s="37" t="str">
        <x:v>MVP</x:v>
      </x:c>
      <x:c r="N29" s="37" t="str">
        <x:v>게임플레이 엔지니어링</x:v>
      </x:c>
      <x:c r="O29" s="37" t="str">
        <x:v>미정</x:v>
      </x:c>
      <x:c r="P29" s="37" t="str">
        <x:v>미정</x:v>
      </x:c>
      <x:c r="Q29" s="37" t="str">
        <x:v>전체</x:v>
      </x:c>
      <x:c r="R29" s="37" t="str">
        <x:v>서버 권한</x:v>
      </x:c>
      <x:c r="S29" s="37" t="str">
        <x:v>세션</x:v>
      </x:c>
      <x:c r="T29" s="37" t="str">
        <x:v>L</x:v>
      </x:c>
      <x:c r="U29" s="37" t="str">
        <x:v>미착수</x:v>
      </x:c>
      <x:c r="V29" s="42" t="n">
        <x:f>IF(U29="완료",1,IF(U29="QA 진행 중",0.8,IF(U29="코드 리뷰",0.65,IF(U29="구현 중",0.4,IF(U29="사양 확인 중",0.1,IF(U29="차단",0.4,0))))))</x:f>
        <x:v>0</x:v>
      </x:c>
      <x:c r="W29" s="37" t="str">
        <x:v>미정</x:v>
      </x:c>
      <x:c r="X29" s="40"/>
      <x:c r="Y29" s="37" t="str">
        <x:v>IGM-001,CNT-022,SET-013</x:v>
      </x:c>
      <x:c r="Z29" s="37" t="str">
        <x:v>중간</x:v>
      </x:c>
      <x:c r="AA29" s="37" t="str">
        <x:v>경계값</x:v>
      </x:c>
      <x:c r="AB29" s="37" t="str">
        <x:v>TC-IGM-028-01, TC-IGM-028-02</x:v>
      </x:c>
      <x:c r="AC29" s="37"/>
      <x:c r="AD29" s="37" t="str">
        <x:v>게임 기획서</x:v>
      </x:c>
      <x:c r="AE29" s="37"/>
      <x:c r="AF29" s="40" t="str">
        <x:v>2026-07-10</x:v>
      </x:c>
      <x:c r="AG29" s="37"/>
      <x:c r="AH29" s="49"/>
      <x:c r="AI29" s="49"/>
      <x:c r="AJ29" s="48" t="str">
        <x:v>착수 전</x:v>
      </x:c>
    </x:row>
    <x:row r="30" ht="42" customHeight="1">
      <x:c r="A30" s="37" t="str">
        <x:v>IGM-029</x:v>
      </x:c>
      <x:c r="B30" s="37" t="str">
        <x:v>인게임·게임플레이</x:v>
      </x:c>
      <x:c r="C30" s="37" t="str">
        <x:v>최종 재판</x:v>
      </x:c>
      <x:c r="D30" s="37" t="str">
        <x:v>증빙</x:v>
      </x:c>
      <x:c r="E30" s="37" t="str">
        <x:v>최종 재판 메모 이력 제한 공개</x:v>
      </x:c>
      <x:c r="F30" s="37" t="str">
        <x:v>게임 규칙, 운영 요구사항과 대상 플랫폼 제약을 충족하도록 최종 재판 메모 이력 제한 공개 기능을 구현하고 검증한다.</x:v>
      </x:c>
      <x:c r="G30" s="37" t="str">
        <x:v>메모 내용, 표시 색상, 대상, 부착 순서만 공개하고 실제 작성자, 실제 부착자, 위조 여부, 내부 타임스탬프는 공개 페이로드에 포함하지 않는다.</x:v>
      </x:c>
      <x:c r="H30" s="37" t="str">
        <x:v>구현, 코드 리뷰, 사양 갱신, 대상 QA 케이스 실행, 로그·텔레메트리 확인과 관련 플랫폼 검증을 완료하고 미해결 P0·P1 결함이 없다.</x:v>
      </x:c>
      <x:c r="I30" s="37" t="str">
        <x:v>MVP</x:v>
      </x:c>
      <x:c r="J30" s="37" t="str">
        <x:v>P0</x:v>
      </x:c>
      <x:c r="K30" s="37" t="str">
        <x:v>필수</x:v>
      </x:c>
      <x:c r="L30" s="37" t="str">
        <x:v>정보 비공개</x:v>
      </x:c>
      <x:c r="M30" s="37" t="str">
        <x:v>MVP</x:v>
      </x:c>
      <x:c r="N30" s="37" t="str">
        <x:v>게임플레이 엔지니어링</x:v>
      </x:c>
      <x:c r="O30" s="37" t="str">
        <x:v>미정</x:v>
      </x:c>
      <x:c r="P30" s="37" t="str">
        <x:v>미정</x:v>
      </x:c>
      <x:c r="Q30" s="37" t="str">
        <x:v>전체</x:v>
      </x:c>
      <x:c r="R30" s="37" t="str">
        <x:v>서버 권한</x:v>
      </x:c>
      <x:c r="S30" s="37" t="str">
        <x:v>세션</x:v>
      </x:c>
      <x:c r="T30" s="37" t="str">
        <x:v>L</x:v>
      </x:c>
      <x:c r="U30" s="37" t="str">
        <x:v>미착수</x:v>
      </x:c>
      <x:c r="V30" s="42" t="n">
        <x:f>IF(U30="완료",1,IF(U30="QA 진행 중",0.8,IF(U30="코드 리뷰",0.65,IF(U30="구현 중",0.4,IF(U30="사양 확인 중",0.1,IF(U30="차단",0.4,0))))))</x:f>
        <x:v>0</x:v>
      </x:c>
      <x:c r="W30" s="37" t="str">
        <x:v>미정</x:v>
      </x:c>
      <x:c r="X30" s="40"/>
      <x:c r="Y30" s="37" t="str">
        <x:v>IGM-021,IGM-028,NET-018</x:v>
      </x:c>
      <x:c r="Z30" s="37" t="str">
        <x:v>중간</x:v>
      </x:c>
      <x:c r="AA30" s="37" t="str">
        <x:v>보안</x:v>
      </x:c>
      <x:c r="AB30" s="37" t="str">
        <x:v>TC-IGM-029-01, TC-IGM-029-02</x:v>
      </x:c>
      <x:c r="AC30" s="37"/>
      <x:c r="AD30" s="37" t="str">
        <x:v>게임 기획서</x:v>
      </x:c>
      <x:c r="AE30" s="37"/>
      <x:c r="AF30" s="40" t="str">
        <x:v>2026-07-10</x:v>
      </x:c>
      <x:c r="AG30" s="37"/>
      <x:c r="AH30" s="49"/>
      <x:c r="AI30" s="49"/>
      <x:c r="AJ30" s="48" t="str">
        <x:v>착수 전</x:v>
      </x:c>
    </x:row>
    <x:row r="31" ht="42" customHeight="1">
      <x:c r="A31" s="37" t="str">
        <x:v>IGM-030</x:v>
      </x:c>
      <x:c r="B31" s="37" t="str">
        <x:v>인게임·게임플레이</x:v>
      </x:c>
      <x:c r="C31" s="37" t="str">
        <x:v>최종 재판</x:v>
      </x:c>
      <x:c r="D31" s="37" t="str">
        <x:v>최종 발언</x:v>
      </x:c>
      <x:c r="E31" s="37" t="str">
        <x:v>1인 1회 최종 발언 제어</x:v>
      </x:c>
      <x:c r="F31" s="37" t="str">
        <x:v>게임 규칙, 운영 요구사항과 대상 플랫폼 제약을 충족하도록 1인 1회 최종 발언 제어 기능을 구현하고 검증한다.</x:v>
      </x:c>
      <x:c r="G31" s="37" t="str">
        <x:v>생존자에게 정해진 시간의 발언권을 한 번씩 순서대로 부여하며, 발언 대상이 아닌 플레이어의 음성, 텍스트, 이모트를 차단한다.</x:v>
      </x:c>
      <x:c r="H31" s="37" t="str">
        <x:v>구현, 코드 리뷰, 사양 갱신, 대상 QA 케이스 실행, 로그·텔레메트리 확인과 관련 플랫폼 검증을 완료하고 미해결 P0·P1 결함이 없다.</x:v>
      </x:c>
      <x:c r="I31" s="37" t="str">
        <x:v>MVP</x:v>
      </x:c>
      <x:c r="J31" s="37" t="str">
        <x:v>P0</x:v>
      </x:c>
      <x:c r="K31" s="37" t="str">
        <x:v>필수</x:v>
      </x:c>
      <x:c r="L31" s="37" t="str">
        <x:v>핵심 규칙</x:v>
      </x:c>
      <x:c r="M31" s="37" t="str">
        <x:v>MVP</x:v>
      </x:c>
      <x:c r="N31" s="37" t="str">
        <x:v>게임플레이 엔지니어링</x:v>
      </x:c>
      <x:c r="O31" s="37" t="str">
        <x:v>미정</x:v>
      </x:c>
      <x:c r="P31" s="37" t="str">
        <x:v>미정</x:v>
      </x:c>
      <x:c r="Q31" s="37" t="str">
        <x:v>전체</x:v>
      </x:c>
      <x:c r="R31" s="37" t="str">
        <x:v>서버 권한</x:v>
      </x:c>
      <x:c r="S31" s="37" t="str">
        <x:v>세션</x:v>
      </x:c>
      <x:c r="T31" s="37" t="str">
        <x:v>L</x:v>
      </x:c>
      <x:c r="U31" s="37" t="str">
        <x:v>미착수</x:v>
      </x:c>
      <x:c r="V31" s="42" t="n">
        <x:f>IF(U31="완료",1,IF(U31="QA 진행 중",0.8,IF(U31="코드 리뷰",0.65,IF(U31="구현 중",0.4,IF(U31="사양 확인 중",0.1,IF(U31="차단",0.4,0))))))</x:f>
        <x:v>0</x:v>
      </x:c>
      <x:c r="W31" s="37" t="str">
        <x:v>미정</x:v>
      </x:c>
      <x:c r="X31" s="40"/>
      <x:c r="Y31" s="37" t="str">
        <x:v>IGM-028,AUD-008,UIX-022</x:v>
      </x:c>
      <x:c r="Z31" s="37" t="str">
        <x:v>중간</x:v>
      </x:c>
      <x:c r="AA31" s="37" t="str">
        <x:v>통합</x:v>
      </x:c>
      <x:c r="AB31" s="37" t="str">
        <x:v>TC-IGM-030-01, TC-IGM-030-02</x:v>
      </x:c>
      <x:c r="AC31" s="37"/>
      <x:c r="AD31" s="37" t="str">
        <x:v>게임 기획서</x:v>
      </x:c>
      <x:c r="AE31" s="37"/>
      <x:c r="AF31" s="40" t="str">
        <x:v>2026-07-10</x:v>
      </x:c>
      <x:c r="AG31" s="37"/>
      <x:c r="AH31" s="49"/>
      <x:c r="AI31" s="49"/>
      <x:c r="AJ31" s="48" t="str">
        <x:v>착수 전</x:v>
      </x:c>
    </x:row>
    <x:row r="32" ht="42" customHeight="1">
      <x:c r="A32" s="37" t="str">
        <x:v>IGM-031</x:v>
      </x:c>
      <x:c r="B32" s="37" t="str">
        <x:v>인게임·게임플레이</x:v>
      </x:c>
      <x:c r="C32" s="37" t="str">
        <x:v>최종 재판</x:v>
      </x:c>
      <x:c r="D32" s="37" t="str">
        <x:v>투표</x:v>
      </x:c>
      <x:c r="E32" s="37" t="str">
        <x:v>최종 투표·최종 승패 판정</x:v>
      </x:c>
      <x:c r="F32" s="37" t="str">
        <x:v>게임 규칙, 운영 요구사항과 대상 플랫폼 제약을 충족하도록 최종 투표·최종 승패 판정 기능을 구현하고 검증한다.</x:v>
      </x:c>
      <x:c r="G32" s="37" t="str">
        <x:v>발언 종료 후 대화를 차단하고 1표를 접수한다. 마피아가 단독 최다 득표면 시민 승리, 이를 피하면 마피아 승리로 판정하며 동률 규칙을 적용한다.</x:v>
      </x:c>
      <x:c r="H32" s="37" t="str">
        <x:v>구현, 코드 리뷰, 사양 갱신, 대상 QA 케이스 실행, 로그·텔레메트리 확인과 관련 플랫폼 검증을 완료하고 미해결 P0·P1 결함이 없다.</x:v>
      </x:c>
      <x:c r="I32" s="37" t="str">
        <x:v>MVP</x:v>
      </x:c>
      <x:c r="J32" s="37" t="str">
        <x:v>P0</x:v>
      </x:c>
      <x:c r="K32" s="37" t="str">
        <x:v>필수</x:v>
      </x:c>
      <x:c r="L32" s="37" t="str">
        <x:v>승패</x:v>
      </x:c>
      <x:c r="M32" s="37" t="str">
        <x:v>MVP</x:v>
      </x:c>
      <x:c r="N32" s="37" t="str">
        <x:v>게임플레이 엔지니어링</x:v>
      </x:c>
      <x:c r="O32" s="37" t="str">
        <x:v>미정</x:v>
      </x:c>
      <x:c r="P32" s="37" t="str">
        <x:v>미정</x:v>
      </x:c>
      <x:c r="Q32" s="37" t="str">
        <x:v>전체</x:v>
      </x:c>
      <x:c r="R32" s="37" t="str">
        <x:v>서버 권한</x:v>
      </x:c>
      <x:c r="S32" s="37" t="str">
        <x:v>세션</x:v>
      </x:c>
      <x:c r="T32" s="37" t="str">
        <x:v>L</x:v>
      </x:c>
      <x:c r="U32" s="37" t="str">
        <x:v>미착수</x:v>
      </x:c>
      <x:c r="V32" s="42" t="n">
        <x:f>IF(U32="완료",1,IF(U32="QA 진행 중",0.8,IF(U32="코드 리뷰",0.65,IF(U32="구현 중",0.4,IF(U32="사양 확인 중",0.1,IF(U32="차단",0.4,0))))))</x:f>
        <x:v>0</x:v>
      </x:c>
      <x:c r="W32" s="37" t="str">
        <x:v>미정</x:v>
      </x:c>
      <x:c r="X32" s="40"/>
      <x:c r="Y32" s="37" t="str">
        <x:v>IGM-030,IGM-029,IGM-024</x:v>
      </x:c>
      <x:c r="Z32" s="37" t="str">
        <x:v>중간</x:v>
      </x:c>
      <x:c r="AA32" s="37" t="str">
        <x:v>경계값</x:v>
      </x:c>
      <x:c r="AB32" s="37" t="str">
        <x:v>TC-IGM-031-01, TC-IGM-031-02</x:v>
      </x:c>
      <x:c r="AC32" s="37"/>
      <x:c r="AD32" s="37" t="str">
        <x:v>게임 기획서</x:v>
      </x:c>
      <x:c r="AE32" s="37"/>
      <x:c r="AF32" s="40" t="str">
        <x:v>2026-07-10</x:v>
      </x:c>
      <x:c r="AG32" s="37"/>
      <x:c r="AH32" s="49"/>
      <x:c r="AI32" s="49"/>
      <x:c r="AJ32" s="48" t="str">
        <x:v>착수 전</x:v>
      </x:c>
    </x:row>
    <x:row r="33" ht="42" customHeight="1">
      <x:c r="A33" s="37" t="str">
        <x:v>IGM-032</x:v>
      </x:c>
      <x:c r="B33" s="37" t="str">
        <x:v>인게임·게임플레이</x:v>
      </x:c>
      <x:c r="C33" s="37" t="str">
        <x:v>복원력</x:v>
      </x:c>
      <x:c r="D33" s="37" t="str">
        <x:v>연결 끊김</x:v>
      </x:c>
      <x:c r="E33" s="37" t="str">
        <x:v>연결 끊김 플레이어 진행 처리</x:v>
      </x:c>
      <x:c r="F33" s="37" t="str">
        <x:v>게임 규칙, 운영 요구사항과 대상 플랫폼 제약을 충족하도록 연결 끊김 플레이어 진행 처리 기능을 구현하고 검증한다.</x:v>
      </x:c>
      <x:c r="G33" s="37" t="str">
        <x:v>연결이 끊긴 플레이어를 투표 모수, 승패 판정, 최종 발언 순서에서 규칙대로 처리해 매치가 중단되지 않도록 하고 재접속 유예 중 처리도 설정을 따른다.</x:v>
      </x:c>
      <x:c r="H33" s="37" t="str">
        <x:v>구현, 코드 리뷰, 사양 갱신, 대상 QA 케이스 실행, 로그·텔레메트리 확인과 관련 플랫폼 검증을 완료하고 미해결 P0·P1 결함이 없다.</x:v>
      </x:c>
      <x:c r="I33" s="37" t="str">
        <x:v>알파</x:v>
      </x:c>
      <x:c r="J33" s="37" t="str">
        <x:v>P0</x:v>
      </x:c>
      <x:c r="K33" s="37" t="str">
        <x:v>필수</x:v>
      </x:c>
      <x:c r="L33" s="37" t="str">
        <x:v>안정성</x:v>
      </x:c>
      <x:c r="M33" s="37" t="str">
        <x:v>알파</x:v>
      </x:c>
      <x:c r="N33" s="37" t="str">
        <x:v>게임플레이 엔지니어링</x:v>
      </x:c>
      <x:c r="O33" s="37" t="str">
        <x:v>미정</x:v>
      </x:c>
      <x:c r="P33" s="37" t="str">
        <x:v>미정</x:v>
      </x:c>
      <x:c r="Q33" s="37" t="str">
        <x:v>전체</x:v>
      </x:c>
      <x:c r="R33" s="37" t="str">
        <x:v>서버 권한</x:v>
      </x:c>
      <x:c r="S33" s="37" t="str">
        <x:v>세션</x:v>
      </x:c>
      <x:c r="T33" s="37" t="str">
        <x:v>L</x:v>
      </x:c>
      <x:c r="U33" s="37" t="str">
        <x:v>미착수</x:v>
      </x:c>
      <x:c r="V33" s="42" t="n">
        <x:f>IF(U33="완료",1,IF(U33="QA 진행 중",0.8,IF(U33="코드 리뷰",0.65,IF(U33="구현 중",0.4,IF(U33="사양 확인 중",0.1,IF(U33="차단",0.4,0))))))</x:f>
        <x:v>0</x:v>
      </x:c>
      <x:c r="W33" s="37" t="str">
        <x:v>미정</x:v>
      </x:c>
      <x:c r="X33" s="40"/>
      <x:c r="Y33" s="37" t="str">
        <x:v>IGM-001,ONL-017</x:v>
      </x:c>
      <x:c r="Z33" s="37" t="str">
        <x:v>중간</x:v>
      </x:c>
      <x:c r="AA33" s="37" t="str">
        <x:v>네트워크</x:v>
      </x:c>
      <x:c r="AB33" s="37" t="str">
        <x:v>TC-IGM-032-01, TC-IGM-032-02</x:v>
      </x:c>
      <x:c r="AC33" s="37"/>
      <x:c r="AD33" s="37" t="str">
        <x:v>게임 기획서</x:v>
      </x:c>
      <x:c r="AE33" s="37"/>
      <x:c r="AF33" s="40" t="str">
        <x:v>2026-07-10</x:v>
      </x:c>
      <x:c r="AG33" s="37"/>
      <x:c r="AH33" s="49"/>
      <x:c r="AI33" s="49"/>
      <x:c r="AJ33" s="48" t="str">
        <x:v>착수 전</x:v>
      </x:c>
    </x:row>
    <x:row r="34" ht="42" customHeight="1">
      <x:c r="A34" s="37" t="str">
        <x:v>IGM-033</x:v>
      </x:c>
      <x:c r="B34" s="37" t="str">
        <x:v>인게임·게임플레이</x:v>
      </x:c>
      <x:c r="C34" s="37" t="str">
        <x:v>복원력</x:v>
      </x:c>
      <x:c r="D34" s="37" t="str">
        <x:v>재접속</x:v>
      </x:c>
      <x:c r="E34" s="37" t="str">
        <x:v>재접속 시 전체 상태 복원</x:v>
      </x:c>
      <x:c r="F34" s="37" t="str">
        <x:v>게임 규칙, 운영 요구사항과 대상 플랫폼 제약을 충족하도록 재접속 시 전체 상태 복원 기능을 구현하고 검증한다.</x:v>
      </x:c>
      <x:c r="G34" s="37" t="str">
        <x:v>역할, 색상, 보유 메모, 부착 이력, 생존 상태, 페이즈, 남은 시간, 투표 여부를 복원하고 수신자별 비공개 정보를 정확하게 재전송한다.</x:v>
      </x:c>
      <x:c r="H34" s="37" t="str">
        <x:v>구현, 코드 리뷰, 사양 갱신, 대상 QA 케이스 실행, 로그·텔레메트리 확인과 관련 플랫폼 검증을 완료하고 미해결 P0·P1 결함이 없다.</x:v>
      </x:c>
      <x:c r="I34" s="37" t="str">
        <x:v>알파</x:v>
      </x:c>
      <x:c r="J34" s="37" t="str">
        <x:v>P0</x:v>
      </x:c>
      <x:c r="K34" s="37" t="str">
        <x:v>필수</x:v>
      </x:c>
      <x:c r="L34" s="37" t="str">
        <x:v>안정성</x:v>
      </x:c>
      <x:c r="M34" s="37" t="str">
        <x:v>알파</x:v>
      </x:c>
      <x:c r="N34" s="37" t="str">
        <x:v>게임플레이 엔지니어링</x:v>
      </x:c>
      <x:c r="O34" s="37" t="str">
        <x:v>미정</x:v>
      </x:c>
      <x:c r="P34" s="37" t="str">
        <x:v>미정</x:v>
      </x:c>
      <x:c r="Q34" s="37" t="str">
        <x:v>전체</x:v>
      </x:c>
      <x:c r="R34" s="37" t="str">
        <x:v>서버 권한</x:v>
      </x:c>
      <x:c r="S34" s="37" t="str">
        <x:v>세션</x:v>
      </x:c>
      <x:c r="T34" s="37" t="str">
        <x:v>XL</x:v>
      </x:c>
      <x:c r="U34" s="37" t="str">
        <x:v>미착수</x:v>
      </x:c>
      <x:c r="V34" s="42" t="n">
        <x:f>IF(U34="완료",1,IF(U34="QA 진행 중",0.8,IF(U34="코드 리뷰",0.65,IF(U34="구현 중",0.4,IF(U34="사양 확인 중",0.1,IF(U34="차단",0.4,0))))))</x:f>
        <x:v>0</x:v>
      </x:c>
      <x:c r="W34" s="37" t="str">
        <x:v>미정</x:v>
      </x:c>
      <x:c r="X34" s="40"/>
      <x:c r="Y34" s="37" t="str">
        <x:v>IGM-032,NET-019</x:v>
      </x:c>
      <x:c r="Z34" s="37" t="str">
        <x:v>중간</x:v>
      </x:c>
      <x:c r="AA34" s="37" t="str">
        <x:v>네트워크</x:v>
      </x:c>
      <x:c r="AB34" s="37" t="str">
        <x:v>TC-IGM-033-01, TC-IGM-033-02</x:v>
      </x:c>
      <x:c r="AC34" s="37"/>
      <x:c r="AD34" s="37" t="str">
        <x:v>게임 기획서</x:v>
      </x:c>
      <x:c r="AE34" s="37"/>
      <x:c r="AF34" s="40" t="str">
        <x:v>2026-07-10</x:v>
      </x:c>
      <x:c r="AG34" s="37"/>
      <x:c r="AH34" s="49"/>
      <x:c r="AI34" s="49"/>
      <x:c r="AJ34" s="48" t="str">
        <x:v>착수 전</x:v>
      </x:c>
    </x:row>
    <x:row r="35" ht="42" customHeight="1">
      <x:c r="A35" s="37" t="str">
        <x:v>IGM-034</x:v>
      </x:c>
      <x:c r="B35" s="37" t="str">
        <x:v>인게임·게임플레이</x:v>
      </x:c>
      <x:c r="C35" s="37" t="str">
        <x:v>확장</x:v>
      </x:c>
      <x:c r="D35" s="37" t="str">
        <x:v>사진 메모</x:v>
      </x:c>
      <x:c r="E35" s="37" t="str">
        <x:v>사진 메모 기록·부착</x:v>
      </x:c>
      <x:c r="F35" s="37" t="str">
        <x:v>게임 규칙, 운영 요구사항과 대상 플랫폼 제약을 충족하도록 사진 메모 기록·부착 기능을 구현하고 검증한다.</x:v>
      </x:c>
      <x:c r="G35" s="37" t="str">
        <x:v>카메라 2회 사용, 좁은 화각, 약한 흐림, 정확한 시각 비공개 규칙으로 사진 메모를 생성해 확정 증거가 지나치게 강해지지 않도록 한다.</x:v>
      </x:c>
      <x:c r="H35" s="37" t="str">
        <x:v>구현, 코드 리뷰, 사양 갱신, 대상 QA 케이스 실행, 로그·텔레메트리 확인과 관련 플랫폼 검증을 완료하고 미해결 P0·P1 결함이 없다.</x:v>
      </x:c>
      <x:c r="I35" s="37" t="str">
        <x:v>출시 후</x:v>
      </x:c>
      <x:c r="J35" s="37" t="str">
        <x:v>P2</x:v>
      </x:c>
      <x:c r="K35" s="37" t="str">
        <x:v>조건부</x:v>
      </x:c>
      <x:c r="L35" s="37" t="str">
        <x:v>확장</x:v>
      </x:c>
      <x:c r="M35" s="37" t="str">
        <x:v>출시 후</x:v>
      </x:c>
      <x:c r="N35" s="37" t="str">
        <x:v>게임플레이 엔지니어링</x:v>
      </x:c>
      <x:c r="O35" s="37" t="str">
        <x:v>미정</x:v>
      </x:c>
      <x:c r="P35" s="37" t="str">
        <x:v>미정</x:v>
      </x:c>
      <x:c r="Q35" s="37" t="str">
        <x:v>전체</x:v>
      </x:c>
      <x:c r="R35" s="37" t="str">
        <x:v>서버 권한</x:v>
      </x:c>
      <x:c r="S35" s="37" t="str">
        <x:v>매치</x:v>
      </x:c>
      <x:c r="T35" s="37" t="str">
        <x:v>XL</x:v>
      </x:c>
      <x:c r="U35" s="37" t="str">
        <x:v>미착수</x:v>
      </x:c>
      <x:c r="V35" s="42" t="n">
        <x:f>IF(U35="완료",1,IF(U35="QA 진행 중",0.8,IF(U35="코드 리뷰",0.65,IF(U35="구현 중",0.4,IF(U35="사양 확인 중",0.1,IF(U35="차단",0.4,0))))))</x:f>
        <x:v>0</x:v>
      </x:c>
      <x:c r="W35" s="37" t="str">
        <x:v>미정</x:v>
      </x:c>
      <x:c r="X35" s="40"/>
      <x:c r="Y35" s="37" t="str">
        <x:v>CNT-029,UIX-030</x:v>
      </x:c>
      <x:c r="Z35" s="37" t="str">
        <x:v>높음</x:v>
      </x:c>
      <x:c r="AA35" s="37" t="str">
        <x:v>밸런스</x:v>
      </x:c>
      <x:c r="AB35" s="37" t="str">
        <x:v>TC-IGM-034-01</x:v>
      </x:c>
      <x:c r="AC35" s="37"/>
      <x:c r="AD35" s="37" t="str">
        <x:v>게임 기획서</x:v>
      </x:c>
      <x:c r="AE35" s="37"/>
      <x:c r="AF35" s="40" t="str">
        <x:v>2026-07-10</x:v>
      </x:c>
      <x:c r="AG35" s="37"/>
      <x:c r="AH35" s="49"/>
      <x:c r="AI35" s="49"/>
      <x:c r="AJ35" s="48" t="str">
        <x:v>착수 전</x:v>
      </x:c>
    </x:row>
    <x:row r="36" ht="42" customHeight="1">
      <x:c r="A36" s="37" t="str">
        <x:v>IGM-035</x:v>
      </x:c>
      <x:c r="B36" s="37" t="str">
        <x:v>인게임·게임플레이</x:v>
      </x:c>
      <x:c r="C36" s="37" t="str">
        <x:v>확장</x:v>
      </x:c>
      <x:c r="D36" s="37" t="str">
        <x:v>메모 전달</x:v>
      </x:c>
      <x:c r="E36" s="37" t="str">
        <x:v>플레이어 간 메모 전달</x:v>
      </x:c>
      <x:c r="F36" s="37" t="str">
        <x:v>게임 규칙, 운영 요구사항과 대상 플랫폼 제약을 충족하도록 플레이어 간 메모 전달 기능을 구현하고 검증한다.</x:v>
      </x:c>
      <x:c r="G36" s="37" t="str">
        <x:v>전송, 수령, 거부, 소유권 이전을 서버에서 원자적으로 처리하고 부착자와 작성자 개념을 분리해 이력을 유지한다.</x:v>
      </x:c>
      <x:c r="H36" s="37" t="str">
        <x:v>구현, 코드 리뷰, 사양 갱신, 대상 QA 케이스 실행, 로그·텔레메트리 확인과 관련 플랫폼 검증을 완료하고 미해결 P0·P1 결함이 없다.</x:v>
      </x:c>
      <x:c r="I36" s="37" t="str">
        <x:v>출시 후</x:v>
      </x:c>
      <x:c r="J36" s="37" t="str">
        <x:v>P2</x:v>
      </x:c>
      <x:c r="K36" s="37" t="str">
        <x:v>조건부</x:v>
      </x:c>
      <x:c r="L36" s="37" t="str">
        <x:v>확장</x:v>
      </x:c>
      <x:c r="M36" s="37" t="str">
        <x:v>출시 후</x:v>
      </x:c>
      <x:c r="N36" s="37" t="str">
        <x:v>게임플레이 엔지니어링</x:v>
      </x:c>
      <x:c r="O36" s="37" t="str">
        <x:v>미정</x:v>
      </x:c>
      <x:c r="P36" s="37" t="str">
        <x:v>미정</x:v>
      </x:c>
      <x:c r="Q36" s="37" t="str">
        <x:v>전체</x:v>
      </x:c>
      <x:c r="R36" s="37" t="str">
        <x:v>서버 권한</x:v>
      </x:c>
      <x:c r="S36" s="37" t="str">
        <x:v>세션</x:v>
      </x:c>
      <x:c r="T36" s="37" t="str">
        <x:v>L</x:v>
      </x:c>
      <x:c r="U36" s="37" t="str">
        <x:v>미착수</x:v>
      </x:c>
      <x:c r="V36" s="42" t="n">
        <x:f>IF(U36="완료",1,IF(U36="QA 진행 중",0.8,IF(U36="코드 리뷰",0.65,IF(U36="구현 중",0.4,IF(U36="사양 확인 중",0.1,IF(U36="차단",0.4,0))))))</x:f>
        <x:v>0</x:v>
      </x:c>
      <x:c r="W36" s="37" t="str">
        <x:v>미정</x:v>
      </x:c>
      <x:c r="X36" s="40"/>
      <x:c r="Y36" s="37" t="str">
        <x:v>IGM-009</x:v>
      </x:c>
      <x:c r="Z36" s="37" t="str">
        <x:v>높음</x:v>
      </x:c>
      <x:c r="AA36" s="37" t="str">
        <x:v>통합</x:v>
      </x:c>
      <x:c r="AB36" s="37" t="str">
        <x:v>TC-IGM-035-01</x:v>
      </x:c>
      <x:c r="AC36" s="37"/>
      <x:c r="AD36" s="37" t="str">
        <x:v>게임 기획서</x:v>
      </x:c>
      <x:c r="AE36" s="37"/>
      <x:c r="AF36" s="40" t="str">
        <x:v>2026-07-10</x:v>
      </x:c>
      <x:c r="AG36" s="37"/>
      <x:c r="AH36" s="49"/>
      <x:c r="AI36" s="49"/>
      <x:c r="AJ36" s="48" t="str">
        <x:v>착수 전</x:v>
      </x:c>
    </x:row>
    <x:row r="37" ht="42" customHeight="1">
      <x:c r="A37" s="37" t="str">
        <x:v>IGM-036</x:v>
      </x:c>
      <x:c r="B37" s="37" t="str">
        <x:v>인게임·게임플레이</x:v>
      </x:c>
      <x:c r="C37" s="37" t="str">
        <x:v>확장</x:v>
      </x:c>
      <x:c r="D37" s="37" t="str">
        <x:v>2인 미니게임</x:v>
      </x:c>
      <x:c r="E37" s="37" t="str">
        <x:v>2인 협동 미니게임 공통 흐름</x:v>
      </x:c>
      <x:c r="F37" s="37" t="str">
        <x:v>게임 규칙, 운영 요구사항과 대상 플랫폼 제약을 충족하도록 2인 협동 미니게임 공통 흐름 기능을 구현하고 검증한다.</x:v>
      </x:c>
      <x:c r="G37" s="37" t="str">
        <x:v>두 플레이어의 참가, 동시 시작, 성공, 이탈을 동기화하며 성공 시 양쪽에 메모 1장씩 중복 없이 지급한다.</x:v>
      </x:c>
      <x:c r="H37" s="37" t="str">
        <x:v>구현, 코드 리뷰, 사양 갱신, 대상 QA 케이스 실행, 로그·텔레메트리 확인과 관련 플랫폼 검증을 완료하고 미해결 P0·P1 결함이 없다.</x:v>
      </x:c>
      <x:c r="I37" s="37" t="str">
        <x:v>출시 후</x:v>
      </x:c>
      <x:c r="J37" s="37" t="str">
        <x:v>P2</x:v>
      </x:c>
      <x:c r="K37" s="37" t="str">
        <x:v>조건부</x:v>
      </x:c>
      <x:c r="L37" s="37" t="str">
        <x:v>확장</x:v>
      </x:c>
      <x:c r="M37" s="37" t="str">
        <x:v>출시 후</x:v>
      </x:c>
      <x:c r="N37" s="37" t="str">
        <x:v>게임플레이 엔지니어링</x:v>
      </x:c>
      <x:c r="O37" s="37" t="str">
        <x:v>미정</x:v>
      </x:c>
      <x:c r="P37" s="37" t="str">
        <x:v>미정</x:v>
      </x:c>
      <x:c r="Q37" s="37" t="str">
        <x:v>전체</x:v>
      </x:c>
      <x:c r="R37" s="37" t="str">
        <x:v>서버 권한</x:v>
      </x:c>
      <x:c r="S37" s="37" t="str">
        <x:v>세션</x:v>
      </x:c>
      <x:c r="T37" s="37" t="str">
        <x:v>XL</x:v>
      </x:c>
      <x:c r="U37" s="37" t="str">
        <x:v>미착수</x:v>
      </x:c>
      <x:c r="V37" s="42" t="n">
        <x:f>IF(U37="완료",1,IF(U37="QA 진행 중",0.8,IF(U37="코드 리뷰",0.65,IF(U37="구현 중",0.4,IF(U37="사양 확인 중",0.1,IF(U37="차단",0.4,0))))))</x:f>
        <x:v>0</x:v>
      </x:c>
      <x:c r="W37" s="37" t="str">
        <x:v>미정</x:v>
      </x:c>
      <x:c r="X37" s="40"/>
      <x:c r="Y37" s="37" t="str">
        <x:v>IGM-010,CNT-030</x:v>
      </x:c>
      <x:c r="Z37" s="37" t="str">
        <x:v>중간</x:v>
      </x:c>
      <x:c r="AA37" s="37" t="str">
        <x:v>네트워크</x:v>
      </x:c>
      <x:c r="AB37" s="37" t="str">
        <x:v>TC-IGM-036-01</x:v>
      </x:c>
      <x:c r="AC37" s="37"/>
      <x:c r="AD37" s="37" t="str">
        <x:v>게임 기획서</x:v>
      </x:c>
      <x:c r="AE37" s="37"/>
      <x:c r="AF37" s="40" t="str">
        <x:v>2026-07-10</x:v>
      </x:c>
      <x:c r="AG37" s="37"/>
      <x:c r="AH37" s="49"/>
      <x:c r="AI37" s="49"/>
      <x:c r="AJ37" s="48" t="str">
        <x:v>착수 전</x:v>
      </x:c>
    </x:row>
    <x:row r="38" ht="42" customHeight="1">
      <x:c r="A38" s="37" t="str">
        <x:v>IGM-037</x:v>
      </x:c>
      <x:c r="B38" s="37" t="str">
        <x:v>인게임·게임플레이</x:v>
      </x:c>
      <x:c r="C38" s="37" t="str">
        <x:v>확장</x:v>
      </x:c>
      <x:c r="D38" s="37" t="str">
        <x:v>고독한 마피아</x:v>
      </x:c>
      <x:c r="E38" s="37" t="str">
        <x:v>고독한 마피아 자기 부착 능력</x:v>
      </x:c>
      <x:c r="F38" s="37" t="str">
        <x:v>게임 규칙, 운영 요구사항과 대상 플랫폼 제약을 충족하도록 고독한 마피아 자기 부착 능력 기능을 구현하고 검증한다.</x:v>
      </x:c>
      <x:c r="G38" s="37" t="str">
        <x:v>복수 마피아 모드에서 마지막 마피아 1명이 된 경우에만 하루 1회 선택한 색상의 메모를 자신의 등에 부착할 수 있다.</x:v>
      </x:c>
      <x:c r="H38" s="37" t="str">
        <x:v>구현, 코드 리뷰, 사양 갱신, 대상 QA 케이스 실행, 로그·텔레메트리 확인과 관련 플랫폼 검증을 완료하고 미해결 P0·P1 결함이 없다.</x:v>
      </x:c>
      <x:c r="I38" s="37" t="str">
        <x:v>출시 후</x:v>
      </x:c>
      <x:c r="J38" s="37" t="str">
        <x:v>P3</x:v>
      </x:c>
      <x:c r="K38" s="37" t="str">
        <x:v>조건부</x:v>
      </x:c>
      <x:c r="L38" s="37" t="str">
        <x:v>확장</x:v>
      </x:c>
      <x:c r="M38" s="37" t="str">
        <x:v>출시 후</x:v>
      </x:c>
      <x:c r="N38" s="37" t="str">
        <x:v>게임플레이 엔지니어링</x:v>
      </x:c>
      <x:c r="O38" s="37" t="str">
        <x:v>미정</x:v>
      </x:c>
      <x:c r="P38" s="37" t="str">
        <x:v>미정</x:v>
      </x:c>
      <x:c r="Q38" s="37" t="str">
        <x:v>전체</x:v>
      </x:c>
      <x:c r="R38" s="37" t="str">
        <x:v>서버 권한</x:v>
      </x:c>
      <x:c r="S38" s="37" t="str">
        <x:v>세션</x:v>
      </x:c>
      <x:c r="T38" s="37" t="str">
        <x:v>L</x:v>
      </x:c>
      <x:c r="U38" s="37" t="str">
        <x:v>미착수</x:v>
      </x:c>
      <x:c r="V38" s="42" t="n">
        <x:f>IF(U38="완료",1,IF(U38="QA 진행 중",0.8,IF(U38="코드 리뷰",0.65,IF(U38="구현 중",0.4,IF(U38="사양 확인 중",0.1,IF(U38="차단",0.4,0))))))</x:f>
        <x:v>0</x:v>
      </x:c>
      <x:c r="W38" s="37" t="str">
        <x:v>미정</x:v>
      </x:c>
      <x:c r="X38" s="40"/>
      <x:c r="Y38" s="37" t="str">
        <x:v>IGM-014,SET-018</x:v>
      </x:c>
      <x:c r="Z38" s="37" t="str">
        <x:v>높음</x:v>
      </x:c>
      <x:c r="AA38" s="37" t="str">
        <x:v>경계값</x:v>
      </x:c>
      <x:c r="AB38" s="37" t="str">
        <x:v>TC-IGM-037-01</x:v>
      </x:c>
      <x:c r="AC38" s="37"/>
      <x:c r="AD38" s="37" t="str">
        <x:v>게임 기획서</x:v>
      </x:c>
      <x:c r="AE38" s="37"/>
      <x:c r="AF38" s="40" t="str">
        <x:v>2026-07-10</x:v>
      </x:c>
      <x:c r="AG38" s="37"/>
      <x:c r="AH38" s="49"/>
      <x:c r="AI38" s="49"/>
      <x:c r="AJ38" s="48" t="str">
        <x:v>착수 전</x:v>
      </x:c>
    </x:row>
    <x:row r="39" ht="42" customHeight="1">
      <x:c r="A39" s="37" t="str">
        <x:v>IGM-038</x:v>
      </x:c>
      <x:c r="B39" s="37" t="str">
        <x:v>인게임·게임플레이</x:v>
      </x:c>
      <x:c r="C39" s="37" t="str">
        <x:v>확장</x:v>
      </x:c>
      <x:c r="D39" s="37" t="str">
        <x:v>마피아 조수</x:v>
      </x:c>
      <x:c r="E39" s="37" t="str">
        <x:v>마피아 조수 임명·지속 승패</x:v>
      </x:c>
      <x:c r="F39" s="37" t="str">
        <x:v>게임 규칙, 운영 요구사항과 대상 플랫폼 제약을 충족하도록 마피아 조수 임명·지속 승패 기능을 구현하고 검증한다.</x:v>
      </x:c>
      <x:c r="G39" s="37" t="str">
        <x:v>6명 이상에서 첫날 낮에 시민 1명을 비밀리에 임명하고, 마피아 추방 후에도 조수가 생존하면 게임을 계속한다. 사망한 마피아의 정보 열람은 제한한다.</x:v>
      </x:c>
      <x:c r="H39" s="37" t="str">
        <x:v>구현, 코드 리뷰, 사양 갱신, 대상 QA 케이스 실행, 로그·텔레메트리 확인과 관련 플랫폼 검증을 완료하고 미해결 P0·P1 결함이 없다.</x:v>
      </x:c>
      <x:c r="I39" s="37" t="str">
        <x:v>출시 후</x:v>
      </x:c>
      <x:c r="J39" s="37" t="str">
        <x:v>P3</x:v>
      </x:c>
      <x:c r="K39" s="37" t="str">
        <x:v>조건부</x:v>
      </x:c>
      <x:c r="L39" s="37" t="str">
        <x:v>확장</x:v>
      </x:c>
      <x:c r="M39" s="37" t="str">
        <x:v>출시 후</x:v>
      </x:c>
      <x:c r="N39" s="37" t="str">
        <x:v>게임플레이 엔지니어링</x:v>
      </x:c>
      <x:c r="O39" s="37" t="str">
        <x:v>미정</x:v>
      </x:c>
      <x:c r="P39" s="37" t="str">
        <x:v>미정</x:v>
      </x:c>
      <x:c r="Q39" s="37" t="str">
        <x:v>전체</x:v>
      </x:c>
      <x:c r="R39" s="37" t="str">
        <x:v>서버 권한</x:v>
      </x:c>
      <x:c r="S39" s="37" t="str">
        <x:v>매치</x:v>
      </x:c>
      <x:c r="T39" s="37" t="str">
        <x:v>XL</x:v>
      </x:c>
      <x:c r="U39" s="37" t="str">
        <x:v>미착수</x:v>
      </x:c>
      <x:c r="V39" s="42" t="n">
        <x:f>IF(U39="완료",1,IF(U39="QA 진행 중",0.8,IF(U39="코드 리뷰",0.65,IF(U39="구현 중",0.4,IF(U39="사양 확인 중",0.1,IF(U39="차단",0.4,0))))))</x:f>
        <x:v>0</x:v>
      </x:c>
      <x:c r="W39" s="37" t="str">
        <x:v>미정</x:v>
      </x:c>
      <x:c r="X39" s="40"/>
      <x:c r="Y39" s="37" t="str">
        <x:v>IGM-002,IGM-026,AUD-020</x:v>
      </x:c>
      <x:c r="Z39" s="37" t="str">
        <x:v>높음</x:v>
      </x:c>
      <x:c r="AA39" s="37" t="str">
        <x:v>보안</x:v>
      </x:c>
      <x:c r="AB39" s="37" t="str">
        <x:v>TC-IGM-038-01</x:v>
      </x:c>
      <x:c r="AC39" s="37"/>
      <x:c r="AD39" s="37" t="str">
        <x:v>게임 기획서</x:v>
      </x:c>
      <x:c r="AE39" s="37"/>
      <x:c r="AF39" s="40" t="str">
        <x:v>2026-07-10</x:v>
      </x:c>
      <x:c r="AG39" s="37"/>
      <x:c r="AH39" s="49"/>
      <x:c r="AI39" s="49"/>
      <x:c r="AJ39" s="48" t="str">
        <x:v>착수 전</x:v>
      </x:c>
    </x:row>
    <x:row r="40" ht="42" customHeight="1">
      <x:c r="A40" s="37" t="str">
        <x:v>UIX-001</x:v>
      </x:c>
      <x:c r="B40" s="37" t="str">
        <x:v>UI·UX</x:v>
      </x:c>
      <x:c r="C40" s="37" t="str">
        <x:v>UX 기반</x:v>
      </x:c>
      <x:c r="D40" s="37" t="str">
        <x:v>디자인 시스템</x:v>
      </x:c>
      <x:c r="E40" s="37" t="str">
        <x:v>게임 UI 디자인 시스템·토큰</x:v>
      </x:c>
      <x:c r="F40" s="37" t="str">
        <x:v>게임 규칙, 운영 요구사항과 대상 플랫폼 제약을 충족하도록 게임 UI 디자인 시스템·토큰 기능을 구현하고 검증한다.</x:v>
      </x:c>
      <x:c r="G40" s="37" t="str">
        <x:v>색상, 타이포그래피, 여백, 포커스, 상태 색상, 경고 계층, 아이콘 규칙을 정의하고 주요 화면이 공통 컴포넌트를 사용한다.</x:v>
      </x:c>
      <x:c r="H40" s="37" t="str">
        <x:v>구현, 코드 리뷰, 사양 갱신, 대상 QA 케이스 실행, 로그·텔레메트리 확인과 관련 플랫폼 검증을 완료하고 미해결 P0·P1 결함이 없다.</x:v>
      </x:c>
      <x:c r="I40" s="37" t="str">
        <x:v>MVP</x:v>
      </x:c>
      <x:c r="J40" s="37" t="str">
        <x:v>P0</x:v>
      </x:c>
      <x:c r="K40" s="37" t="str">
        <x:v>필수</x:v>
      </x:c>
      <x:c r="L40" s="37" t="str">
        <x:v>UX 기반</x:v>
      </x:c>
      <x:c r="M40" s="37" t="str">
        <x:v>MVP</x:v>
      </x:c>
      <x:c r="N40" s="37" t="str">
        <x:v>UI·UX 팀</x:v>
      </x:c>
      <x:c r="O40" s="37" t="str">
        <x:v>미정</x:v>
      </x:c>
      <x:c r="P40" s="37" t="str">
        <x:v>미정</x:v>
      </x:c>
      <x:c r="Q40" s="37" t="str">
        <x:v>전체</x:v>
      </x:c>
      <x:c r="R40" s="37" t="str">
        <x:v>콘텐츠 데이터</x:v>
      </x:c>
      <x:c r="S40" s="37" t="str">
        <x:v>없음</x:v>
      </x:c>
      <x:c r="T40" s="37" t="str">
        <x:v>L</x:v>
      </x:c>
      <x:c r="U40" s="37" t="str">
        <x:v>미착수</x:v>
      </x:c>
      <x:c r="V40" s="42" t="n">
        <x:f>IF(U40="완료",1,IF(U40="QA 진행 중",0.8,IF(U40="코드 리뷰",0.65,IF(U40="구현 중",0.4,IF(U40="사양 확인 중",0.1,IF(U40="차단",0.4,0))))))</x:f>
        <x:v>0</x:v>
      </x:c>
      <x:c r="W40" s="37" t="str">
        <x:v>미정</x:v>
      </x:c>
      <x:c r="X40" s="40"/>
      <x:c r="Y40" s="37"/>
      <x:c r="Z40" s="37" t="str">
        <x:v>중간</x:v>
      </x:c>
      <x:c r="AA40" s="37" t="str">
        <x:v>사용성</x:v>
      </x:c>
      <x:c r="AB40" s="37" t="str">
        <x:v>TC-UIX-001-01, TC-UIX-001-02</x:v>
      </x:c>
      <x:c r="AC40" s="37"/>
      <x:c r="AD40" s="37" t="str">
        <x:v>게임 기획서 / 캐릭터 사양서</x:v>
      </x:c>
      <x:c r="AE40" s="37"/>
      <x:c r="AF40" s="40" t="str">
        <x:v>2026-07-10</x:v>
      </x:c>
      <x:c r="AG40" s="37"/>
      <x:c r="AH40" s="49"/>
      <x:c r="AI40" s="49"/>
      <x:c r="AJ40" s="48" t="str">
        <x:v>착수 전</x:v>
      </x:c>
    </x:row>
    <x:row r="41" ht="42" customHeight="1">
      <x:c r="A41" s="37" t="str">
        <x:v>UIX-002</x:v>
      </x:c>
      <x:c r="B41" s="37" t="str">
        <x:v>UI·UX</x:v>
      </x:c>
      <x:c r="C41" s="37" t="str">
        <x:v>UX 기반</x:v>
      </x:c>
      <x:c r="D41" s="37" t="str">
        <x:v>화면 탐색</x:v>
      </x:c>
      <x:c r="E41" s="37" t="str">
        <x:v>화면 전환·뒤로 가기·모달 공통 제어</x:v>
      </x:c>
      <x:c r="F41" s="37" t="str">
        <x:v>게임 규칙, 운영 요구사항과 대상 플랫폼 제약을 충족하도록 화면 전환·뒤로 가기·모달 공통 제어 기능을 구현하고 검증한다.</x:v>
      </x:c>
      <x:c r="G41" s="37" t="str">
        <x:v>타이틀, 로비, 설정, 매치, 결과 화면의 전환이 입력 방식과 관계없이 일관되며 모달 중첩이나 뒤로 가기 경로 상실이 발생하지 않는다.</x:v>
      </x:c>
      <x:c r="H41" s="37" t="str">
        <x:v>구현, 코드 리뷰, 사양 갱신, 대상 QA 케이스 실행, 로그·텔레메트리 확인과 관련 플랫폼 검증을 완료하고 미해결 P0·P1 결함이 없다.</x:v>
      </x:c>
      <x:c r="I41" s="37" t="str">
        <x:v>MVP</x:v>
      </x:c>
      <x:c r="J41" s="37" t="str">
        <x:v>P0</x:v>
      </x:c>
      <x:c r="K41" s="37" t="str">
        <x:v>필수</x:v>
      </x:c>
      <x:c r="L41" s="37" t="str">
        <x:v>UX 기반</x:v>
      </x:c>
      <x:c r="M41" s="37" t="str">
        <x:v>MVP</x:v>
      </x:c>
      <x:c r="N41" s="37" t="str">
        <x:v>UI·UX 팀</x:v>
      </x:c>
      <x:c r="O41" s="37" t="str">
        <x:v>미정</x:v>
      </x:c>
      <x:c r="P41" s="37" t="str">
        <x:v>미정</x:v>
      </x:c>
      <x:c r="Q41" s="37" t="str">
        <x:v>전체</x:v>
      </x:c>
      <x:c r="R41" s="37" t="str">
        <x:v>클라이언트 로컬</x:v>
      </x:c>
      <x:c r="S41" s="37" t="str">
        <x:v>없음</x:v>
      </x:c>
      <x:c r="T41" s="37" t="str">
        <x:v>M</x:v>
      </x:c>
      <x:c r="U41" s="37" t="str">
        <x:v>미착수</x:v>
      </x:c>
      <x:c r="V41" s="42" t="n">
        <x:f>IF(U41="완료",1,IF(U41="QA 진행 중",0.8,IF(U41="코드 리뷰",0.65,IF(U41="구현 중",0.4,IF(U41="사양 확인 중",0.1,IF(U41="차단",0.4,0))))))</x:f>
        <x:v>0</x:v>
      </x:c>
      <x:c r="W41" s="37" t="str">
        <x:v>미정</x:v>
      </x:c>
      <x:c r="X41" s="40"/>
      <x:c r="Y41" s="37" t="str">
        <x:v>UIX-001</x:v>
      </x:c>
      <x:c r="Z41" s="37" t="str">
        <x:v>중간</x:v>
      </x:c>
      <x:c r="AA41" s="37" t="str">
        <x:v>기능</x:v>
      </x:c>
      <x:c r="AB41" s="37" t="str">
        <x:v>TC-UIX-002-01, TC-UIX-002-02</x:v>
      </x:c>
      <x:c r="AC41" s="37"/>
      <x:c r="AD41" s="37" t="str">
        <x:v>게임 기획서</x:v>
      </x:c>
      <x:c r="AE41" s="37"/>
      <x:c r="AF41" s="40" t="str">
        <x:v>2026-07-10</x:v>
      </x:c>
      <x:c r="AG41" s="37"/>
      <x:c r="AH41" s="49"/>
      <x:c r="AI41" s="49"/>
      <x:c r="AJ41" s="48" t="str">
        <x:v>착수 전</x:v>
      </x:c>
    </x:row>
    <x:row r="42" ht="42" customHeight="1">
      <x:c r="A42" s="37" t="str">
        <x:v>UIX-003</x:v>
      </x:c>
      <x:c r="B42" s="37" t="str">
        <x:v>UI·UX</x:v>
      </x:c>
      <x:c r="C42" s="37" t="str">
        <x:v>프런트엔드</x:v>
      </x:c>
      <x:c r="D42" s="37" t="str">
        <x:v>실행·타이틀</x:v>
      </x:c>
      <x:c r="E42" s="37" t="str">
        <x:v>부팅·타이틀·연결 상태 화면</x:v>
      </x:c>
      <x:c r="F42" s="37" t="str">
        <x:v>게임 규칙, 운영 요구사항과 대상 플랫폼 제약을 충족하도록 부팅·타이틀·연결 상태 화면 기능을 구현하고 검증한다.</x:v>
      </x:c>
      <x:c r="G42" s="37" t="str">
        <x:v>초기화, 인증, 서비스 연결, 점검, 오프라인 상태를 구분해 표시하고 재시도 또는 종료 경로를 제공한다.</x:v>
      </x:c>
      <x:c r="H42" s="37" t="str">
        <x:v>구현, 코드 리뷰, 사양 갱신, 대상 QA 케이스 실행, 로그·텔레메트리 확인과 관련 플랫폼 검증을 완료하고 미해결 P0·P1 결함이 없다.</x:v>
      </x:c>
      <x:c r="I42" s="37" t="str">
        <x:v>MVP</x:v>
      </x:c>
      <x:c r="J42" s="37" t="str">
        <x:v>P0</x:v>
      </x:c>
      <x:c r="K42" s="37" t="str">
        <x:v>필수</x:v>
      </x:c>
      <x:c r="L42" s="37" t="str">
        <x:v>실행</x:v>
      </x:c>
      <x:c r="M42" s="37" t="str">
        <x:v>MVP</x:v>
      </x:c>
      <x:c r="N42" s="37" t="str">
        <x:v>UI·UX 팀</x:v>
      </x:c>
      <x:c r="O42" s="37" t="str">
        <x:v>미정</x:v>
      </x:c>
      <x:c r="P42" s="37" t="str">
        <x:v>미정</x:v>
      </x:c>
      <x:c r="Q42" s="37" t="str">
        <x:v>전체</x:v>
      </x:c>
      <x:c r="R42" s="37" t="str">
        <x:v>클라이언트 로컬</x:v>
      </x:c>
      <x:c r="S42" s="37" t="str">
        <x:v>없음</x:v>
      </x:c>
      <x:c r="T42" s="37" t="str">
        <x:v>M</x:v>
      </x:c>
      <x:c r="U42" s="37" t="str">
        <x:v>미착수</x:v>
      </x:c>
      <x:c r="V42" s="42" t="n">
        <x:f>IF(U42="완료",1,IF(U42="QA 진행 중",0.8,IF(U42="코드 리뷰",0.65,IF(U42="구현 중",0.4,IF(U42="사양 확인 중",0.1,IF(U42="차단",0.4,0))))))</x:f>
        <x:v>0</x:v>
      </x:c>
      <x:c r="W42" s="37" t="str">
        <x:v>미정</x:v>
      </x:c>
      <x:c r="X42" s="40"/>
      <x:c r="Y42" s="37" t="str">
        <x:v>ONL-001,BED-001</x:v>
      </x:c>
      <x:c r="Z42" s="37" t="str">
        <x:v>중간</x:v>
      </x:c>
      <x:c r="AA42" s="37" t="str">
        <x:v>통합</x:v>
      </x:c>
      <x:c r="AB42" s="37" t="str">
        <x:v>TC-UIX-003-01, TC-UIX-003-02</x:v>
      </x:c>
      <x:c r="AC42" s="37"/>
      <x:c r="AD42" s="37" t="str">
        <x:v>게임 기획서</x:v>
      </x:c>
      <x:c r="AE42" s="37"/>
      <x:c r="AF42" s="40" t="str">
        <x:v>2026-07-10</x:v>
      </x:c>
      <x:c r="AG42" s="37"/>
      <x:c r="AH42" s="49"/>
      <x:c r="AI42" s="49"/>
      <x:c r="AJ42" s="48" t="str">
        <x:v>착수 전</x:v>
      </x:c>
    </x:row>
    <x:row r="43" ht="42" customHeight="1">
      <x:c r="A43" s="37" t="str">
        <x:v>UIX-004</x:v>
      </x:c>
      <x:c r="B43" s="37" t="str">
        <x:v>UI·UX</x:v>
      </x:c>
      <x:c r="C43" s="37" t="str">
        <x:v>프런트엔드</x:v>
      </x:c>
      <x:c r="D43" s="37" t="str">
        <x:v>로비 탐색</x:v>
      </x:c>
      <x:c r="E43" s="37" t="str">
        <x:v>공개 룸·매치메이킹 진입 화면</x:v>
      </x:c>
      <x:c r="F43" s="37" t="str">
        <x:v>게임 규칙, 운영 요구사항과 대상 플랫폼 제약을 충족하도록 공개 룸·매치메이킹 진입 화면 기능을 구현하고 검증한다.</x:v>
      </x:c>
      <x:c r="G43" s="37" t="str">
        <x:v>공개 검색, 비공개 코드, 초대, 취소 진입점을 명확하게 제공하고 사용할 수 없는 모드는 이유와 함께 비활성화한다.</x:v>
      </x:c>
      <x:c r="H43" s="37" t="str">
        <x:v>구현, 코드 리뷰, 사양 갱신, 대상 QA 케이스 실행, 로그·텔레메트리 확인과 관련 플랫폼 검증을 완료하고 미해결 P0·P1 결함이 없다.</x:v>
      </x:c>
      <x:c r="I43" s="37" t="str">
        <x:v>알파</x:v>
      </x:c>
      <x:c r="J43" s="37" t="str">
        <x:v>P1</x:v>
      </x:c>
      <x:c r="K43" s="37" t="str">
        <x:v>필수</x:v>
      </x:c>
      <x:c r="L43" s="37" t="str">
        <x:v>온라인 UX</x:v>
      </x:c>
      <x:c r="M43" s="37" t="str">
        <x:v>알파</x:v>
      </x:c>
      <x:c r="N43" s="37" t="str">
        <x:v>UI·UX 팀</x:v>
      </x:c>
      <x:c r="O43" s="37" t="str">
        <x:v>미정</x:v>
      </x:c>
      <x:c r="P43" s="37" t="str">
        <x:v>미정</x:v>
      </x:c>
      <x:c r="Q43" s="37" t="str">
        <x:v>전체</x:v>
      </x:c>
      <x:c r="R43" s="37" t="str">
        <x:v>클라이언트 로컬</x:v>
      </x:c>
      <x:c r="S43" s="37" t="str">
        <x:v>없음</x:v>
      </x:c>
      <x:c r="T43" s="37" t="str">
        <x:v>M</x:v>
      </x:c>
      <x:c r="U43" s="37" t="str">
        <x:v>미착수</x:v>
      </x:c>
      <x:c r="V43" s="42" t="n">
        <x:f>IF(U43="완료",1,IF(U43="QA 진행 중",0.8,IF(U43="코드 리뷰",0.65,IF(U43="구현 중",0.4,IF(U43="사양 확인 중",0.1,IF(U43="차단",0.4,0))))))</x:f>
        <x:v>0</x:v>
      </x:c>
      <x:c r="W43" s="37" t="str">
        <x:v>미정</x:v>
      </x:c>
      <x:c r="X43" s="40"/>
      <x:c r="Y43" s="37" t="str">
        <x:v>ONL-004,ONL-006</x:v>
      </x:c>
      <x:c r="Z43" s="37" t="str">
        <x:v>중간</x:v>
      </x:c>
      <x:c r="AA43" s="37" t="str">
        <x:v>사용성</x:v>
      </x:c>
      <x:c r="AB43" s="37" t="str">
        <x:v>TC-UIX-004-01</x:v>
      </x:c>
      <x:c r="AC43" s="37"/>
      <x:c r="AD43" s="37" t="str">
        <x:v>게임 기획서</x:v>
      </x:c>
      <x:c r="AE43" s="37"/>
      <x:c r="AF43" s="40" t="str">
        <x:v>2026-07-10</x:v>
      </x:c>
      <x:c r="AG43" s="37"/>
      <x:c r="AH43" s="49"/>
      <x:c r="AI43" s="49"/>
      <x:c r="AJ43" s="48" t="str">
        <x:v>착수 전</x:v>
      </x:c>
    </x:row>
    <x:row r="44" ht="42" customHeight="1">
      <x:c r="A44" s="37" t="str">
        <x:v>UIX-005</x:v>
      </x:c>
      <x:c r="B44" s="37" t="str">
        <x:v>UI·UX</x:v>
      </x:c>
      <x:c r="C44" s="37" t="str">
        <x:v>프런트엔드</x:v>
      </x:c>
      <x:c r="D44" s="37" t="str">
        <x:v>룸 생성</x:v>
      </x:c>
      <x:c r="E44" s="37" t="str">
        <x:v>룸 생성 화면</x:v>
      </x:c>
      <x:c r="F44" s="37" t="str">
        <x:v>게임 규칙, 운영 요구사항과 대상 플랫폼 제약을 충족하도록 룸 생성 화면 기능을 구현하고 검증한다.</x:v>
      </x:c>
      <x:c r="G44" s="37" t="str">
        <x:v>기본 프리셋, 공개 범위, 지역, 최대 인원, 상세 설정 진입점을 표시하고 유효하지 않은 값에서는 생성 요청을 전송하지 않는다.</x:v>
      </x:c>
      <x:c r="H44" s="37" t="str">
        <x:v>구현, 코드 리뷰, 사양 갱신, 대상 QA 케이스 실행, 로그·텔레메트리 확인과 관련 플랫폼 검증을 완료하고 미해결 P0·P1 결함이 없다.</x:v>
      </x:c>
      <x:c r="I44" s="37" t="str">
        <x:v>MVP</x:v>
      </x:c>
      <x:c r="J44" s="37" t="str">
        <x:v>P0</x:v>
      </x:c>
      <x:c r="K44" s="37" t="str">
        <x:v>필수</x:v>
      </x:c>
      <x:c r="L44" s="37" t="str">
        <x:v>온라인 UX</x:v>
      </x:c>
      <x:c r="M44" s="37" t="str">
        <x:v>MVP</x:v>
      </x:c>
      <x:c r="N44" s="37" t="str">
        <x:v>UI·UX 팀</x:v>
      </x:c>
      <x:c r="O44" s="37" t="str">
        <x:v>미정</x:v>
      </x:c>
      <x:c r="P44" s="37" t="str">
        <x:v>미정</x:v>
      </x:c>
      <x:c r="Q44" s="37" t="str">
        <x:v>전체</x:v>
      </x:c>
      <x:c r="R44" s="37" t="str">
        <x:v>클라이언트 로컬</x:v>
      </x:c>
      <x:c r="S44" s="37" t="str">
        <x:v>단말 로컬</x:v>
      </x:c>
      <x:c r="T44" s="37" t="str">
        <x:v>L</x:v>
      </x:c>
      <x:c r="U44" s="37" t="str">
        <x:v>미착수</x:v>
      </x:c>
      <x:c r="V44" s="42" t="n">
        <x:f>IF(U44="완료",1,IF(U44="QA 진행 중",0.8,IF(U44="코드 리뷰",0.65,IF(U44="구현 중",0.4,IF(U44="사양 확인 중",0.1,IF(U44="차단",0.4,0))))))</x:f>
        <x:v>0</x:v>
      </x:c>
      <x:c r="W44" s="37" t="str">
        <x:v>미정</x:v>
      </x:c>
      <x:c r="X44" s="40"/>
      <x:c r="Y44" s="37" t="str">
        <x:v>SET-009,ONL-004</x:v>
      </x:c>
      <x:c r="Z44" s="37" t="str">
        <x:v>중간</x:v>
      </x:c>
      <x:c r="AA44" s="37" t="str">
        <x:v>기능</x:v>
      </x:c>
      <x:c r="AB44" s="37" t="str">
        <x:v>TC-UIX-005-01, TC-UIX-005-02</x:v>
      </x:c>
      <x:c r="AC44" s="37"/>
      <x:c r="AD44" s="37" t="str">
        <x:v>게임 기획서</x:v>
      </x:c>
      <x:c r="AE44" s="37"/>
      <x:c r="AF44" s="40" t="str">
        <x:v>2026-07-10</x:v>
      </x:c>
      <x:c r="AG44" s="37"/>
      <x:c r="AH44" s="49"/>
      <x:c r="AI44" s="49"/>
      <x:c r="AJ44" s="48" t="str">
        <x:v>착수 전</x:v>
      </x:c>
    </x:row>
    <x:row r="45" ht="42" customHeight="1">
      <x:c r="A45" s="37" t="str">
        <x:v>UIX-006</x:v>
      </x:c>
      <x:c r="B45" s="37" t="str">
        <x:v>UI·UX</x:v>
      </x:c>
      <x:c r="C45" s="37" t="str">
        <x:v>프런트엔드</x:v>
      </x:c>
      <x:c r="D45" s="37" t="str">
        <x:v>룸 참가</x:v>
      </x:c>
      <x:c r="E45" s="37" t="str">
        <x:v>룸 코드 입력·참가 화면</x:v>
      </x:c>
      <x:c r="F45" s="37" t="str">
        <x:v>게임 규칙, 운영 요구사항과 대상 플랫폼 제약을 충족하도록 룸 코드 입력·참가 화면 기능을 구현하고 검증한다.</x:v>
      </x:c>
      <x:c r="G45" s="37" t="str">
        <x:v>코드 입력, 붙여넣기, 자릿수 검증, 참가 진행 상태를 제공하고 만원, 만료, 버전 불일치 오류를 개별적으로 표시한다.</x:v>
      </x:c>
      <x:c r="H45" s="37" t="str">
        <x:v>구현, 코드 리뷰, 사양 갱신, 대상 QA 케이스 실행, 로그·텔레메트리 확인과 관련 플랫폼 검증을 완료하고 미해결 P0·P1 결함이 없다.</x:v>
      </x:c>
      <x:c r="I45" s="37" t="str">
        <x:v>MVP</x:v>
      </x:c>
      <x:c r="J45" s="37" t="str">
        <x:v>P0</x:v>
      </x:c>
      <x:c r="K45" s="37" t="str">
        <x:v>필수</x:v>
      </x:c>
      <x:c r="L45" s="37" t="str">
        <x:v>온라인 UX</x:v>
      </x:c>
      <x:c r="M45" s="37" t="str">
        <x:v>MVP</x:v>
      </x:c>
      <x:c r="N45" s="37" t="str">
        <x:v>UI·UX 팀</x:v>
      </x:c>
      <x:c r="O45" s="37" t="str">
        <x:v>미정</x:v>
      </x:c>
      <x:c r="P45" s="37" t="str">
        <x:v>미정</x:v>
      </x:c>
      <x:c r="Q45" s="37" t="str">
        <x:v>전체</x:v>
      </x:c>
      <x:c r="R45" s="37" t="str">
        <x:v>클라이언트 로컬</x:v>
      </x:c>
      <x:c r="S45" s="37" t="str">
        <x:v>없음</x:v>
      </x:c>
      <x:c r="T45" s="37" t="str">
        <x:v>M</x:v>
      </x:c>
      <x:c r="U45" s="37" t="str">
        <x:v>미착수</x:v>
      </x:c>
      <x:c r="V45" s="42" t="n">
        <x:f>IF(U45="완료",1,IF(U45="QA 진행 중",0.8,IF(U45="코드 리뷰",0.65,IF(U45="구현 중",0.4,IF(U45="사양 확인 중",0.1,IF(U45="차단",0.4,0))))))</x:f>
        <x:v>0</x:v>
      </x:c>
      <x:c r="W45" s="37" t="str">
        <x:v>미정</x:v>
      </x:c>
      <x:c r="X45" s="40"/>
      <x:c r="Y45" s="37" t="str">
        <x:v>ONL-006,ONL-020</x:v>
      </x:c>
      <x:c r="Z45" s="37" t="str">
        <x:v>중간</x:v>
      </x:c>
      <x:c r="AA45" s="37" t="str">
        <x:v>경계값</x:v>
      </x:c>
      <x:c r="AB45" s="37" t="str">
        <x:v>TC-UIX-006-01, TC-UIX-006-02</x:v>
      </x:c>
      <x:c r="AC45" s="37"/>
      <x:c r="AD45" s="37" t="str">
        <x:v>게임 기획서</x:v>
      </x:c>
      <x:c r="AE45" s="37"/>
      <x:c r="AF45" s="40" t="str">
        <x:v>2026-07-10</x:v>
      </x:c>
      <x:c r="AG45" s="37"/>
      <x:c r="AH45" s="49"/>
      <x:c r="AI45" s="49"/>
      <x:c r="AJ45" s="48" t="str">
        <x:v>착수 전</x:v>
      </x:c>
    </x:row>
    <x:row r="46" ht="42" customHeight="1">
      <x:c r="A46" s="37" t="str">
        <x:v>UIX-007</x:v>
      </x:c>
      <x:c r="B46" s="37" t="str">
        <x:v>UI·UX</x:v>
      </x:c>
      <x:c r="C46" s="37" t="str">
        <x:v>로비</x:v>
      </x:c>
      <x:c r="D46" s="37" t="str">
        <x:v>참가자 목록</x:v>
      </x:c>
      <x:c r="E46" s="37" t="str">
        <x:v>로비 참가자·색상·상태 표시</x:v>
      </x:c>
      <x:c r="F46" s="37" t="str">
        <x:v>게임 규칙, 운영 요구사항과 대상 플랫폼 제약을 충족하도록 로비 참가자·색상·상태 표시 기능을 구현하고 검증한다.</x:v>
      </x:c>
      <x:c r="G46" s="37" t="str">
        <x:v>참가자 이름, 색상, 준비 상태, 연결 품질, 호스트·관리 권한을 표시하되 역할이나 비공개 정보는 표시하지 않는다.</x:v>
      </x:c>
      <x:c r="H46" s="37" t="str">
        <x:v>구현, 코드 리뷰, 사양 갱신, 대상 QA 케이스 실행, 로그·텔레메트리 확인과 관련 플랫폼 검증을 완료하고 미해결 P0·P1 결함이 없다.</x:v>
      </x:c>
      <x:c r="I46" s="37" t="str">
        <x:v>MVP</x:v>
      </x:c>
      <x:c r="J46" s="37" t="str">
        <x:v>P0</x:v>
      </x:c>
      <x:c r="K46" s="37" t="str">
        <x:v>필수</x:v>
      </x:c>
      <x:c r="L46" s="37" t="str">
        <x:v>온라인 UX</x:v>
      </x:c>
      <x:c r="M46" s="37" t="str">
        <x:v>MVP</x:v>
      </x:c>
      <x:c r="N46" s="37" t="str">
        <x:v>UI·UX 팀</x:v>
      </x:c>
      <x:c r="O46" s="37" t="str">
        <x:v>미정</x:v>
      </x:c>
      <x:c r="P46" s="37" t="str">
        <x:v>미정</x:v>
      </x:c>
      <x:c r="Q46" s="37" t="str">
        <x:v>전체</x:v>
      </x:c>
      <x:c r="R46" s="37" t="str">
        <x:v>클라이언트 로컬</x:v>
      </x:c>
      <x:c r="S46" s="37" t="str">
        <x:v>세션</x:v>
      </x:c>
      <x:c r="T46" s="37" t="str">
        <x:v>M</x:v>
      </x:c>
      <x:c r="U46" s="37" t="str">
        <x:v>미착수</x:v>
      </x:c>
      <x:c r="V46" s="42" t="n">
        <x:f>IF(U46="완료",1,IF(U46="QA 진행 중",0.8,IF(U46="코드 리뷰",0.65,IF(U46="구현 중",0.4,IF(U46="사양 확인 중",0.1,IF(U46="차단",0.4,0))))))</x:f>
        <x:v>0</x:v>
      </x:c>
      <x:c r="W46" s="37" t="str">
        <x:v>미정</x:v>
      </x:c>
      <x:c r="X46" s="40"/>
      <x:c r="Y46" s="37" t="str">
        <x:v>ONL-007,ONL-009</x:v>
      </x:c>
      <x:c r="Z46" s="37" t="str">
        <x:v>중간</x:v>
      </x:c>
      <x:c r="AA46" s="37" t="str">
        <x:v>통합</x:v>
      </x:c>
      <x:c r="AB46" s="37" t="str">
        <x:v>TC-UIX-007-01, TC-UIX-007-02</x:v>
      </x:c>
      <x:c r="AC46" s="37"/>
      <x:c r="AD46" s="37" t="str">
        <x:v>게임 기획서</x:v>
      </x:c>
      <x:c r="AE46" s="37"/>
      <x:c r="AF46" s="40" t="str">
        <x:v>2026-07-10</x:v>
      </x:c>
      <x:c r="AG46" s="37"/>
      <x:c r="AH46" s="49"/>
      <x:c r="AI46" s="49"/>
      <x:c r="AJ46" s="48" t="str">
        <x:v>착수 전</x:v>
      </x:c>
    </x:row>
    <x:row r="47" ht="42" customHeight="1">
      <x:c r="A47" s="37" t="str">
        <x:v>UIX-008</x:v>
      </x:c>
      <x:c r="B47" s="37" t="str">
        <x:v>UI·UX</x:v>
      </x:c>
      <x:c r="C47" s="37" t="str">
        <x:v>로비</x:v>
      </x:c>
      <x:c r="D47" s="37" t="str">
        <x:v>준비·시작</x:v>
      </x:c>
      <x:c r="E47" s="37" t="str">
        <x:v>준비·시작 조건·차단 사유 표시</x:v>
      </x:c>
      <x:c r="F47" s="37" t="str">
        <x:v>게임 규칙, 운영 요구사항과 대상 플랫폼 제약을 충족하도록 준비·시작 조건·차단 사유 표시 기능을 구현하고 검증한다.</x:v>
      </x:c>
      <x:c r="G47" s="37" t="str">
        <x:v>준비 전환, 최소 인원, 설정 오류, 버전 불일치를 표시하고 시작할 수 없는 이유를 호스트에게 명확히 안내한다.</x:v>
      </x:c>
      <x:c r="H47" s="37" t="str">
        <x:v>구현, 코드 리뷰, 사양 갱신, 대상 QA 케이스 실행, 로그·텔레메트리 확인과 관련 플랫폼 검증을 완료하고 미해결 P0·P1 결함이 없다.</x:v>
      </x:c>
      <x:c r="I47" s="37" t="str">
        <x:v>MVP</x:v>
      </x:c>
      <x:c r="J47" s="37" t="str">
        <x:v>P0</x:v>
      </x:c>
      <x:c r="K47" s="37" t="str">
        <x:v>필수</x:v>
      </x:c>
      <x:c r="L47" s="37" t="str">
        <x:v>온라인 UX</x:v>
      </x:c>
      <x:c r="M47" s="37" t="str">
        <x:v>MVP</x:v>
      </x:c>
      <x:c r="N47" s="37" t="str">
        <x:v>UI·UX 팀</x:v>
      </x:c>
      <x:c r="O47" s="37" t="str">
        <x:v>미정</x:v>
      </x:c>
      <x:c r="P47" s="37" t="str">
        <x:v>미정</x:v>
      </x:c>
      <x:c r="Q47" s="37" t="str">
        <x:v>전체</x:v>
      </x:c>
      <x:c r="R47" s="37" t="str">
        <x:v>클라이언트 로컬</x:v>
      </x:c>
      <x:c r="S47" s="37" t="str">
        <x:v>세션</x:v>
      </x:c>
      <x:c r="T47" s="37" t="str">
        <x:v>M</x:v>
      </x:c>
      <x:c r="U47" s="37" t="str">
        <x:v>미착수</x:v>
      </x:c>
      <x:c r="V47" s="42" t="n">
        <x:f>IF(U47="완료",1,IF(U47="QA 진행 중",0.8,IF(U47="코드 리뷰",0.65,IF(U47="구현 중",0.4,IF(U47="사양 확인 중",0.1,IF(U47="차단",0.4,0))))))</x:f>
        <x:v>0</x:v>
      </x:c>
      <x:c r="W47" s="37" t="str">
        <x:v>미정</x:v>
      </x:c>
      <x:c r="X47" s="40"/>
      <x:c r="Y47" s="37" t="str">
        <x:v>ONL-010,ONL-011</x:v>
      </x:c>
      <x:c r="Z47" s="37" t="str">
        <x:v>중간</x:v>
      </x:c>
      <x:c r="AA47" s="37" t="str">
        <x:v>사용성</x:v>
      </x:c>
      <x:c r="AB47" s="37" t="str">
        <x:v>TC-UIX-008-01, TC-UIX-008-02</x:v>
      </x:c>
      <x:c r="AC47" s="37"/>
      <x:c r="AD47" s="37" t="str">
        <x:v>게임 기획서</x:v>
      </x:c>
      <x:c r="AE47" s="37"/>
      <x:c r="AF47" s="40" t="str">
        <x:v>2026-07-10</x:v>
      </x:c>
      <x:c r="AG47" s="37"/>
      <x:c r="AH47" s="49"/>
      <x:c r="AI47" s="49"/>
      <x:c r="AJ47" s="48" t="str">
        <x:v>착수 전</x:v>
      </x:c>
    </x:row>
    <x:row r="48" ht="42" customHeight="1">
      <x:c r="A48" s="37" t="str">
        <x:v>UIX-009</x:v>
      </x:c>
      <x:c r="B48" s="37" t="str">
        <x:v>UI·UX</x:v>
      </x:c>
      <x:c r="C48" s="37" t="str">
        <x:v>매치 HUD</x:v>
      </x:c>
      <x:c r="D48" s="37" t="str">
        <x:v>역할 공개</x:v>
      </x:c>
      <x:c r="E48" s="37" t="str">
        <x:v>본인 전용 역할 공개 화면</x:v>
      </x:c>
      <x:c r="F48" s="37" t="str">
        <x:v>게임 규칙, 운영 요구사항과 대상 플랫폼 제약을 충족하도록 본인 전용 역할 공개 화면 기능을 구현하고 검증한다.</x:v>
      </x:c>
      <x:c r="G48" s="37" t="str">
        <x:v>역할, 승리 조건, 마피아의 색상 위조 능력을 짧은 시간에 이해할 수 있으며 방송 화면, 다른 플레이어 화면, 관전자에게 잘못 노출되지 않는다.</x:v>
      </x:c>
      <x:c r="H48" s="37" t="str">
        <x:v>구현, 코드 리뷰, 사양 갱신, 대상 QA 케이스 실행, 로그·텔레메트리 확인과 관련 플랫폼 검증을 완료하고 미해결 P0·P1 결함이 없다.</x:v>
      </x:c>
      <x:c r="I48" s="37" t="str">
        <x:v>MVP</x:v>
      </x:c>
      <x:c r="J48" s="37" t="str">
        <x:v>P0</x:v>
      </x:c>
      <x:c r="K48" s="37" t="str">
        <x:v>필수</x:v>
      </x:c>
      <x:c r="L48" s="37" t="str">
        <x:v>정보 비공개</x:v>
      </x:c>
      <x:c r="M48" s="37" t="str">
        <x:v>MVP</x:v>
      </x:c>
      <x:c r="N48" s="37" t="str">
        <x:v>UI·UX 팀</x:v>
      </x:c>
      <x:c r="O48" s="37" t="str">
        <x:v>미정</x:v>
      </x:c>
      <x:c r="P48" s="37" t="str">
        <x:v>미정</x:v>
      </x:c>
      <x:c r="Q48" s="37" t="str">
        <x:v>전체</x:v>
      </x:c>
      <x:c r="R48" s="37" t="str">
        <x:v>클라이언트 로컬</x:v>
      </x:c>
      <x:c r="S48" s="37" t="str">
        <x:v>매치</x:v>
      </x:c>
      <x:c r="T48" s="37" t="str">
        <x:v>M</x:v>
      </x:c>
      <x:c r="U48" s="37" t="str">
        <x:v>미착수</x:v>
      </x:c>
      <x:c r="V48" s="42" t="n">
        <x:f>IF(U48="완료",1,IF(U48="QA 진행 중",0.8,IF(U48="코드 리뷰",0.65,IF(U48="구현 중",0.4,IF(U48="사양 확인 중",0.1,IF(U48="차단",0.4,0))))))</x:f>
        <x:v>0</x:v>
      </x:c>
      <x:c r="W48" s="37" t="str">
        <x:v>미정</x:v>
      </x:c>
      <x:c r="X48" s="40"/>
      <x:c r="Y48" s="37" t="str">
        <x:v>IGM-002,NET-018</x:v>
      </x:c>
      <x:c r="Z48" s="37" t="str">
        <x:v>중간</x:v>
      </x:c>
      <x:c r="AA48" s="37" t="str">
        <x:v>보안</x:v>
      </x:c>
      <x:c r="AB48" s="37" t="str">
        <x:v>TC-UIX-009-01, TC-UIX-009-02</x:v>
      </x:c>
      <x:c r="AC48" s="37"/>
      <x:c r="AD48" s="37" t="str">
        <x:v>게임 기획서</x:v>
      </x:c>
      <x:c r="AE48" s="37"/>
      <x:c r="AF48" s="40" t="str">
        <x:v>2026-07-10</x:v>
      </x:c>
      <x:c r="AG48" s="37"/>
      <x:c r="AH48" s="49"/>
      <x:c r="AI48" s="49"/>
      <x:c r="AJ48" s="48" t="str">
        <x:v>착수 전</x:v>
      </x:c>
    </x:row>
    <x:row r="49" ht="42" customHeight="1">
      <x:c r="A49" s="37" t="str">
        <x:v>UIX-010</x:v>
      </x:c>
      <x:c r="B49" s="37" t="str">
        <x:v>UI·UX</x:v>
      </x:c>
      <x:c r="C49" s="37" t="str">
        <x:v>매치 HUD</x:v>
      </x:c>
      <x:c r="D49" s="37" t="str">
        <x:v>페이즈·타이머</x:v>
      </x:c>
      <x:c r="E49" s="37" t="str">
        <x:v>페이즈·일차·남은 시간 HUD</x:v>
      </x:c>
      <x:c r="F49" s="37" t="str">
        <x:v>게임 규칙, 운영 요구사항과 대상 플랫폼 제약을 충족하도록 페이즈·일차·남은 시간 HUD 기능을 구현하고 검증한다.</x:v>
      </x:c>
      <x:c r="G49" s="37" t="str">
        <x:v>낮, 밤 관찰, 밤 투표, 최종 재판을 색상에만 의존하지 않고 표시하며 서버 시간 보정 후에도 1초 이상의 급격한 변화나 역행이 없다.</x:v>
      </x:c>
      <x:c r="H49" s="37" t="str">
        <x:v>구현, 코드 리뷰, 사양 갱신, 대상 QA 케이스 실행, 로그·텔레메트리 확인과 관련 플랫폼 검증을 완료하고 미해결 P0·P1 결함이 없다.</x:v>
      </x:c>
      <x:c r="I49" s="37" t="str">
        <x:v>MVP</x:v>
      </x:c>
      <x:c r="J49" s="37" t="str">
        <x:v>P0</x:v>
      </x:c>
      <x:c r="K49" s="37" t="str">
        <x:v>필수</x:v>
      </x:c>
      <x:c r="L49" s="37" t="str">
        <x:v>HUD</x:v>
      </x:c>
      <x:c r="M49" s="37" t="str">
        <x:v>MVP</x:v>
      </x:c>
      <x:c r="N49" s="37" t="str">
        <x:v>UI·UX 팀</x:v>
      </x:c>
      <x:c r="O49" s="37" t="str">
        <x:v>미정</x:v>
      </x:c>
      <x:c r="P49" s="37" t="str">
        <x:v>미정</x:v>
      </x:c>
      <x:c r="Q49" s="37" t="str">
        <x:v>전체</x:v>
      </x:c>
      <x:c r="R49" s="37" t="str">
        <x:v>클라이언트 로컬</x:v>
      </x:c>
      <x:c r="S49" s="37" t="str">
        <x:v>없음</x:v>
      </x:c>
      <x:c r="T49" s="37" t="str">
        <x:v>M</x:v>
      </x:c>
      <x:c r="U49" s="37" t="str">
        <x:v>미착수</x:v>
      </x:c>
      <x:c r="V49" s="42" t="n">
        <x:f>IF(U49="완료",1,IF(U49="QA 진행 중",0.8,IF(U49="코드 리뷰",0.65,IF(U49="구현 중",0.4,IF(U49="사양 확인 중",0.1,IF(U49="차단",0.4,0))))))</x:f>
        <x:v>0</x:v>
      </x:c>
      <x:c r="W49" s="37" t="str">
        <x:v>미정</x:v>
      </x:c>
      <x:c r="X49" s="40"/>
      <x:c r="Y49" s="37" t="str">
        <x:v>IGM-001,NET-008</x:v>
      </x:c>
      <x:c r="Z49" s="37" t="str">
        <x:v>중간</x:v>
      </x:c>
      <x:c r="AA49" s="37" t="str">
        <x:v>통합</x:v>
      </x:c>
      <x:c r="AB49" s="37" t="str">
        <x:v>TC-UIX-010-01, TC-UIX-010-02</x:v>
      </x:c>
      <x:c r="AC49" s="37"/>
      <x:c r="AD49" s="37" t="str">
        <x:v>게임 기획서</x:v>
      </x:c>
      <x:c r="AE49" s="37"/>
      <x:c r="AF49" s="40" t="str">
        <x:v>2026-07-10</x:v>
      </x:c>
      <x:c r="AG49" s="37"/>
      <x:c r="AH49" s="49"/>
      <x:c r="AI49" s="49"/>
      <x:c r="AJ49" s="48" t="str">
        <x:v>착수 전</x:v>
      </x:c>
    </x:row>
    <x:row r="50" ht="42" customHeight="1">
      <x:c r="A50" s="37" t="str">
        <x:v>UIX-011</x:v>
      </x:c>
      <x:c r="B50" s="37" t="str">
        <x:v>UI·UX</x:v>
      </x:c>
      <x:c r="C50" s="37" t="str">
        <x:v>매치 HUD</x:v>
      </x:c>
      <x:c r="D50" s="37" t="str">
        <x:v>메모 인벤토리</x:v>
      </x:c>
      <x:c r="E50" s="37" t="str">
        <x:v>보유 메모·위조 잔여 횟수 표시</x:v>
      </x:c>
      <x:c r="F50" s="37" t="str">
        <x:v>게임 규칙, 운영 요구사항과 대상 플랫폼 제약을 충족하도록 보유 메모·위조 잔여 횟수 표시 기능을 구현하고 검증한다.</x:v>
      </x:c>
      <x:c r="G50" s="37" t="str">
        <x:v>본인 보유 메모 수를 표시하고 마피아에게만 위조 잔여 횟수를 표시한다. 자신의 등 메모 수량과 내용은 표시하지 않는다.</x:v>
      </x:c>
      <x:c r="H50" s="37" t="str">
        <x:v>구현, 코드 리뷰, 사양 갱신, 대상 QA 케이스 실행, 로그·텔레메트리 확인과 관련 플랫폼 검증을 완료하고 미해결 P0·P1 결함이 없다.</x:v>
      </x:c>
      <x:c r="I50" s="37" t="str">
        <x:v>MVP</x:v>
      </x:c>
      <x:c r="J50" s="37" t="str">
        <x:v>P0</x:v>
      </x:c>
      <x:c r="K50" s="37" t="str">
        <x:v>필수</x:v>
      </x:c>
      <x:c r="L50" s="37" t="str">
        <x:v>정보 비공개</x:v>
      </x:c>
      <x:c r="M50" s="37" t="str">
        <x:v>MVP</x:v>
      </x:c>
      <x:c r="N50" s="37" t="str">
        <x:v>UI·UX 팀</x:v>
      </x:c>
      <x:c r="O50" s="37" t="str">
        <x:v>미정</x:v>
      </x:c>
      <x:c r="P50" s="37" t="str">
        <x:v>미정</x:v>
      </x:c>
      <x:c r="Q50" s="37" t="str">
        <x:v>전체</x:v>
      </x:c>
      <x:c r="R50" s="37" t="str">
        <x:v>클라이언트 로컬</x:v>
      </x:c>
      <x:c r="S50" s="37" t="str">
        <x:v>매치</x:v>
      </x:c>
      <x:c r="T50" s="37" t="str">
        <x:v>M</x:v>
      </x:c>
      <x:c r="U50" s="37" t="str">
        <x:v>미착수</x:v>
      </x:c>
      <x:c r="V50" s="42" t="n">
        <x:f>IF(U50="완료",1,IF(U50="QA 진행 중",0.8,IF(U50="코드 리뷰",0.65,IF(U50="구현 중",0.4,IF(U50="사양 확인 중",0.1,IF(U50="차단",0.4,0))))))</x:f>
        <x:v>0</x:v>
      </x:c>
      <x:c r="W50" s="37" t="str">
        <x:v>미정</x:v>
      </x:c>
      <x:c r="X50" s="40"/>
      <x:c r="Y50" s="37" t="str">
        <x:v>IGM-009,IGM-015,NET-018</x:v>
      </x:c>
      <x:c r="Z50" s="37" t="str">
        <x:v>중간</x:v>
      </x:c>
      <x:c r="AA50" s="37" t="str">
        <x:v>보안</x:v>
      </x:c>
      <x:c r="AB50" s="37" t="str">
        <x:v>TC-UIX-011-01, TC-UIX-011-02</x:v>
      </x:c>
      <x:c r="AC50" s="37"/>
      <x:c r="AD50" s="37" t="str">
        <x:v>게임 기획서</x:v>
      </x:c>
      <x:c r="AE50" s="37"/>
      <x:c r="AF50" s="40" t="str">
        <x:v>2026-07-10</x:v>
      </x:c>
      <x:c r="AG50" s="37"/>
      <x:c r="AH50" s="49"/>
      <x:c r="AI50" s="49"/>
      <x:c r="AJ50" s="48" t="str">
        <x:v>착수 전</x:v>
      </x:c>
    </x:row>
    <x:row r="51" ht="42" customHeight="1">
      <x:c r="A51" s="37" t="str">
        <x:v>UIX-012</x:v>
      </x:c>
      <x:c r="B51" s="37" t="str">
        <x:v>UI·UX</x:v>
      </x:c>
      <x:c r="C51" s="37" t="str">
        <x:v>메모 UX</x:v>
      </x:c>
      <x:c r="D51" s="37" t="str">
        <x:v>제작</x:v>
      </x:c>
      <x:c r="E51" s="37" t="str">
        <x:v>프리셋 메모 작성 패널</x:v>
      </x:c>
      <x:c r="F51" s="37" t="str">
        <x:v>게임 규칙, 운영 요구사항과 대상 플랫폼 제약을 충족하도록 프리셋 메모 작성 패널 기능을 구현하고 검증한다.</x:v>
      </x:c>
      <x:c r="G51" s="37" t="str">
        <x:v>분류, 문구, 표시 색상, 확인, 취소를 게임패드와 키보드·마우스로 조작할 수 있고 MVP에서는 자유 입력·자유 그리기 진입점을 노출하지 않는다.</x:v>
      </x:c>
      <x:c r="H51" s="37" t="str">
        <x:v>구현, 코드 리뷰, 사양 갱신, 대상 QA 케이스 실행, 로그·텔레메트리 확인과 관련 플랫폼 검증을 완료하고 미해결 P0·P1 결함이 없다.</x:v>
      </x:c>
      <x:c r="I51" s="37" t="str">
        <x:v>MVP</x:v>
      </x:c>
      <x:c r="J51" s="37" t="str">
        <x:v>P0</x:v>
      </x:c>
      <x:c r="K51" s="37" t="str">
        <x:v>필수</x:v>
      </x:c>
      <x:c r="L51" s="37" t="str">
        <x:v>메모 UX</x:v>
      </x:c>
      <x:c r="M51" s="37" t="str">
        <x:v>MVP</x:v>
      </x:c>
      <x:c r="N51" s="37" t="str">
        <x:v>UI·UX 팀</x:v>
      </x:c>
      <x:c r="O51" s="37" t="str">
        <x:v>미정</x:v>
      </x:c>
      <x:c r="P51" s="37" t="str">
        <x:v>미정</x:v>
      </x:c>
      <x:c r="Q51" s="37" t="str">
        <x:v>전체</x:v>
      </x:c>
      <x:c r="R51" s="37" t="str">
        <x:v>클라이언트 로컬</x:v>
      </x:c>
      <x:c r="S51" s="37" t="str">
        <x:v>없음</x:v>
      </x:c>
      <x:c r="T51" s="37" t="str">
        <x:v>L</x:v>
      </x:c>
      <x:c r="U51" s="37" t="str">
        <x:v>미착수</x:v>
      </x:c>
      <x:c r="V51" s="42" t="n">
        <x:f>IF(U51="완료",1,IF(U51="QA 진행 중",0.8,IF(U51="코드 리뷰",0.65,IF(U51="구현 중",0.4,IF(U51="사양 확인 중",0.1,IF(U51="차단",0.4,0))))))</x:f>
        <x:v>0</x:v>
      </x:c>
      <x:c r="W51" s="37" t="str">
        <x:v>미정</x:v>
      </x:c>
      <x:c r="X51" s="40"/>
      <x:c r="Y51" s="37" t="str">
        <x:v>IGM-012,SET-016</x:v>
      </x:c>
      <x:c r="Z51" s="37" t="str">
        <x:v>중간</x:v>
      </x:c>
      <x:c r="AA51" s="37" t="str">
        <x:v>사용성</x:v>
      </x:c>
      <x:c r="AB51" s="37" t="str">
        <x:v>TC-UIX-012-01, TC-UIX-012-02</x:v>
      </x:c>
      <x:c r="AC51" s="37"/>
      <x:c r="AD51" s="37" t="str">
        <x:v>게임 기획서</x:v>
      </x:c>
      <x:c r="AE51" s="37"/>
      <x:c r="AF51" s="40" t="str">
        <x:v>2026-07-10</x:v>
      </x:c>
      <x:c r="AG51" s="37"/>
      <x:c r="AH51" s="49"/>
      <x:c r="AI51" s="49"/>
      <x:c r="AJ51" s="48" t="str">
        <x:v>착수 전</x:v>
      </x:c>
    </x:row>
    <x:row r="52" ht="42" customHeight="1">
      <x:c r="A52" s="37" t="str">
        <x:v>UIX-013</x:v>
      </x:c>
      <x:c r="B52" s="37" t="str">
        <x:v>UI·UX</x:v>
      </x:c>
      <x:c r="C52" s="37" t="str">
        <x:v>메모 UX</x:v>
      </x:c>
      <x:c r="D52" s="37" t="str">
        <x:v>위조 색상</x:v>
      </x:c>
      <x:c r="E52" s="37" t="str">
        <x:v>마피아 위조 색상 선택 UI</x:v>
      </x:c>
      <x:c r="F52" s="37" t="str">
        <x:v>게임 규칙, 운영 요구사항과 대상 플랫폼 제약을 충족하도록 마피아 위조 색상 선택 UI 기능을 구현하고 검증한다.</x:v>
      </x:c>
      <x:c r="G52" s="37" t="str">
        <x:v>생존 플레이어의 색상만 선택할 수 있고 잔여 횟수 0회 또는 규칙 비활성화 시 이유와 함께 선택을 막는다. 시민에게는 색상 선택 UI를 표시하지 않는다.</x:v>
      </x:c>
      <x:c r="H52" s="37" t="str">
        <x:v>구현, 코드 리뷰, 사양 갱신, 대상 QA 케이스 실행, 로그·텔레메트리 확인과 관련 플랫폼 검증을 완료하고 미해결 P0·P1 결함이 없다.</x:v>
      </x:c>
      <x:c r="I52" s="37" t="str">
        <x:v>MVP</x:v>
      </x:c>
      <x:c r="J52" s="37" t="str">
        <x:v>P0</x:v>
      </x:c>
      <x:c r="K52" s="37" t="str">
        <x:v>필수</x:v>
      </x:c>
      <x:c r="L52" s="37" t="str">
        <x:v>정보 비공개</x:v>
      </x:c>
      <x:c r="M52" s="37" t="str">
        <x:v>MVP</x:v>
      </x:c>
      <x:c r="N52" s="37" t="str">
        <x:v>UI·UX 팀</x:v>
      </x:c>
      <x:c r="O52" s="37" t="str">
        <x:v>미정</x:v>
      </x:c>
      <x:c r="P52" s="37" t="str">
        <x:v>미정</x:v>
      </x:c>
      <x:c r="Q52" s="37" t="str">
        <x:v>전체</x:v>
      </x:c>
      <x:c r="R52" s="37" t="str">
        <x:v>클라이언트 로컬</x:v>
      </x:c>
      <x:c r="S52" s="37" t="str">
        <x:v>없음</x:v>
      </x:c>
      <x:c r="T52" s="37" t="str">
        <x:v>M</x:v>
      </x:c>
      <x:c r="U52" s="37" t="str">
        <x:v>미착수</x:v>
      </x:c>
      <x:c r="V52" s="42" t="n">
        <x:f>IF(U52="완료",1,IF(U52="QA 진행 중",0.8,IF(U52="코드 리뷰",0.65,IF(U52="구현 중",0.4,IF(U52="사양 확인 중",0.1,IF(U52="차단",0.4,0))))))</x:f>
        <x:v>0</x:v>
      </x:c>
      <x:c r="W52" s="37" t="str">
        <x:v>미정</x:v>
      </x:c>
      <x:c r="X52" s="40"/>
      <x:c r="Y52" s="37" t="str">
        <x:v>IGM-014,IGM-015</x:v>
      </x:c>
      <x:c r="Z52" s="37" t="str">
        <x:v>중간</x:v>
      </x:c>
      <x:c r="AA52" s="37" t="str">
        <x:v>보안</x:v>
      </x:c>
      <x:c r="AB52" s="37" t="str">
        <x:v>TC-UIX-013-01, TC-UIX-013-02</x:v>
      </x:c>
      <x:c r="AC52" s="37"/>
      <x:c r="AD52" s="37" t="str">
        <x:v>게임 기획서</x:v>
      </x:c>
      <x:c r="AE52" s="37"/>
      <x:c r="AF52" s="40" t="str">
        <x:v>2026-07-10</x:v>
      </x:c>
      <x:c r="AG52" s="37"/>
      <x:c r="AH52" s="49"/>
      <x:c r="AI52" s="49"/>
      <x:c r="AJ52" s="48" t="str">
        <x:v>착수 전</x:v>
      </x:c>
    </x:row>
    <x:row r="53" ht="42" customHeight="1">
      <x:c r="A53" s="37" t="str">
        <x:v>UIX-014</x:v>
      </x:c>
      <x:c r="B53" s="37" t="str">
        <x:v>UI·UX</x:v>
      </x:c>
      <x:c r="C53" s="37" t="str">
        <x:v>메모 UX</x:v>
      </x:c>
      <x:c r="D53" s="37" t="str">
        <x:v>월드 표현</x:v>
      </x:c>
      <x:c r="E53" s="37" t="str">
        <x:v>등 메모 거리별 표시·겹침·순서</x:v>
      </x:c>
      <x:c r="F53" s="37" t="str">
        <x:v>게임 규칙, 운영 요구사항과 대상 플랫폼 제약을 충족하도록 등 메모 거리별 표시·겹침·순서 기능을 구현하고 검증한다.</x:v>
      </x:c>
      <x:c r="G53" s="37" t="str">
        <x:v>중거리에서는 색상, 근거리에서는 문구를 읽을 수 있고 최대 6장의 순서를 유지하며 해상도, FOV, 색각 보조 설정에서도 레이아웃이 깨지지 않는다.</x:v>
      </x:c>
      <x:c r="H53" s="37" t="str">
        <x:v>구현, 코드 리뷰, 사양 갱신, 대상 QA 케이스 실행, 로그·텔레메트리 확인과 관련 플랫폼 검증을 완료하고 미해결 P0·P1 결함이 없다.</x:v>
      </x:c>
      <x:c r="I53" s="37" t="str">
        <x:v>MVP</x:v>
      </x:c>
      <x:c r="J53" s="37" t="str">
        <x:v>P0</x:v>
      </x:c>
      <x:c r="K53" s="37" t="str">
        <x:v>필수</x:v>
      </x:c>
      <x:c r="L53" s="37" t="str">
        <x:v>판독성</x:v>
      </x:c>
      <x:c r="M53" s="37" t="str">
        <x:v>MVP</x:v>
      </x:c>
      <x:c r="N53" s="37" t="str">
        <x:v>UI·UX 팀</x:v>
      </x:c>
      <x:c r="O53" s="37" t="str">
        <x:v>미정</x:v>
      </x:c>
      <x:c r="P53" s="37" t="str">
        <x:v>미정</x:v>
      </x:c>
      <x:c r="Q53" s="37" t="str">
        <x:v>전체</x:v>
      </x:c>
      <x:c r="R53" s="37" t="str">
        <x:v>클라이언트 로컬</x:v>
      </x:c>
      <x:c r="S53" s="37" t="str">
        <x:v>없음</x:v>
      </x:c>
      <x:c r="T53" s="37" t="str">
        <x:v>XL</x:v>
      </x:c>
      <x:c r="U53" s="37" t="str">
        <x:v>미착수</x:v>
      </x:c>
      <x:c r="V53" s="42" t="n">
        <x:f>IF(U53="완료",1,IF(U53="QA 진행 중",0.8,IF(U53="코드 리뷰",0.65,IF(U53="구현 중",0.4,IF(U53="사양 확인 중",0.1,IF(U53="차단",0.4,0))))))</x:f>
        <x:v>0</x:v>
      </x:c>
      <x:c r="W53" s="37" t="str">
        <x:v>미정</x:v>
      </x:c>
      <x:c r="X53" s="40"/>
      <x:c r="Y53" s="37" t="str">
        <x:v>IGM-020,IGM-021,CHR-012,SET-024</x:v>
      </x:c>
      <x:c r="Z53" s="37" t="str">
        <x:v>중간</x:v>
      </x:c>
      <x:c r="AA53" s="37" t="str">
        <x:v>접근성</x:v>
      </x:c>
      <x:c r="AB53" s="37" t="str">
        <x:v>TC-UIX-014-01, TC-UIX-014-02</x:v>
      </x:c>
      <x:c r="AC53" s="37"/>
      <x:c r="AD53" s="37" t="str">
        <x:v>게임 기획서</x:v>
      </x:c>
      <x:c r="AE53" s="37"/>
      <x:c r="AF53" s="40" t="str">
        <x:v>2026-07-10</x:v>
      </x:c>
      <x:c r="AG53" s="37"/>
      <x:c r="AH53" s="49"/>
      <x:c r="AI53" s="49"/>
      <x:c r="AJ53" s="48" t="str">
        <x:v>착수 전</x:v>
      </x:c>
    </x:row>
    <x:row r="54" ht="42" customHeight="1">
      <x:c r="A54" s="37" t="str">
        <x:v>UIX-015</x:v>
      </x:c>
      <x:c r="B54" s="37" t="str">
        <x:v>UI·UX</x:v>
      </x:c>
      <x:c r="C54" s="37" t="str">
        <x:v>상호작용</x:v>
      </x:c>
      <x:c r="D54" s="37" t="str">
        <x:v>안내 문구</x:v>
      </x:c>
      <x:c r="E54" s="37" t="str">
        <x:v>메모 부착·미니게임 상호작용 안내</x:v>
      </x:c>
      <x:c r="F54" s="37" t="str">
        <x:v>게임 규칙, 운영 요구사항과 대상 플랫폼 제약을 충족하도록 메모 부착·미니게임 상호작용 안내 기능을 구현하고 검증한다.</x:v>
      </x:c>
      <x:c r="G54" s="37" t="str">
        <x:v>대상, 행동, 필요 조건, 사용할 입력, 실행 불가 사유를 표시하고 정면, 거리 밖, 밤 등 무효 상태에서 잘못된 안내를 제공하지 않는다.</x:v>
      </x:c>
      <x:c r="H54" s="37" t="str">
        <x:v>구현, 코드 리뷰, 사양 갱신, 대상 QA 케이스 실행, 로그·텔레메트리 확인과 관련 플랫폼 검증을 완료하고 미해결 P0·P1 결함이 없다.</x:v>
      </x:c>
      <x:c r="I54" s="37" t="str">
        <x:v>MVP</x:v>
      </x:c>
      <x:c r="J54" s="37" t="str">
        <x:v>P0</x:v>
      </x:c>
      <x:c r="K54" s="37" t="str">
        <x:v>필수</x:v>
      </x:c>
      <x:c r="L54" s="37" t="str">
        <x:v>조작</x:v>
      </x:c>
      <x:c r="M54" s="37" t="str">
        <x:v>MVP</x:v>
      </x:c>
      <x:c r="N54" s="37" t="str">
        <x:v>UI·UX 팀</x:v>
      </x:c>
      <x:c r="O54" s="37" t="str">
        <x:v>미정</x:v>
      </x:c>
      <x:c r="P54" s="37" t="str">
        <x:v>미정</x:v>
      </x:c>
      <x:c r="Q54" s="37" t="str">
        <x:v>전체</x:v>
      </x:c>
      <x:c r="R54" s="37" t="str">
        <x:v>클라이언트 로컬</x:v>
      </x:c>
      <x:c r="S54" s="37" t="str">
        <x:v>없음</x:v>
      </x:c>
      <x:c r="T54" s="37" t="str">
        <x:v>M</x:v>
      </x:c>
      <x:c r="U54" s="37" t="str">
        <x:v>미착수</x:v>
      </x:c>
      <x:c r="V54" s="42" t="n">
        <x:f>IF(U54="완료",1,IF(U54="QA 진행 중",0.8,IF(U54="코드 리뷰",0.65,IF(U54="구현 중",0.4,IF(U54="사양 확인 중",0.1,IF(U54="차단",0.4,0))))))</x:f>
        <x:v>0</x:v>
      </x:c>
      <x:c r="W54" s="37" t="str">
        <x:v>미정</x:v>
      </x:c>
      <x:c r="X54" s="40"/>
      <x:c r="Y54" s="37" t="str">
        <x:v>IGM-016,CNT-020,SET-006</x:v>
      </x:c>
      <x:c r="Z54" s="37" t="str">
        <x:v>중간</x:v>
      </x:c>
      <x:c r="AA54" s="37" t="str">
        <x:v>사용성</x:v>
      </x:c>
      <x:c r="AB54" s="37" t="str">
        <x:v>TC-UIX-015-01, TC-UIX-015-02</x:v>
      </x:c>
      <x:c r="AC54" s="37"/>
      <x:c r="AD54" s="37" t="str">
        <x:v>게임 기획서</x:v>
      </x:c>
      <x:c r="AE54" s="37"/>
      <x:c r="AF54" s="40" t="str">
        <x:v>2026-07-10</x:v>
      </x:c>
      <x:c r="AG54" s="37"/>
      <x:c r="AH54" s="49"/>
      <x:c r="AI54" s="49"/>
      <x:c r="AJ54" s="48" t="str">
        <x:v>착수 전</x:v>
      </x:c>
    </x:row>
    <x:row r="55" ht="42" customHeight="1">
      <x:c r="A55" s="37" t="str">
        <x:v>UIX-016</x:v>
      </x:c>
      <x:c r="B55" s="37" t="str">
        <x:v>UI·UX</x:v>
      </x:c>
      <x:c r="C55" s="37" t="str">
        <x:v>상호작용</x:v>
      </x:c>
      <x:c r="D55" s="37" t="str">
        <x:v>행동 채널링</x:v>
      </x:c>
      <x:c r="E55" s="37" t="str">
        <x:v>메모 부착 진행·취소 사유 표시</x:v>
      </x:c>
      <x:c r="F55" s="37" t="str">
        <x:v>게임 규칙, 운영 요구사항과 대상 플랫폼 제약을 충족하도록 메모 부착 진행·취소 사유 표시 기능을 구현하고 검증한다.</x:v>
      </x:c>
      <x:c r="G55" s="37" t="str">
        <x:v>1.5초 진행도와 취소, 성공, 실패 상태를 표시하며 서버 확정 전에 보유 수량이나 대상의 메모 표시를 선반영하지 않는다.</x:v>
      </x:c>
      <x:c r="H55" s="37" t="str">
        <x:v>구현, 코드 리뷰, 사양 갱신, 대상 QA 케이스 실행, 로그·텔레메트리 확인과 관련 플랫폼 검증을 완료하고 미해결 P0·P1 결함이 없다.</x:v>
      </x:c>
      <x:c r="I55" s="37" t="str">
        <x:v>MVP</x:v>
      </x:c>
      <x:c r="J55" s="37" t="str">
        <x:v>P0</x:v>
      </x:c>
      <x:c r="K55" s="37" t="str">
        <x:v>필수</x:v>
      </x:c>
      <x:c r="L55" s="37" t="str">
        <x:v>메모 UX</x:v>
      </x:c>
      <x:c r="M55" s="37" t="str">
        <x:v>MVP</x:v>
      </x:c>
      <x:c r="N55" s="37" t="str">
        <x:v>UI·UX 팀</x:v>
      </x:c>
      <x:c r="O55" s="37" t="str">
        <x:v>미정</x:v>
      </x:c>
      <x:c r="P55" s="37" t="str">
        <x:v>미정</x:v>
      </x:c>
      <x:c r="Q55" s="37" t="str">
        <x:v>전체</x:v>
      </x:c>
      <x:c r="R55" s="37" t="str">
        <x:v>클라이언트 예측·서버 검증</x:v>
      </x:c>
      <x:c r="S55" s="37" t="str">
        <x:v>없음</x:v>
      </x:c>
      <x:c r="T55" s="37" t="str">
        <x:v>M</x:v>
      </x:c>
      <x:c r="U55" s="37" t="str">
        <x:v>미착수</x:v>
      </x:c>
      <x:c r="V55" s="42" t="n">
        <x:f>IF(U55="완료",1,IF(U55="QA 진행 중",0.8,IF(U55="코드 리뷰",0.65,IF(U55="구현 중",0.4,IF(U55="사양 확인 중",0.1,IF(U55="차단",0.4,0))))))</x:f>
        <x:v>0</x:v>
      </x:c>
      <x:c r="W55" s="37" t="str">
        <x:v>미정</x:v>
      </x:c>
      <x:c r="X55" s="40"/>
      <x:c r="Y55" s="37" t="str">
        <x:v>IGM-017,IGM-018</x:v>
      </x:c>
      <x:c r="Z55" s="37" t="str">
        <x:v>중간</x:v>
      </x:c>
      <x:c r="AA55" s="37" t="str">
        <x:v>통합</x:v>
      </x:c>
      <x:c r="AB55" s="37" t="str">
        <x:v>TC-UIX-016-01, TC-UIX-016-02</x:v>
      </x:c>
      <x:c r="AC55" s="37"/>
      <x:c r="AD55" s="37" t="str">
        <x:v>게임 기획서</x:v>
      </x:c>
      <x:c r="AE55" s="37"/>
      <x:c r="AF55" s="40" t="str">
        <x:v>2026-07-10</x:v>
      </x:c>
      <x:c r="AG55" s="37"/>
      <x:c r="AH55" s="49"/>
      <x:c r="AI55" s="49"/>
      <x:c r="AJ55" s="48" t="str">
        <x:v>착수 전</x:v>
      </x:c>
    </x:row>
    <x:row r="56" ht="42" customHeight="1">
      <x:c r="A56" s="37" t="str">
        <x:v>UIX-017</x:v>
      </x:c>
      <x:c r="B56" s="37" t="str">
        <x:v>UI·UX</x:v>
      </x:c>
      <x:c r="C56" s="37" t="str">
        <x:v>미니게임 UX</x:v>
      </x:c>
      <x:c r="D56" s="37" t="str">
        <x:v>공통 화면 틀</x:v>
      </x:c>
      <x:c r="E56" s="37" t="str">
        <x:v>미니게임 공통 UI 셸</x:v>
      </x:c>
      <x:c r="F56" s="37" t="str">
        <x:v>게임 규칙, 운영 요구사항과 대상 플랫폼 제약을 충족하도록 미니게임 공통 UI 셸 기능을 구현하고 검증한다.</x:v>
      </x:c>
      <x:c r="G56" s="37" t="str">
        <x:v>시작 설명, 조작법, 남은 시간, 성공, 실패, 중단, 나가기를 공통 패턴으로 표시하고 플레이어가 3초 안에 목표를 이해할 수 있다.</x:v>
      </x:c>
      <x:c r="H56" s="37" t="str">
        <x:v>구현, 코드 리뷰, 사양 갱신, 대상 QA 케이스 실행, 로그·텔레메트리 확인과 관련 플랫폼 검증을 완료하고 미해결 P0·P1 결함이 없다.</x:v>
      </x:c>
      <x:c r="I56" s="37" t="str">
        <x:v>MVP</x:v>
      </x:c>
      <x:c r="J56" s="37" t="str">
        <x:v>P0</x:v>
      </x:c>
      <x:c r="K56" s="37" t="str">
        <x:v>필수</x:v>
      </x:c>
      <x:c r="L56" s="37" t="str">
        <x:v>콘텐츠 UX</x:v>
      </x:c>
      <x:c r="M56" s="37" t="str">
        <x:v>MVP</x:v>
      </x:c>
      <x:c r="N56" s="37" t="str">
        <x:v>UI·UX 팀</x:v>
      </x:c>
      <x:c r="O56" s="37" t="str">
        <x:v>미정</x:v>
      </x:c>
      <x:c r="P56" s="37" t="str">
        <x:v>미정</x:v>
      </x:c>
      <x:c r="Q56" s="37" t="str">
        <x:v>전체</x:v>
      </x:c>
      <x:c r="R56" s="37" t="str">
        <x:v>클라이언트 로컬</x:v>
      </x:c>
      <x:c r="S56" s="37" t="str">
        <x:v>없음</x:v>
      </x:c>
      <x:c r="T56" s="37" t="str">
        <x:v>L</x:v>
      </x:c>
      <x:c r="U56" s="37" t="str">
        <x:v>미착수</x:v>
      </x:c>
      <x:c r="V56" s="42" t="n">
        <x:f>IF(U56="완료",1,IF(U56="QA 진행 중",0.8,IF(U56="코드 리뷰",0.65,IF(U56="구현 중",0.4,IF(U56="사양 확인 중",0.1,IF(U56="차단",0.4,0))))))</x:f>
        <x:v>0</x:v>
      </x:c>
      <x:c r="W56" s="37" t="str">
        <x:v>미정</x:v>
      </x:c>
      <x:c r="X56" s="40"/>
      <x:c r="Y56" s="37" t="str">
        <x:v>CNT-020,CNT-021</x:v>
      </x:c>
      <x:c r="Z56" s="37" t="str">
        <x:v>중간</x:v>
      </x:c>
      <x:c r="AA56" s="37" t="str">
        <x:v>사용성</x:v>
      </x:c>
      <x:c r="AB56" s="37" t="str">
        <x:v>TC-UIX-017-01, TC-UIX-017-02</x:v>
      </x:c>
      <x:c r="AC56" s="37"/>
      <x:c r="AD56" s="37" t="str">
        <x:v>게임 기획서</x:v>
      </x:c>
      <x:c r="AE56" s="37"/>
      <x:c r="AF56" s="40" t="str">
        <x:v>2026-07-10</x:v>
      </x:c>
      <x:c r="AG56" s="37"/>
      <x:c r="AH56" s="49"/>
      <x:c r="AI56" s="49"/>
      <x:c r="AJ56" s="48" t="str">
        <x:v>착수 전</x:v>
      </x:c>
    </x:row>
    <x:row r="57" ht="42" customHeight="1">
      <x:c r="A57" s="37" t="str">
        <x:v>UIX-018</x:v>
      </x:c>
      <x:c r="B57" s="37" t="str">
        <x:v>UI·UX</x:v>
      </x:c>
      <x:c r="C57" s="37" t="str">
        <x:v>야간 UX</x:v>
      </x:c>
      <x:c r="D57" s="37" t="str">
        <x:v>관찰</x:v>
      </x:c>
      <x:c r="E57" s="37" t="str">
        <x:v>밤 관찰 페이즈 UI</x:v>
      </x:c>
      <x:c r="F57" s="37" t="str">
        <x:v>게임 규칙, 운영 요구사항과 대상 플랫폼 제약을 충족하도록 밤 관찰 페이즈 UI 기능을 구현하고 검증한다.</x:v>
      </x:c>
      <x:c r="G57" s="37" t="str">
        <x:v>대화 금지, 관찰 남은 시간, 투표 시작 예고를 표시하고 자신의 등 메모나 역할 추정에 연결되는 내부 정보를 노출하지 않는다.</x:v>
      </x:c>
      <x:c r="H57" s="37" t="str">
        <x:v>구현, 코드 리뷰, 사양 갱신, 대상 QA 케이스 실행, 로그·텔레메트리 확인과 관련 플랫폼 검증을 완료하고 미해결 P0·P1 결함이 없다.</x:v>
      </x:c>
      <x:c r="I57" s="37" t="str">
        <x:v>MVP</x:v>
      </x:c>
      <x:c r="J57" s="37" t="str">
        <x:v>P0</x:v>
      </x:c>
      <x:c r="K57" s="37" t="str">
        <x:v>필수</x:v>
      </x:c>
      <x:c r="L57" s="37" t="str">
        <x:v>핵심 규칙</x:v>
      </x:c>
      <x:c r="M57" s="37" t="str">
        <x:v>MVP</x:v>
      </x:c>
      <x:c r="N57" s="37" t="str">
        <x:v>UI·UX 팀</x:v>
      </x:c>
      <x:c r="O57" s="37" t="str">
        <x:v>미정</x:v>
      </x:c>
      <x:c r="P57" s="37" t="str">
        <x:v>미정</x:v>
      </x:c>
      <x:c r="Q57" s="37" t="str">
        <x:v>전체</x:v>
      </x:c>
      <x:c r="R57" s="37" t="str">
        <x:v>클라이언트 로컬</x:v>
      </x:c>
      <x:c r="S57" s="37" t="str">
        <x:v>없음</x:v>
      </x:c>
      <x:c r="T57" s="37" t="str">
        <x:v>M</x:v>
      </x:c>
      <x:c r="U57" s="37" t="str">
        <x:v>미착수</x:v>
      </x:c>
      <x:c r="V57" s="42" t="n">
        <x:f>IF(U57="완료",1,IF(U57="QA 진행 중",0.8,IF(U57="코드 리뷰",0.65,IF(U57="구현 중",0.4,IF(U57="사양 확인 중",0.1,IF(U57="차단",0.4,0))))))</x:f>
        <x:v>0</x:v>
      </x:c>
      <x:c r="W57" s="37" t="str">
        <x:v>미정</x:v>
      </x:c>
      <x:c r="X57" s="40"/>
      <x:c r="Y57" s="37" t="str">
        <x:v>IGM-008,AUD-006</x:v>
      </x:c>
      <x:c r="Z57" s="37" t="str">
        <x:v>중간</x:v>
      </x:c>
      <x:c r="AA57" s="37" t="str">
        <x:v>보안</x:v>
      </x:c>
      <x:c r="AB57" s="37" t="str">
        <x:v>TC-UIX-018-01, TC-UIX-018-02</x:v>
      </x:c>
      <x:c r="AC57" s="37"/>
      <x:c r="AD57" s="37" t="str">
        <x:v>게임 기획서</x:v>
      </x:c>
      <x:c r="AE57" s="37"/>
      <x:c r="AF57" s="40" t="str">
        <x:v>2026-07-10</x:v>
      </x:c>
      <x:c r="AG57" s="37"/>
      <x:c r="AH57" s="49"/>
      <x:c r="AI57" s="49"/>
      <x:c r="AJ57" s="48" t="str">
        <x:v>착수 전</x:v>
      </x:c>
    </x:row>
    <x:row r="58" ht="42" customHeight="1">
      <x:c r="A58" s="37" t="str">
        <x:v>UIX-019</x:v>
      </x:c>
      <x:c r="B58" s="37" t="str">
        <x:v>UI·UX</x:v>
      </x:c>
      <x:c r="C58" s="37" t="str">
        <x:v>투표 UX</x:v>
      </x:c>
      <x:c r="D58" s="37" t="str">
        <x:v>밤 투표</x:v>
      </x:c>
      <x:c r="E58" s="37" t="str">
        <x:v>밤 강제 투표 UI</x:v>
      </x:c>
      <x:c r="F58" s="37" t="str">
        <x:v>게임 규칙, 운영 요구사항과 대상 플랫폼 제약을 충족하도록 밤 강제 투표 UI 기능을 구현하고 검증한다.</x:v>
      </x:c>
      <x:c r="G58" s="37" t="str">
        <x:v>생존자 1명만 선택하게 하고 확정 전 확인, 확정 완료, 마감, 미투표 규칙을 명시한다. 스킵 항목은 표시하지 않는다.</x:v>
      </x:c>
      <x:c r="H58" s="37" t="str">
        <x:v>구현, 코드 리뷰, 사양 갱신, 대상 QA 케이스 실행, 로그·텔레메트리 확인과 관련 플랫폼 검증을 완료하고 미해결 P0·P1 결함이 없다.</x:v>
      </x:c>
      <x:c r="I58" s="37" t="str">
        <x:v>MVP</x:v>
      </x:c>
      <x:c r="J58" s="37" t="str">
        <x:v>P0</x:v>
      </x:c>
      <x:c r="K58" s="37" t="str">
        <x:v>필수</x:v>
      </x:c>
      <x:c r="L58" s="37" t="str">
        <x:v>핵심 규칙</x:v>
      </x:c>
      <x:c r="M58" s="37" t="str">
        <x:v>MVP</x:v>
      </x:c>
      <x:c r="N58" s="37" t="str">
        <x:v>UI·UX 팀</x:v>
      </x:c>
      <x:c r="O58" s="37" t="str">
        <x:v>미정</x:v>
      </x:c>
      <x:c r="P58" s="37" t="str">
        <x:v>미정</x:v>
      </x:c>
      <x:c r="Q58" s="37" t="str">
        <x:v>전체</x:v>
      </x:c>
      <x:c r="R58" s="37" t="str">
        <x:v>클라이언트 로컬</x:v>
      </x:c>
      <x:c r="S58" s="37" t="str">
        <x:v>매치</x:v>
      </x:c>
      <x:c r="T58" s="37" t="str">
        <x:v>L</x:v>
      </x:c>
      <x:c r="U58" s="37" t="str">
        <x:v>미착수</x:v>
      </x:c>
      <x:c r="V58" s="42" t="n">
        <x:f>IF(U58="완료",1,IF(U58="QA 진행 중",0.8,IF(U58="코드 리뷰",0.65,IF(U58="구현 중",0.4,IF(U58="사양 확인 중",0.1,IF(U58="차단",0.4,0))))))</x:f>
        <x:v>0</x:v>
      </x:c>
      <x:c r="W58" s="37" t="str">
        <x:v>미정</x:v>
      </x:c>
      <x:c r="X58" s="40"/>
      <x:c r="Y58" s="37" t="str">
        <x:v>IGM-023,NET-016</x:v>
      </x:c>
      <x:c r="Z58" s="37" t="str">
        <x:v>중간</x:v>
      </x:c>
      <x:c r="AA58" s="37" t="str">
        <x:v>경계값</x:v>
      </x:c>
      <x:c r="AB58" s="37" t="str">
        <x:v>TC-UIX-019-01, TC-UIX-019-02</x:v>
      </x:c>
      <x:c r="AC58" s="37"/>
      <x:c r="AD58" s="37" t="str">
        <x:v>게임 기획서</x:v>
      </x:c>
      <x:c r="AE58" s="37"/>
      <x:c r="AF58" s="40" t="str">
        <x:v>2026-07-10</x:v>
      </x:c>
      <x:c r="AG58" s="37"/>
      <x:c r="AH58" s="49"/>
      <x:c r="AI58" s="49"/>
      <x:c r="AJ58" s="48" t="str">
        <x:v>착수 전</x:v>
      </x:c>
    </x:row>
    <x:row r="59" ht="42" customHeight="1">
      <x:c r="A59" s="37" t="str">
        <x:v>UIX-020</x:v>
      </x:c>
      <x:c r="B59" s="37" t="str">
        <x:v>UI·UX</x:v>
      </x:c>
      <x:c r="C59" s="37" t="str">
        <x:v>투표 UX</x:v>
      </x:c>
      <x:c r="D59" s="37" t="str">
        <x:v>투표 결과</x:v>
      </x:c>
      <x:c r="E59" s="37" t="str">
        <x:v>추방 결과·역할 공개 정책 표시</x:v>
      </x:c>
      <x:c r="F59" s="37" t="str">
        <x:v>게임 규칙, 운영 요구사항과 대상 플랫폼 제약을 충족하도록 추방 결과·역할 공개 정책 표시 기능을 구현하고 검증한다.</x:v>
      </x:c>
      <x:c r="G59" s="37" t="str">
        <x:v>최다 득표자, 동률 처리, 탈락 결과를 정해진 시간 동안 표시하고 역할 공개 설정이 꺼진 경우 역할을 추정할 수 있는 시각적 차이를 만들지 않는다.</x:v>
      </x:c>
      <x:c r="H59" s="37" t="str">
        <x:v>구현, 코드 리뷰, 사양 갱신, 대상 QA 케이스 실행, 로그·텔레메트리 확인과 관련 플랫폼 검증을 완료하고 미해결 P0·P1 결함이 없다.</x:v>
      </x:c>
      <x:c r="I59" s="37" t="str">
        <x:v>MVP</x:v>
      </x:c>
      <x:c r="J59" s="37" t="str">
        <x:v>P0</x:v>
      </x:c>
      <x:c r="K59" s="37" t="str">
        <x:v>필수</x:v>
      </x:c>
      <x:c r="L59" s="37" t="str">
        <x:v>정보 비공개</x:v>
      </x:c>
      <x:c r="M59" s="37" t="str">
        <x:v>MVP</x:v>
      </x:c>
      <x:c r="N59" s="37" t="str">
        <x:v>UI·UX 팀</x:v>
      </x:c>
      <x:c r="O59" s="37" t="str">
        <x:v>미정</x:v>
      </x:c>
      <x:c r="P59" s="37" t="str">
        <x:v>미정</x:v>
      </x:c>
      <x:c r="Q59" s="37" t="str">
        <x:v>전체</x:v>
      </x:c>
      <x:c r="R59" s="37" t="str">
        <x:v>클라이언트 로컬</x:v>
      </x:c>
      <x:c r="S59" s="37" t="str">
        <x:v>매치</x:v>
      </x:c>
      <x:c r="T59" s="37" t="str">
        <x:v>M</x:v>
      </x:c>
      <x:c r="U59" s="37" t="str">
        <x:v>미착수</x:v>
      </x:c>
      <x:c r="V59" s="42" t="n">
        <x:f>IF(U59="완료",1,IF(U59="QA 진행 중",0.8,IF(U59="코드 리뷰",0.65,IF(U59="구현 중",0.4,IF(U59="사양 확인 중",0.1,IF(U59="차단",0.4,0))))))</x:f>
        <x:v>0</x:v>
      </x:c>
      <x:c r="W59" s="37" t="str">
        <x:v>미정</x:v>
      </x:c>
      <x:c r="X59" s="40"/>
      <x:c r="Y59" s="37" t="str">
        <x:v>IGM-024,IGM-025</x:v>
      </x:c>
      <x:c r="Z59" s="37" t="str">
        <x:v>중간</x:v>
      </x:c>
      <x:c r="AA59" s="37" t="str">
        <x:v>보안</x:v>
      </x:c>
      <x:c r="AB59" s="37" t="str">
        <x:v>TC-UIX-020-01, TC-UIX-020-02</x:v>
      </x:c>
      <x:c r="AC59" s="37"/>
      <x:c r="AD59" s="37" t="str">
        <x:v>게임 기획서</x:v>
      </x:c>
      <x:c r="AE59" s="37"/>
      <x:c r="AF59" s="40" t="str">
        <x:v>2026-07-10</x:v>
      </x:c>
      <x:c r="AG59" s="37"/>
      <x:c r="AH59" s="49"/>
      <x:c r="AI59" s="49"/>
      <x:c r="AJ59" s="48" t="str">
        <x:v>착수 전</x:v>
      </x:c>
    </x:row>
    <x:row r="60" ht="42" customHeight="1">
      <x:c r="A60" s="37" t="str">
        <x:v>UIX-021</x:v>
      </x:c>
      <x:c r="B60" s="37" t="str">
        <x:v>UI·UX</x:v>
      </x:c>
      <x:c r="C60" s="37" t="str">
        <x:v>최종 재판 UX</x:v>
      </x:c>
      <x:c r="D60" s="37" t="str">
        <x:v>증빙</x:v>
      </x:c>
      <x:c r="E60" s="37" t="str">
        <x:v>최종 재판 메모 이력 화면</x:v>
      </x:c>
      <x:c r="F60" s="37" t="str">
        <x:v>게임 규칙, 운영 요구사항과 대상 플랫폼 제약을 충족하도록 최종 재판 메모 이력 화면 기능을 구현하고 검증한다.</x:v>
      </x:c>
      <x:c r="G60" s="37" t="str">
        <x:v>대상, 표시 색상, 내용, 부착 순서만 시간 흐름에 따라 볼 수 있고 실제 작성자, 부착자, 위조 여부, 정확한 시각 관련 열이나 툴팁은 제공하지 않는다.</x:v>
      </x:c>
      <x:c r="H60" s="37" t="str">
        <x:v>구현, 코드 리뷰, 사양 갱신, 대상 QA 케이스 실행, 로그·텔레메트리 확인과 관련 플랫폼 검증을 완료하고 미해결 P0·P1 결함이 없다.</x:v>
      </x:c>
      <x:c r="I60" s="37" t="str">
        <x:v>MVP</x:v>
      </x:c>
      <x:c r="J60" s="37" t="str">
        <x:v>P0</x:v>
      </x:c>
      <x:c r="K60" s="37" t="str">
        <x:v>필수</x:v>
      </x:c>
      <x:c r="L60" s="37" t="str">
        <x:v>정보 비공개</x:v>
      </x:c>
      <x:c r="M60" s="37" t="str">
        <x:v>MVP</x:v>
      </x:c>
      <x:c r="N60" s="37" t="str">
        <x:v>UI·UX 팀</x:v>
      </x:c>
      <x:c r="O60" s="37" t="str">
        <x:v>미정</x:v>
      </x:c>
      <x:c r="P60" s="37" t="str">
        <x:v>미정</x:v>
      </x:c>
      <x:c r="Q60" s="37" t="str">
        <x:v>전체</x:v>
      </x:c>
      <x:c r="R60" s="37" t="str">
        <x:v>클라이언트 로컬</x:v>
      </x:c>
      <x:c r="S60" s="37" t="str">
        <x:v>매치</x:v>
      </x:c>
      <x:c r="T60" s="37" t="str">
        <x:v>XL</x:v>
      </x:c>
      <x:c r="U60" s="37" t="str">
        <x:v>미착수</x:v>
      </x:c>
      <x:c r="V60" s="42" t="n">
        <x:f>IF(U60="완료",1,IF(U60="QA 진행 중",0.8,IF(U60="코드 리뷰",0.65,IF(U60="구현 중",0.4,IF(U60="사양 확인 중",0.1,IF(U60="차단",0.4,0))))))</x:f>
        <x:v>0</x:v>
      </x:c>
      <x:c r="W60" s="37" t="str">
        <x:v>미정</x:v>
      </x:c>
      <x:c r="X60" s="40"/>
      <x:c r="Y60" s="37" t="str">
        <x:v>IGM-029,NET-018</x:v>
      </x:c>
      <x:c r="Z60" s="37" t="str">
        <x:v>중간</x:v>
      </x:c>
      <x:c r="AA60" s="37" t="str">
        <x:v>보안</x:v>
      </x:c>
      <x:c r="AB60" s="37" t="str">
        <x:v>TC-UIX-021-01, TC-UIX-021-02</x:v>
      </x:c>
      <x:c r="AC60" s="37"/>
      <x:c r="AD60" s="37" t="str">
        <x:v>게임 기획서</x:v>
      </x:c>
      <x:c r="AE60" s="37"/>
      <x:c r="AF60" s="40" t="str">
        <x:v>2026-07-10</x:v>
      </x:c>
      <x:c r="AG60" s="37"/>
      <x:c r="AH60" s="49"/>
      <x:c r="AI60" s="49"/>
      <x:c r="AJ60" s="48" t="str">
        <x:v>착수 전</x:v>
      </x:c>
    </x:row>
    <x:row r="61" ht="42" customHeight="1">
      <x:c r="A61" s="37" t="str">
        <x:v>UIX-022</x:v>
      </x:c>
      <x:c r="B61" s="37" t="str">
        <x:v>UI·UX</x:v>
      </x:c>
      <x:c r="C61" s="37" t="str">
        <x:v>최종 재판 UX</x:v>
      </x:c>
      <x:c r="D61" s="37" t="str">
        <x:v>최종 발언</x:v>
      </x:c>
      <x:c r="E61" s="37" t="str">
        <x:v>최종 발언 순서·남은 시간 UI</x:v>
      </x:c>
      <x:c r="F61" s="37" t="str">
        <x:v>게임 규칙, 운영 요구사항과 대상 플랫폼 제약을 충족하도록 최종 발언 순서·남은 시간 UI 기능을 구현하고 검증한다.</x:v>
      </x:c>
      <x:c r="G61" s="37" t="str">
        <x:v>현재 발언자, 남은 시간, 대기 순서를 표시하고 비발언자에게 마이크 차단 상태를 알린다. 발언 완료자는 발언권을 다시 받을 수 없다.</x:v>
      </x:c>
      <x:c r="H61" s="37" t="str">
        <x:v>구현, 코드 리뷰, 사양 갱신, 대상 QA 케이스 실행, 로그·텔레메트리 확인과 관련 플랫폼 검증을 완료하고 미해결 P0·P1 결함이 없다.</x:v>
      </x:c>
      <x:c r="I61" s="37" t="str">
        <x:v>MVP</x:v>
      </x:c>
      <x:c r="J61" s="37" t="str">
        <x:v>P0</x:v>
      </x:c>
      <x:c r="K61" s="37" t="str">
        <x:v>필수</x:v>
      </x:c>
      <x:c r="L61" s="37" t="str">
        <x:v>핵심 규칙</x:v>
      </x:c>
      <x:c r="M61" s="37" t="str">
        <x:v>MVP</x:v>
      </x:c>
      <x:c r="N61" s="37" t="str">
        <x:v>UI·UX 팀</x:v>
      </x:c>
      <x:c r="O61" s="37" t="str">
        <x:v>미정</x:v>
      </x:c>
      <x:c r="P61" s="37" t="str">
        <x:v>미정</x:v>
      </x:c>
      <x:c r="Q61" s="37" t="str">
        <x:v>전체</x:v>
      </x:c>
      <x:c r="R61" s="37" t="str">
        <x:v>클라이언트 로컬</x:v>
      </x:c>
      <x:c r="S61" s="37" t="str">
        <x:v>매치</x:v>
      </x:c>
      <x:c r="T61" s="37" t="str">
        <x:v>M</x:v>
      </x:c>
      <x:c r="U61" s="37" t="str">
        <x:v>미착수</x:v>
      </x:c>
      <x:c r="V61" s="42" t="n">
        <x:f>IF(U61="완료",1,IF(U61="QA 진행 중",0.8,IF(U61="코드 리뷰",0.65,IF(U61="구현 중",0.4,IF(U61="사양 확인 중",0.1,IF(U61="차단",0.4,0))))))</x:f>
        <x:v>0</x:v>
      </x:c>
      <x:c r="W61" s="37" t="str">
        <x:v>미정</x:v>
      </x:c>
      <x:c r="X61" s="40"/>
      <x:c r="Y61" s="37" t="str">
        <x:v>IGM-030,AUD-008</x:v>
      </x:c>
      <x:c r="Z61" s="37" t="str">
        <x:v>중간</x:v>
      </x:c>
      <x:c r="AA61" s="37" t="str">
        <x:v>통합</x:v>
      </x:c>
      <x:c r="AB61" s="37" t="str">
        <x:v>TC-UIX-022-01, TC-UIX-022-02</x:v>
      </x:c>
      <x:c r="AC61" s="37"/>
      <x:c r="AD61" s="37" t="str">
        <x:v>게임 기획서</x:v>
      </x:c>
      <x:c r="AE61" s="37"/>
      <x:c r="AF61" s="40" t="str">
        <x:v>2026-07-10</x:v>
      </x:c>
      <x:c r="AG61" s="37"/>
      <x:c r="AH61" s="49"/>
      <x:c r="AI61" s="49"/>
      <x:c r="AJ61" s="48" t="str">
        <x:v>착수 전</x:v>
      </x:c>
    </x:row>
    <x:row r="62" ht="42" customHeight="1">
      <x:c r="A62" s="37" t="str">
        <x:v>UIX-023</x:v>
      </x:c>
      <x:c r="B62" s="37" t="str">
        <x:v>UI·UX</x:v>
      </x:c>
      <x:c r="C62" s="37" t="str">
        <x:v>최종 재판 UX</x:v>
      </x:c>
      <x:c r="D62" s="37" t="str">
        <x:v>최종 투표</x:v>
      </x:c>
      <x:c r="E62" s="37" t="str">
        <x:v>최종 투표 UI</x:v>
      </x:c>
      <x:c r="F62" s="37" t="str">
        <x:v>게임 규칙, 운영 요구사항과 대상 플랫폼 제약을 충족하도록 최종 투표 UI 기능을 구현하고 검증한다.</x:v>
      </x:c>
      <x:c r="G62" s="37" t="str">
        <x:v>모든 최종 발언이 끝난 뒤에만 활성화되고 생존자 1명에게 투표할 수 있다. 일반 밤 투표와 최종 투표의 결과 표기를 혼동하지 않는다.</x:v>
      </x:c>
      <x:c r="H62" s="37" t="str">
        <x:v>구현, 코드 리뷰, 사양 갱신, 대상 QA 케이스 실행, 로그·텔레메트리 확인과 관련 플랫폼 검증을 완료하고 미해결 P0·P1 결함이 없다.</x:v>
      </x:c>
      <x:c r="I62" s="37" t="str">
        <x:v>MVP</x:v>
      </x:c>
      <x:c r="J62" s="37" t="str">
        <x:v>P0</x:v>
      </x:c>
      <x:c r="K62" s="37" t="str">
        <x:v>필수</x:v>
      </x:c>
      <x:c r="L62" s="37" t="str">
        <x:v>승패</x:v>
      </x:c>
      <x:c r="M62" s="37" t="str">
        <x:v>MVP</x:v>
      </x:c>
      <x:c r="N62" s="37" t="str">
        <x:v>UI·UX 팀</x:v>
      </x:c>
      <x:c r="O62" s="37" t="str">
        <x:v>미정</x:v>
      </x:c>
      <x:c r="P62" s="37" t="str">
        <x:v>미정</x:v>
      </x:c>
      <x:c r="Q62" s="37" t="str">
        <x:v>전체</x:v>
      </x:c>
      <x:c r="R62" s="37" t="str">
        <x:v>클라이언트 로컬</x:v>
      </x:c>
      <x:c r="S62" s="37" t="str">
        <x:v>매치</x:v>
      </x:c>
      <x:c r="T62" s="37" t="str">
        <x:v>M</x:v>
      </x:c>
      <x:c r="U62" s="37" t="str">
        <x:v>미착수</x:v>
      </x:c>
      <x:c r="V62" s="42" t="n">
        <x:f>IF(U62="완료",1,IF(U62="QA 진행 중",0.8,IF(U62="코드 리뷰",0.65,IF(U62="구현 중",0.4,IF(U62="사양 확인 중",0.1,IF(U62="차단",0.4,0))))))</x:f>
        <x:v>0</x:v>
      </x:c>
      <x:c r="W62" s="37" t="str">
        <x:v>미정</x:v>
      </x:c>
      <x:c r="X62" s="40"/>
      <x:c r="Y62" s="37" t="str">
        <x:v>IGM-031</x:v>
      </x:c>
      <x:c r="Z62" s="37" t="str">
        <x:v>중간</x:v>
      </x:c>
      <x:c r="AA62" s="37" t="str">
        <x:v>경계값</x:v>
      </x:c>
      <x:c r="AB62" s="37" t="str">
        <x:v>TC-UIX-023-01, TC-UIX-023-02</x:v>
      </x:c>
      <x:c r="AC62" s="37"/>
      <x:c r="AD62" s="37" t="str">
        <x:v>게임 기획서</x:v>
      </x:c>
      <x:c r="AE62" s="37"/>
      <x:c r="AF62" s="40" t="str">
        <x:v>2026-07-10</x:v>
      </x:c>
      <x:c r="AG62" s="37"/>
      <x:c r="AH62" s="49"/>
      <x:c r="AI62" s="49"/>
      <x:c r="AJ62" s="48" t="str">
        <x:v>착수 전</x:v>
      </x:c>
    </x:row>
    <x:row r="63" ht="42" customHeight="1">
      <x:c r="A63" s="37" t="str">
        <x:v>UIX-024</x:v>
      </x:c>
      <x:c r="B63" s="37" t="str">
        <x:v>UI·UX</x:v>
      </x:c>
      <x:c r="C63" s="37" t="str">
        <x:v>매치 종료 후</x:v>
      </x:c>
      <x:c r="D63" s="37" t="str">
        <x:v>결과</x:v>
      </x:c>
      <x:c r="E63" s="37" t="str">
        <x:v>승패·역할·주요 이력 결과 화면</x:v>
      </x:c>
      <x:c r="F63" s="37" t="str">
        <x:v>게임 규칙, 운영 요구사항과 대상 플랫폼 제약을 충족하도록 승패·역할·주요 이력 결과 화면 기능을 구현하고 검증한다.</x:v>
      </x:c>
      <x:c r="G63" s="37" t="str">
        <x:v>승리 진영, 각 플레이어의 역할, 게임 시간, 투표 경과, 재대결·로비 나가기 동선을 표시하며 비공개 데이터는 경기 종료 후 공개 정책을 따른다.</x:v>
      </x:c>
      <x:c r="H63" s="37" t="str">
        <x:v>구현, 코드 리뷰, 사양 갱신, 대상 QA 케이스 실행, 로그·텔레메트리 확인과 관련 플랫폼 검증을 완료하고 미해결 P0·P1 결함이 없다.</x:v>
      </x:c>
      <x:c r="I63" s="37" t="str">
        <x:v>MVP</x:v>
      </x:c>
      <x:c r="J63" s="37" t="str">
        <x:v>P0</x:v>
      </x:c>
      <x:c r="K63" s="37" t="str">
        <x:v>필수</x:v>
      </x:c>
      <x:c r="L63" s="37" t="str">
        <x:v>결과</x:v>
      </x:c>
      <x:c r="M63" s="37" t="str">
        <x:v>MVP</x:v>
      </x:c>
      <x:c r="N63" s="37" t="str">
        <x:v>UI·UX 팀</x:v>
      </x:c>
      <x:c r="O63" s="37" t="str">
        <x:v>미정</x:v>
      </x:c>
      <x:c r="P63" s="37" t="str">
        <x:v>미정</x:v>
      </x:c>
      <x:c r="Q63" s="37" t="str">
        <x:v>전체</x:v>
      </x:c>
      <x:c r="R63" s="37" t="str">
        <x:v>클라이언트 로컬</x:v>
      </x:c>
      <x:c r="S63" s="37" t="str">
        <x:v>매치</x:v>
      </x:c>
      <x:c r="T63" s="37" t="str">
        <x:v>L</x:v>
      </x:c>
      <x:c r="U63" s="37" t="str">
        <x:v>미착수</x:v>
      </x:c>
      <x:c r="V63" s="42" t="n">
        <x:f>IF(U63="완료",1,IF(U63="QA 진행 중",0.8,IF(U63="코드 리뷰",0.65,IF(U63="구현 중",0.4,IF(U63="사양 확인 중",0.1,IF(U63="차단",0.4,0))))))</x:f>
        <x:v>0</x:v>
      </x:c>
      <x:c r="W63" s="37" t="str">
        <x:v>미정</x:v>
      </x:c>
      <x:c r="X63" s="40"/>
      <x:c r="Y63" s="37" t="str">
        <x:v>IGM-026,IGM-027,IGM-031,BED-006</x:v>
      </x:c>
      <x:c r="Z63" s="37" t="str">
        <x:v>중간</x:v>
      </x:c>
      <x:c r="AA63" s="37" t="str">
        <x:v>통합</x:v>
      </x:c>
      <x:c r="AB63" s="37" t="str">
        <x:v>TC-UIX-024-01, TC-UIX-024-02</x:v>
      </x:c>
      <x:c r="AC63" s="37"/>
      <x:c r="AD63" s="37" t="str">
        <x:v>게임 기획서</x:v>
      </x:c>
      <x:c r="AE63" s="37"/>
      <x:c r="AF63" s="40" t="str">
        <x:v>2026-07-10</x:v>
      </x:c>
      <x:c r="AG63" s="37"/>
      <x:c r="AH63" s="49"/>
      <x:c r="AI63" s="49"/>
      <x:c r="AJ63" s="48" t="str">
        <x:v>착수 전</x:v>
      </x:c>
    </x:row>
    <x:row r="64" ht="42" customHeight="1">
      <x:c r="A64" s="37" t="str">
        <x:v>UIX-025</x:v>
      </x:c>
      <x:c r="B64" s="37" t="str">
        <x:v>UI·UX</x:v>
      </x:c>
      <x:c r="C64" s="37" t="str">
        <x:v>복원력</x:v>
      </x:c>
      <x:c r="D64" s="37" t="str">
        <x:v>재접속</x:v>
      </x:c>
      <x:c r="E64" s="37" t="str">
        <x:v>연결 끊김·재접속·복원 UI</x:v>
      </x:c>
      <x:c r="F64" s="37" t="str">
        <x:v>게임 규칙, 운영 요구사항과 대상 플랫폼 제약을 충족하도록 연결 끊김·재접속·복원 UI 기능을 구현하고 검증한다.</x:v>
      </x:c>
      <x:c r="G64" s="37" t="str">
        <x:v>연결 끊김 감지, 재시도, 남은 유예 시간, 복원 중, 실패 사유, 로비 복귀를 구분해 표시하고 복원 완료 전에는 게임 조작을 받지 않는다.</x:v>
      </x:c>
      <x:c r="H64" s="37" t="str">
        <x:v>구현, 코드 리뷰, 사양 갱신, 대상 QA 케이스 실행, 로그·텔레메트리 확인과 관련 플랫폼 검증을 완료하고 미해결 P0·P1 결함이 없다.</x:v>
      </x:c>
      <x:c r="I64" s="37" t="str">
        <x:v>알파</x:v>
      </x:c>
      <x:c r="J64" s="37" t="str">
        <x:v>P0</x:v>
      </x:c>
      <x:c r="K64" s="37" t="str">
        <x:v>필수</x:v>
      </x:c>
      <x:c r="L64" s="37" t="str">
        <x:v>안정성</x:v>
      </x:c>
      <x:c r="M64" s="37" t="str">
        <x:v>알파</x:v>
      </x:c>
      <x:c r="N64" s="37" t="str">
        <x:v>UI·UX 팀</x:v>
      </x:c>
      <x:c r="O64" s="37" t="str">
        <x:v>미정</x:v>
      </x:c>
      <x:c r="P64" s="37" t="str">
        <x:v>미정</x:v>
      </x:c>
      <x:c r="Q64" s="37" t="str">
        <x:v>전체</x:v>
      </x:c>
      <x:c r="R64" s="37" t="str">
        <x:v>클라이언트 로컬</x:v>
      </x:c>
      <x:c r="S64" s="37" t="str">
        <x:v>세션</x:v>
      </x:c>
      <x:c r="T64" s="37" t="str">
        <x:v>L</x:v>
      </x:c>
      <x:c r="U64" s="37" t="str">
        <x:v>미착수</x:v>
      </x:c>
      <x:c r="V64" s="42" t="n">
        <x:f>IF(U64="완료",1,IF(U64="QA 진행 중",0.8,IF(U64="코드 리뷰",0.65,IF(U64="구현 중",0.4,IF(U64="사양 확인 중",0.1,IF(U64="차단",0.4,0))))))</x:f>
        <x:v>0</x:v>
      </x:c>
      <x:c r="W64" s="37" t="str">
        <x:v>미정</x:v>
      </x:c>
      <x:c r="X64" s="40"/>
      <x:c r="Y64" s="37" t="str">
        <x:v>IGM-033,ONL-017,NET-019</x:v>
      </x:c>
      <x:c r="Z64" s="37" t="str">
        <x:v>중간</x:v>
      </x:c>
      <x:c r="AA64" s="37" t="str">
        <x:v>네트워크</x:v>
      </x:c>
      <x:c r="AB64" s="37" t="str">
        <x:v>TC-UIX-025-01, TC-UIX-025-02</x:v>
      </x:c>
      <x:c r="AC64" s="37"/>
      <x:c r="AD64" s="37" t="str">
        <x:v>게임 기획서</x:v>
      </x:c>
      <x:c r="AE64" s="37"/>
      <x:c r="AF64" s="40" t="str">
        <x:v>2026-07-10</x:v>
      </x:c>
      <x:c r="AG64" s="37"/>
      <x:c r="AH64" s="49"/>
      <x:c r="AI64" s="49"/>
      <x:c r="AJ64" s="48" t="str">
        <x:v>착수 전</x:v>
      </x:c>
    </x:row>
    <x:row r="65" ht="42" customHeight="1">
      <x:c r="A65" s="37" t="str">
        <x:v>UIX-026</x:v>
      </x:c>
      <x:c r="B65" s="37" t="str">
        <x:v>UI·UX</x:v>
      </x:c>
      <x:c r="C65" s="37" t="str">
        <x:v>오류 처리</x:v>
      </x:c>
      <x:c r="D65" s="37" t="str">
        <x:v>오류</x:v>
      </x:c>
      <x:c r="E65" s="37" t="str">
        <x:v>사용자용 오류 코드·복구 동선</x:v>
      </x:c>
      <x:c r="F65" s="37" t="str">
        <x:v>게임 규칙, 운영 요구사항과 대상 플랫폼 제약을 충족하도록 사용자용 오류 코드·복구 동선 기능을 구현하고 검증한다.</x:v>
      </x:c>
      <x:c r="G65" s="37" t="str">
        <x:v>온라인, 설정, 메모, 투표, 음성의 대표 오류를 원인별로 표시하고 재시도, 설정 변경, 지원 코드 확인 경로를 제공한다.</x:v>
      </x:c>
      <x:c r="H65" s="37" t="str">
        <x:v>구현, 코드 리뷰, 사양 갱신, 대상 QA 케이스 실행, 로그·텔레메트리 확인과 관련 플랫폼 검증을 완료하고 미해결 P0·P1 결함이 없다.</x:v>
      </x:c>
      <x:c r="I65" s="37" t="str">
        <x:v>알파</x:v>
      </x:c>
      <x:c r="J65" s="37" t="str">
        <x:v>P0</x:v>
      </x:c>
      <x:c r="K65" s="37" t="str">
        <x:v>필수</x:v>
      </x:c>
      <x:c r="L65" s="37" t="str">
        <x:v>운영</x:v>
      </x:c>
      <x:c r="M65" s="37" t="str">
        <x:v>알파</x:v>
      </x:c>
      <x:c r="N65" s="37" t="str">
        <x:v>UI·UX 팀</x:v>
      </x:c>
      <x:c r="O65" s="37" t="str">
        <x:v>미정</x:v>
      </x:c>
      <x:c r="P65" s="37" t="str">
        <x:v>미정</x:v>
      </x:c>
      <x:c r="Q65" s="37" t="str">
        <x:v>전체</x:v>
      </x:c>
      <x:c r="R65" s="37" t="str">
        <x:v>클라이언트 로컬</x:v>
      </x:c>
      <x:c r="S65" s="37" t="str">
        <x:v>없음</x:v>
      </x:c>
      <x:c r="T65" s="37" t="str">
        <x:v>L</x:v>
      </x:c>
      <x:c r="U65" s="37" t="str">
        <x:v>미착수</x:v>
      </x:c>
      <x:c r="V65" s="42" t="n">
        <x:f>IF(U65="완료",1,IF(U65="QA 진행 중",0.8,IF(U65="코드 리뷰",0.65,IF(U65="구현 중",0.4,IF(U65="사양 확인 중",0.1,IF(U65="차단",0.4,0))))))</x:f>
        <x:v>0</x:v>
      </x:c>
      <x:c r="W65" s="37" t="str">
        <x:v>미정</x:v>
      </x:c>
      <x:c r="X65" s="40"/>
      <x:c r="Y65" s="37" t="str">
        <x:v>ONL-020,NET-025,BED-018</x:v>
      </x:c>
      <x:c r="Z65" s="37" t="str">
        <x:v>중간</x:v>
      </x:c>
      <x:c r="AA65" s="37" t="str">
        <x:v>운영</x:v>
      </x:c>
      <x:c r="AB65" s="37" t="str">
        <x:v>TC-UIX-026-01, TC-UIX-026-02</x:v>
      </x:c>
      <x:c r="AC65" s="37"/>
      <x:c r="AD65" s="37" t="str">
        <x:v>게임 기획서</x:v>
      </x:c>
      <x:c r="AE65" s="37"/>
      <x:c r="AF65" s="40" t="str">
        <x:v>2026-07-10</x:v>
      </x:c>
      <x:c r="AG65" s="37"/>
      <x:c r="AH65" s="49"/>
      <x:c r="AI65" s="49"/>
      <x:c r="AJ65" s="48" t="str">
        <x:v>착수 전</x:v>
      </x:c>
    </x:row>
    <x:row r="66" ht="42" customHeight="1">
      <x:c r="A66" s="37" t="str">
        <x:v>UIX-027</x:v>
      </x:c>
      <x:c r="B66" s="37" t="str">
        <x:v>UI·UX</x:v>
      </x:c>
      <x:c r="C66" s="37" t="str">
        <x:v>온보딩</x:v>
      </x:c>
      <x:c r="D66" s="37" t="str">
        <x:v>튜토리얼</x:v>
      </x:c>
      <x:c r="E66" s="37" t="str">
        <x:v>5분 이내 핵심 규칙 온보딩</x:v>
      </x:c>
      <x:c r="F66" s="37" t="str">
        <x:v>게임 규칙, 운영 요구사항과 대상 플랫폼 제약을 충족하도록 5분 이내 핵심 규칙 온보딩 기능을 구현하고 검증한다.</x:v>
      </x:c>
      <x:c r="G66" s="37" t="str">
        <x:v>‘자신의 등은 볼 수 없음’, ‘색상은 위조 가능’, ‘밤에는 대화 불가’, ‘매일 밤 반드시 1명 투표’를 직접 조작하며 학습하고 건너뛰기와 재열람을 지원한다.</x:v>
      </x:c>
      <x:c r="H66" s="37" t="str">
        <x:v>구현, 코드 리뷰, 사양 갱신, 대상 QA 케이스 실행, 로그·텔레메트리 확인과 관련 플랫폼 검증을 완료하고 미해결 P0·P1 결함이 없다.</x:v>
      </x:c>
      <x:c r="I66" s="37" t="str">
        <x:v>알파</x:v>
      </x:c>
      <x:c r="J66" s="37" t="str">
        <x:v>P0</x:v>
      </x:c>
      <x:c r="K66" s="37" t="str">
        <x:v>필수</x:v>
      </x:c>
      <x:c r="L66" s="37" t="str">
        <x:v>이해도</x:v>
      </x:c>
      <x:c r="M66" s="37" t="str">
        <x:v>알파</x:v>
      </x:c>
      <x:c r="N66" s="37" t="str">
        <x:v>UI·UX 팀</x:v>
      </x:c>
      <x:c r="O66" s="37" t="str">
        <x:v>미정</x:v>
      </x:c>
      <x:c r="P66" s="37" t="str">
        <x:v>미정</x:v>
      </x:c>
      <x:c r="Q66" s="37" t="str">
        <x:v>전체</x:v>
      </x:c>
      <x:c r="R66" s="37" t="str">
        <x:v>클라이언트 로컬</x:v>
      </x:c>
      <x:c r="S66" s="37" t="str">
        <x:v>계정</x:v>
      </x:c>
      <x:c r="T66" s="37" t="str">
        <x:v>XL</x:v>
      </x:c>
      <x:c r="U66" s="37" t="str">
        <x:v>미착수</x:v>
      </x:c>
      <x:c r="V66" s="42" t="n">
        <x:f>IF(U66="완료",1,IF(U66="QA 진행 중",0.8,IF(U66="코드 리뷰",0.65,IF(U66="구현 중",0.4,IF(U66="사양 확인 중",0.1,IF(U66="차단",0.4,0))))))</x:f>
        <x:v>0</x:v>
      </x:c>
      <x:c r="W66" s="37" t="str">
        <x:v>미정</x:v>
      </x:c>
      <x:c r="X66" s="40"/>
      <x:c r="Y66" s="37" t="str">
        <x:v>IGM-012,IGM-019,IGM-023,BED-003</x:v>
      </x:c>
      <x:c r="Z66" s="37" t="str">
        <x:v>중간</x:v>
      </x:c>
      <x:c r="AA66" s="37" t="str">
        <x:v>사용성</x:v>
      </x:c>
      <x:c r="AB66" s="37" t="str">
        <x:v>TC-UIX-027-01, TC-UIX-027-02</x:v>
      </x:c>
      <x:c r="AC66" s="37"/>
      <x:c r="AD66" s="37" t="str">
        <x:v>게임 기획서</x:v>
      </x:c>
      <x:c r="AE66" s="37"/>
      <x:c r="AF66" s="40" t="str">
        <x:v>2026-07-10</x:v>
      </x:c>
      <x:c r="AG66" s="37"/>
      <x:c r="AH66" s="49"/>
      <x:c r="AI66" s="49"/>
      <x:c r="AJ66" s="48" t="str">
        <x:v>착수 전</x:v>
      </x:c>
    </x:row>
    <x:row r="67" ht="42" customHeight="1">
      <x:c r="A67" s="37" t="str">
        <x:v>UIX-028</x:v>
      </x:c>
      <x:c r="B67" s="37" t="str">
        <x:v>UI·UX</x:v>
      </x:c>
      <x:c r="C67" s="37" t="str">
        <x:v>접근성</x:v>
      </x:c>
      <x:c r="D67" s="37" t="str">
        <x:v>색상 보조</x:v>
      </x:c>
      <x:c r="E67" s="37" t="str">
        <x:v>색각 보조 패턴·아이콘 적용</x:v>
      </x:c>
      <x:c r="F67" s="37" t="str">
        <x:v>게임 규칙, 운영 요구사항과 대상 플랫폼 제약을 충족하도록 색각 보조 패턴·아이콘 적용 기능을 구현하고 검증한다.</x:v>
      </x:c>
      <x:c r="G67" s="37" t="str">
        <x:v>플레이어 색상과 메모 색상에 형태, 패턴, 기호를 함께 표시해 색상만으로 중요한 판단을 요구하는 화면이 없도록 한다.</x:v>
      </x:c>
      <x:c r="H67" s="37" t="str">
        <x:v>구현, 코드 리뷰, 사양 갱신, 대상 QA 케이스 실행, 로그·텔레메트리 확인과 관련 플랫폼 검증을 완료하고 미해결 P0·P1 결함이 없다.</x:v>
      </x:c>
      <x:c r="I67" s="37" t="str">
        <x:v>베타</x:v>
      </x:c>
      <x:c r="J67" s="37" t="str">
        <x:v>P0</x:v>
      </x:c>
      <x:c r="K67" s="37" t="str">
        <x:v>필수</x:v>
      </x:c>
      <x:c r="L67" s="37" t="str">
        <x:v>접근성</x:v>
      </x:c>
      <x:c r="M67" s="37" t="str">
        <x:v>베타</x:v>
      </x:c>
      <x:c r="N67" s="37" t="str">
        <x:v>UI·UX 팀</x:v>
      </x:c>
      <x:c r="O67" s="37" t="str">
        <x:v>미정</x:v>
      </x:c>
      <x:c r="P67" s="37" t="str">
        <x:v>미정</x:v>
      </x:c>
      <x:c r="Q67" s="37" t="str">
        <x:v>전체</x:v>
      </x:c>
      <x:c r="R67" s="37" t="str">
        <x:v>클라이언트 로컬</x:v>
      </x:c>
      <x:c r="S67" s="37" t="str">
        <x:v>단말 로컬</x:v>
      </x:c>
      <x:c r="T67" s="37" t="str">
        <x:v>L</x:v>
      </x:c>
      <x:c r="U67" s="37" t="str">
        <x:v>미착수</x:v>
      </x:c>
      <x:c r="V67" s="42" t="n">
        <x:f>IF(U67="완료",1,IF(U67="QA 진행 중",0.8,IF(U67="코드 리뷰",0.65,IF(U67="구현 중",0.4,IF(U67="사양 확인 중",0.1,IF(U67="차단",0.4,0))))))</x:f>
        <x:v>0</x:v>
      </x:c>
      <x:c r="W67" s="37" t="str">
        <x:v>미정</x:v>
      </x:c>
      <x:c r="X67" s="40"/>
      <x:c r="Y67" s="37" t="str">
        <x:v>SET-024,CHR-015</x:v>
      </x:c>
      <x:c r="Z67" s="37" t="str">
        <x:v>중간</x:v>
      </x:c>
      <x:c r="AA67" s="37" t="str">
        <x:v>접근성</x:v>
      </x:c>
      <x:c r="AB67" s="37" t="str">
        <x:v>TC-UIX-028-01, TC-UIX-028-02</x:v>
      </x:c>
      <x:c r="AC67" s="37"/>
      <x:c r="AD67" s="37" t="str">
        <x:v>게임 기획서</x:v>
      </x:c>
      <x:c r="AE67" s="37"/>
      <x:c r="AF67" s="40" t="str">
        <x:v>2026-07-10</x:v>
      </x:c>
      <x:c r="AG67" s="37"/>
      <x:c r="AH67" s="49"/>
      <x:c r="AI67" s="49"/>
      <x:c r="AJ67" s="48" t="str">
        <x:v>착수 전</x:v>
      </x:c>
    </x:row>
    <x:row r="68" ht="42" customHeight="1">
      <x:c r="A68" s="37" t="str">
        <x:v>UIX-029</x:v>
      </x:c>
      <x:c r="B68" s="37" t="str">
        <x:v>UI·UX</x:v>
      </x:c>
      <x:c r="C68" s="37" t="str">
        <x:v>플랫폼 UX</x:v>
      </x:c>
      <x:c r="D68" s="37" t="str">
        <x:v>현지화·입력</x:v>
      </x:c>
      <x:c r="E68" s="37" t="str">
        <x:v>현지화·가변 문자열·입력 장치 대응</x:v>
      </x:c>
      <x:c r="F68" s="37" t="str">
        <x:v>게임 규칙, 운영 요구사항과 대상 플랫폼 제약을 충족하도록 현지화·가변 문자열·입력 장치 대응 기능을 구현하고 검증한다.</x:v>
      </x:c>
      <x:c r="G68" s="37" t="str">
        <x:v>한국어·영어 등 지원 언어의 가변 길이와 줄바꿈, 게임패드, 키보드·마우스, 입력 아이콘 전환, 세이프 영역, 16:9·16:10·21:9 화면에서 주요 UI가 잘리지 않는다.</x:v>
      </x:c>
      <x:c r="H68" s="37" t="str">
        <x:v>구현, 코드 리뷰, 사양 갱신, 대상 QA 케이스 실행, 로그·텔레메트리 확인과 관련 플랫폼 검증을 완료하고 미해결 P0·P1 결함이 없다.</x:v>
      </x:c>
      <x:c r="I68" s="37" t="str">
        <x:v>베타</x:v>
      </x:c>
      <x:c r="J68" s="37" t="str">
        <x:v>P1</x:v>
      </x:c>
      <x:c r="K68" s="37" t="str">
        <x:v>필수</x:v>
      </x:c>
      <x:c r="L68" s="37" t="str">
        <x:v>호환성</x:v>
      </x:c>
      <x:c r="M68" s="37" t="str">
        <x:v>베타</x:v>
      </x:c>
      <x:c r="N68" s="37" t="str">
        <x:v>UI·UX 팀</x:v>
      </x:c>
      <x:c r="O68" s="37" t="str">
        <x:v>미정</x:v>
      </x:c>
      <x:c r="P68" s="37" t="str">
        <x:v>미정</x:v>
      </x:c>
      <x:c r="Q68" s="37" t="str">
        <x:v>전체</x:v>
      </x:c>
      <x:c r="R68" s="37" t="str">
        <x:v>클라이언트 로컬</x:v>
      </x:c>
      <x:c r="S68" s="37" t="str">
        <x:v>단말 로컬</x:v>
      </x:c>
      <x:c r="T68" s="37" t="str">
        <x:v>XL</x:v>
      </x:c>
      <x:c r="U68" s="37" t="str">
        <x:v>미착수</x:v>
      </x:c>
      <x:c r="V68" s="42" t="n">
        <x:f>IF(U68="완료",1,IF(U68="QA 진행 중",0.8,IF(U68="코드 리뷰",0.65,IF(U68="구현 중",0.4,IF(U68="사양 확인 중",0.1,IF(U68="차단",0.4,0))))))</x:f>
        <x:v>0</x:v>
      </x:c>
      <x:c r="W68" s="37" t="str">
        <x:v>미정</x:v>
      </x:c>
      <x:c r="X68" s="40"/>
      <x:c r="Y68" s="37" t="str">
        <x:v>SET-004,SET-006</x:v>
      </x:c>
      <x:c r="Z68" s="37" t="str">
        <x:v>중간</x:v>
      </x:c>
      <x:c r="AA68" s="37" t="str">
        <x:v>현지화</x:v>
      </x:c>
      <x:c r="AB68" s="37" t="str">
        <x:v>TC-UIX-029-01</x:v>
      </x:c>
      <x:c r="AC68" s="37"/>
      <x:c r="AD68" s="37" t="str">
        <x:v>게임 기획서</x:v>
      </x:c>
      <x:c r="AE68" s="37"/>
      <x:c r="AF68" s="40" t="str">
        <x:v>2026-07-10</x:v>
      </x:c>
      <x:c r="AG68" s="37"/>
      <x:c r="AH68" s="49"/>
      <x:c r="AI68" s="49"/>
      <x:c r="AJ68" s="48" t="str">
        <x:v>착수 전</x:v>
      </x:c>
    </x:row>
    <x:row r="69" ht="42" customHeight="1">
      <x:c r="A69" s="37" t="str">
        <x:v>UIX-030</x:v>
      </x:c>
      <x:c r="B69" s="37" t="str">
        <x:v>UI·UX</x:v>
      </x:c>
      <x:c r="C69" s="37" t="str">
        <x:v>확장</x:v>
      </x:c>
      <x:c r="D69" s="37" t="str">
        <x:v>사진 메모</x:v>
      </x:c>
      <x:c r="E69" s="37" t="str">
        <x:v>사진 메모 촬영·확인·부착 UI</x:v>
      </x:c>
      <x:c r="F69" s="37" t="str">
        <x:v>게임 규칙, 운영 요구사항과 대상 플랫폼 제약을 충족하도록 사진 메모 촬영·확인·부착 UI 기능을 구현하고 검증한다.</x:v>
      </x:c>
      <x:c r="G69" s="37" t="str">
        <x:v>촬영 가능 횟수, 좁은 화각, 흐림 효과, 확인, 폐기, 부착 상태를 표시하고 사진에서 내부 ID나 정확한 시각이 노출되지 않는다.</x:v>
      </x:c>
      <x:c r="H69" s="37" t="str">
        <x:v>구현, 코드 리뷰, 사양 갱신, 대상 QA 케이스 실행, 로그·텔레메트리 확인과 관련 플랫폼 검증을 완료하고 미해결 P0·P1 결함이 없다.</x:v>
      </x:c>
      <x:c r="I69" s="37" t="str">
        <x:v>출시 후</x:v>
      </x:c>
      <x:c r="J69" s="37" t="str">
        <x:v>P2</x:v>
      </x:c>
      <x:c r="K69" s="37" t="str">
        <x:v>조건부</x:v>
      </x:c>
      <x:c r="L69" s="37" t="str">
        <x:v>확장</x:v>
      </x:c>
      <x:c r="M69" s="37" t="str">
        <x:v>출시 후</x:v>
      </x:c>
      <x:c r="N69" s="37" t="str">
        <x:v>UI·UX 팀</x:v>
      </x:c>
      <x:c r="O69" s="37" t="str">
        <x:v>미정</x:v>
      </x:c>
      <x:c r="P69" s="37" t="str">
        <x:v>미정</x:v>
      </x:c>
      <x:c r="Q69" s="37" t="str">
        <x:v>전체</x:v>
      </x:c>
      <x:c r="R69" s="37" t="str">
        <x:v>클라이언트 로컬</x:v>
      </x:c>
      <x:c r="S69" s="37" t="str">
        <x:v>매치</x:v>
      </x:c>
      <x:c r="T69" s="37" t="str">
        <x:v>XL</x:v>
      </x:c>
      <x:c r="U69" s="37" t="str">
        <x:v>미착수</x:v>
      </x:c>
      <x:c r="V69" s="42" t="n">
        <x:f>IF(U69="완료",1,IF(U69="QA 진행 중",0.8,IF(U69="코드 리뷰",0.65,IF(U69="구현 중",0.4,IF(U69="사양 확인 중",0.1,IF(U69="차단",0.4,0))))))</x:f>
        <x:v>0</x:v>
      </x:c>
      <x:c r="W69" s="37" t="str">
        <x:v>미정</x:v>
      </x:c>
      <x:c r="X69" s="40"/>
      <x:c r="Y69" s="37" t="str">
        <x:v>IGM-034,CNT-029</x:v>
      </x:c>
      <x:c r="Z69" s="37" t="str">
        <x:v>높음</x:v>
      </x:c>
      <x:c r="AA69" s="37" t="str">
        <x:v>밸런스</x:v>
      </x:c>
      <x:c r="AB69" s="37" t="str">
        <x:v>TC-UIX-030-01</x:v>
      </x:c>
      <x:c r="AC69" s="37"/>
      <x:c r="AD69" s="37" t="str">
        <x:v>게임 기획서</x:v>
      </x:c>
      <x:c r="AE69" s="37"/>
      <x:c r="AF69" s="40" t="str">
        <x:v>2026-07-10</x:v>
      </x:c>
      <x:c r="AG69" s="37"/>
      <x:c r="AH69" s="49"/>
      <x:c r="AI69" s="49"/>
      <x:c r="AJ69" s="48" t="str">
        <x:v>착수 전</x:v>
      </x:c>
    </x:row>
    <x:row r="70" ht="42" customHeight="1">
      <x:c r="A70" s="37" t="str">
        <x:v>SET-001</x:v>
      </x:c>
      <x:c r="B70" s="37" t="str">
        <x:v>게임 설정·접근성</x:v>
      </x:c>
      <x:c r="C70" s="37" t="str">
        <x:v>설정 프레임워크</x:v>
      </x:c>
      <x:c r="D70" s="37" t="str">
        <x:v>스키마</x:v>
      </x:c>
      <x:c r="E70" s="37" t="str">
        <x:v>설정 키·형식·기본값·적용 범위 공통 스키마</x:v>
      </x:c>
      <x:c r="F70" s="37" t="str">
        <x:v>게임 규칙, 운영 요구사항과 대상 플랫폼 제약을 충족하도록 설정 키·형식·기본값·적용 범위 공통 스키마 기능을 구현하고 검증한다.</x:v>
      </x:c>
      <x:c r="G70" s="37" t="str">
        <x:v>각 설정에 고유 키, 데이터 형식, 기본값, 최솟값·최댓값, 적용 시점, 권한, 저장 범위, 버전을 정의하고 알 수 없는 키는 안전하게 무시한다.</x:v>
      </x:c>
      <x:c r="H70" s="37" t="str">
        <x:v>구현, 코드 리뷰, 사양 갱신, 대상 QA 케이스 실행, 로그·텔레메트리 확인과 관련 플랫폼 검증을 완료하고 미해결 P0·P1 결함이 없다.</x:v>
      </x:c>
      <x:c r="I70" s="37" t="str">
        <x:v>MVP</x:v>
      </x:c>
      <x:c r="J70" s="37" t="str">
        <x:v>P0</x:v>
      </x:c>
      <x:c r="K70" s="37" t="str">
        <x:v>필수</x:v>
      </x:c>
      <x:c r="L70" s="37" t="str">
        <x:v>설정 기반</x:v>
      </x:c>
      <x:c r="M70" s="37" t="str">
        <x:v>MVP</x:v>
      </x:c>
      <x:c r="N70" s="37" t="str">
        <x:v>UX·클라이언트 엔지니어링</x:v>
      </x:c>
      <x:c r="O70" s="37" t="str">
        <x:v>미정</x:v>
      </x:c>
      <x:c r="P70" s="37" t="str">
        <x:v>미정</x:v>
      </x:c>
      <x:c r="Q70" s="37" t="str">
        <x:v>전체</x:v>
      </x:c>
      <x:c r="R70" s="37" t="str">
        <x:v>콘텐츠 데이터</x:v>
      </x:c>
      <x:c r="S70" s="37" t="str">
        <x:v>백엔드</x:v>
      </x:c>
      <x:c r="T70" s="37" t="str">
        <x:v>L</x:v>
      </x:c>
      <x:c r="U70" s="37" t="str">
        <x:v>미착수</x:v>
      </x:c>
      <x:c r="V70" s="42" t="n">
        <x:f>IF(U70="완료",1,IF(U70="QA 진행 중",0.8,IF(U70="코드 리뷰",0.65,IF(U70="구현 중",0.4,IF(U70="사양 확인 중",0.1,IF(U70="차단",0.4,0))))))</x:f>
        <x:v>0</x:v>
      </x:c>
      <x:c r="W70" s="37" t="str">
        <x:v>미정</x:v>
      </x:c>
      <x:c r="X70" s="40"/>
      <x:c r="Y70" s="37"/>
      <x:c r="Z70" s="37" t="str">
        <x:v>중간</x:v>
      </x:c>
      <x:c r="AA70" s="37" t="str">
        <x:v>기능</x:v>
      </x:c>
      <x:c r="AB70" s="37" t="str">
        <x:v>TC-SET-001-01, TC-SET-001-02</x:v>
      </x:c>
      <x:c r="AC70" s="37"/>
      <x:c r="AD70" s="37" t="str">
        <x:v>게임 기획서</x:v>
      </x:c>
      <x:c r="AE70" s="37"/>
      <x:c r="AF70" s="40" t="str">
        <x:v>2026-07-10</x:v>
      </x:c>
      <x:c r="AG70" s="37"/>
      <x:c r="AH70" s="49"/>
      <x:c r="AI70" s="49"/>
      <x:c r="AJ70" s="48" t="str">
        <x:v>착수 전</x:v>
      </x:c>
    </x:row>
    <x:row r="71" ht="42" customHeight="1">
      <x:c r="A71" s="37" t="str">
        <x:v>SET-002</x:v>
      </x:c>
      <x:c r="B71" s="37" t="str">
        <x:v>게임 설정·접근성</x:v>
      </x:c>
      <x:c r="C71" s="37" t="str">
        <x:v>설정 프레임워크</x:v>
      </x:c>
      <x:c r="D71" s="37" t="str">
        <x:v>영속성</x:v>
      </x:c>
      <x:c r="E71" s="37" t="str">
        <x:v>설정 저장·버전 마이그레이션</x:v>
      </x:c>
      <x:c r="F71" s="37" t="str">
        <x:v>게임 규칙, 운영 요구사항과 대상 플랫폼 제약을 충족하도록 설정 저장·버전 마이그레이션 기능을 구현하고 검증한다.</x:v>
      </x:c>
      <x:c r="G71" s="37" t="str">
        <x:v>기기, 계정, 룸 설정을 올바른 저장 영역에 보관하고 이전 버전 설정의 마이그레이션이 실패하면 기본값으로 안전하게 복구한다.</x:v>
      </x:c>
      <x:c r="H71" s="37" t="str">
        <x:v>구현, 코드 리뷰, 사양 갱신, 대상 QA 케이스 실행, 로그·텔레메트리 확인과 관련 플랫폼 검증을 완료하고 미해결 P0·P1 결함이 없다.</x:v>
      </x:c>
      <x:c r="I71" s="37" t="str">
        <x:v>MVP</x:v>
      </x:c>
      <x:c r="J71" s="37" t="str">
        <x:v>P0</x:v>
      </x:c>
      <x:c r="K71" s="37" t="str">
        <x:v>필수</x:v>
      </x:c>
      <x:c r="L71" s="37" t="str">
        <x:v>설정 기반</x:v>
      </x:c>
      <x:c r="M71" s="37" t="str">
        <x:v>MVP</x:v>
      </x:c>
      <x:c r="N71" s="37" t="str">
        <x:v>UX·클라이언트 엔지니어링</x:v>
      </x:c>
      <x:c r="O71" s="37" t="str">
        <x:v>미정</x:v>
      </x:c>
      <x:c r="P71" s="37" t="str">
        <x:v>미정</x:v>
      </x:c>
      <x:c r="Q71" s="37" t="str">
        <x:v>전체</x:v>
      </x:c>
      <x:c r="R71" s="37" t="str">
        <x:v>클라이언트 로컬</x:v>
      </x:c>
      <x:c r="S71" s="37" t="str">
        <x:v>단말 로컬</x:v>
      </x:c>
      <x:c r="T71" s="37" t="str">
        <x:v>L</x:v>
      </x:c>
      <x:c r="U71" s="37" t="str">
        <x:v>미착수</x:v>
      </x:c>
      <x:c r="V71" s="42" t="n">
        <x:f>IF(U71="완료",1,IF(U71="QA 진행 중",0.8,IF(U71="코드 리뷰",0.65,IF(U71="구현 중",0.4,IF(U71="사양 확인 중",0.1,IF(U71="차단",0.4,0))))))</x:f>
        <x:v>0</x:v>
      </x:c>
      <x:c r="W71" s="37" t="str">
        <x:v>미정</x:v>
      </x:c>
      <x:c r="X71" s="40"/>
      <x:c r="Y71" s="37" t="str">
        <x:v>SET-001,BED-003</x:v>
      </x:c>
      <x:c r="Z71" s="37" t="str">
        <x:v>중간</x:v>
      </x:c>
      <x:c r="AA71" s="37" t="str">
        <x:v>호환성</x:v>
      </x:c>
      <x:c r="AB71" s="37" t="str">
        <x:v>TC-SET-002-01, TC-SET-002-02</x:v>
      </x:c>
      <x:c r="AC71" s="37"/>
      <x:c r="AD71" s="37" t="str">
        <x:v>게임 기획서</x:v>
      </x:c>
      <x:c r="AE71" s="37"/>
      <x:c r="AF71" s="40" t="str">
        <x:v>2026-07-10</x:v>
      </x:c>
      <x:c r="AG71" s="37"/>
      <x:c r="AH71" s="49"/>
      <x:c r="AI71" s="49"/>
      <x:c r="AJ71" s="48" t="str">
        <x:v>착수 전</x:v>
      </x:c>
    </x:row>
    <x:row r="72" ht="42" customHeight="1">
      <x:c r="A72" s="37" t="str">
        <x:v>SET-003</x:v>
      </x:c>
      <x:c r="B72" s="37" t="str">
        <x:v>게임 설정·접근성</x:v>
      </x:c>
      <x:c r="C72" s="37" t="str">
        <x:v>설정 프레임워크</x:v>
      </x:c>
      <x:c r="D72" s="37" t="str">
        <x:v>초기화</x:v>
      </x:c>
      <x:c r="E72" s="37" t="str">
        <x:v>범주별·전체 설정 초기화</x:v>
      </x:c>
      <x:c r="F72" s="37" t="str">
        <x:v>게임 규칙, 운영 요구사항과 대상 플랫폼 제약을 충족하도록 범주별·전체 설정 초기화 기능을 구현하고 검증한다.</x:v>
      </x:c>
      <x:c r="G72" s="37" t="str">
        <x:v>그래픽, 오디오, 조작, 접근성, 온라인 설정을 범주별 또는 전체로 초기화할 수 있으며 확인 절차를 거친다.</x:v>
      </x:c>
      <x:c r="H72" s="37" t="str">
        <x:v>구현, 코드 리뷰, 사양 갱신, 대상 QA 케이스 실행, 로그·텔레메트리 확인과 관련 플랫폼 검증을 완료하고 미해결 P0·P1 결함이 없다.</x:v>
      </x:c>
      <x:c r="I72" s="37" t="str">
        <x:v>MVP</x:v>
      </x:c>
      <x:c r="J72" s="37" t="str">
        <x:v>P1</x:v>
      </x:c>
      <x:c r="K72" s="37" t="str">
        <x:v>필수</x:v>
      </x:c>
      <x:c r="L72" s="37" t="str">
        <x:v>설정 기반</x:v>
      </x:c>
      <x:c r="M72" s="37" t="str">
        <x:v>MVP</x:v>
      </x:c>
      <x:c r="N72" s="37" t="str">
        <x:v>UX·클라이언트 엔지니어링</x:v>
      </x:c>
      <x:c r="O72" s="37" t="str">
        <x:v>미정</x:v>
      </x:c>
      <x:c r="P72" s="37" t="str">
        <x:v>미정</x:v>
      </x:c>
      <x:c r="Q72" s="37" t="str">
        <x:v>전체</x:v>
      </x:c>
      <x:c r="R72" s="37" t="str">
        <x:v>클라이언트 로컬</x:v>
      </x:c>
      <x:c r="S72" s="37" t="str">
        <x:v>단말 로컬</x:v>
      </x:c>
      <x:c r="T72" s="37" t="str">
        <x:v>S</x:v>
      </x:c>
      <x:c r="U72" s="37" t="str">
        <x:v>미착수</x:v>
      </x:c>
      <x:c r="V72" s="42" t="n">
        <x:f>IF(U72="완료",1,IF(U72="QA 진행 중",0.8,IF(U72="코드 리뷰",0.65,IF(U72="구현 중",0.4,IF(U72="사양 확인 중",0.1,IF(U72="차단",0.4,0))))))</x:f>
        <x:v>0</x:v>
      </x:c>
      <x:c r="W72" s="37" t="str">
        <x:v>미정</x:v>
      </x:c>
      <x:c r="X72" s="40"/>
      <x:c r="Y72" s="37" t="str">
        <x:v>SET-001</x:v>
      </x:c>
      <x:c r="Z72" s="37" t="str">
        <x:v>중간</x:v>
      </x:c>
      <x:c r="AA72" s="37" t="str">
        <x:v>기능</x:v>
      </x:c>
      <x:c r="AB72" s="37" t="str">
        <x:v>TC-SET-003-01</x:v>
      </x:c>
      <x:c r="AC72" s="37"/>
      <x:c r="AD72" s="37" t="str">
        <x:v>게임 기획서</x:v>
      </x:c>
      <x:c r="AE72" s="37"/>
      <x:c r="AF72" s="40" t="str">
        <x:v>2026-07-10</x:v>
      </x:c>
      <x:c r="AG72" s="37"/>
      <x:c r="AH72" s="49"/>
      <x:c r="AI72" s="49"/>
      <x:c r="AJ72" s="48" t="str">
        <x:v>착수 전</x:v>
      </x:c>
    </x:row>
    <x:row r="73" ht="42" customHeight="1">
      <x:c r="A73" s="37" t="str">
        <x:v>SET-004</x:v>
      </x:c>
      <x:c r="B73" s="37" t="str">
        <x:v>게임 설정·접근성</x:v>
      </x:c>
      <x:c r="C73" s="37" t="str">
        <x:v>일반</x:v>
      </x:c>
      <x:c r="D73" s="37" t="str">
        <x:v>언어</x:v>
      </x:c>
      <x:c r="E73" s="37" t="str">
        <x:v>표시 언어·현지화 선택</x:v>
      </x:c>
      <x:c r="F73" s="37" t="str">
        <x:v>게임 규칙, 운영 요구사항과 대상 플랫폼 제약을 충족하도록 표시 언어·현지화 선택 기능을 구현하고 검증한다.</x:v>
      </x:c>
      <x:c r="G73" s="37" t="str">
        <x:v>최초 실행 시 OS 또는 플랫폼 언어를 참조하고 설정 화면에서 즉시 변경할 수 있으며 개발 빌드에서 미번역 키를 탐지한다.</x:v>
      </x:c>
      <x:c r="H73" s="37" t="str">
        <x:v>구현, 코드 리뷰, 사양 갱신, 대상 QA 케이스 실행, 로그·텔레메트리 확인과 관련 플랫폼 검증을 완료하고 미해결 P0·P1 결함이 없다.</x:v>
      </x:c>
      <x:c r="I73" s="37" t="str">
        <x:v>베타</x:v>
      </x:c>
      <x:c r="J73" s="37" t="str">
        <x:v>P1</x:v>
      </x:c>
      <x:c r="K73" s="37" t="str">
        <x:v>필수</x:v>
      </x:c>
      <x:c r="L73" s="37" t="str">
        <x:v>현지화</x:v>
      </x:c>
      <x:c r="M73" s="37" t="str">
        <x:v>베타</x:v>
      </x:c>
      <x:c r="N73" s="37" t="str">
        <x:v>UX·클라이언트 엔지니어링</x:v>
      </x:c>
      <x:c r="O73" s="37" t="str">
        <x:v>미정</x:v>
      </x:c>
      <x:c r="P73" s="37" t="str">
        <x:v>미정</x:v>
      </x:c>
      <x:c r="Q73" s="37" t="str">
        <x:v>전체</x:v>
      </x:c>
      <x:c r="R73" s="37" t="str">
        <x:v>클라이언트 로컬</x:v>
      </x:c>
      <x:c r="S73" s="37" t="str">
        <x:v>단말 로컬</x:v>
      </x:c>
      <x:c r="T73" s="37" t="str">
        <x:v>M</x:v>
      </x:c>
      <x:c r="U73" s="37" t="str">
        <x:v>미착수</x:v>
      </x:c>
      <x:c r="V73" s="42" t="n">
        <x:f>IF(U73="완료",1,IF(U73="QA 진행 중",0.8,IF(U73="코드 리뷰",0.65,IF(U73="구현 중",0.4,IF(U73="사양 확인 중",0.1,IF(U73="차단",0.4,0))))))</x:f>
        <x:v>0</x:v>
      </x:c>
      <x:c r="W73" s="37" t="str">
        <x:v>미정</x:v>
      </x:c>
      <x:c r="X73" s="40"/>
      <x:c r="Y73" s="37" t="str">
        <x:v>SET-001</x:v>
      </x:c>
      <x:c r="Z73" s="37" t="str">
        <x:v>중간</x:v>
      </x:c>
      <x:c r="AA73" s="37" t="str">
        <x:v>현지화</x:v>
      </x:c>
      <x:c r="AB73" s="37" t="str">
        <x:v>TC-SET-004-01</x:v>
      </x:c>
      <x:c r="AC73" s="37"/>
      <x:c r="AD73" s="37" t="str">
        <x:v>게임 기획서</x:v>
      </x:c>
      <x:c r="AE73" s="37"/>
      <x:c r="AF73" s="40" t="str">
        <x:v>2026-07-10</x:v>
      </x:c>
      <x:c r="AG73" s="37"/>
      <x:c r="AH73" s="49"/>
      <x:c r="AI73" s="49"/>
      <x:c r="AJ73" s="48" t="str">
        <x:v>착수 전</x:v>
      </x:c>
    </x:row>
    <x:row r="74" ht="42" customHeight="1">
      <x:c r="A74" s="37" t="str">
        <x:v>SET-005</x:v>
      </x:c>
      <x:c r="B74" s="37" t="str">
        <x:v>게임 설정·접근성</x:v>
      </x:c>
      <x:c r="C74" s="37" t="str">
        <x:v>클라이언트 설정</x:v>
      </x:c>
      <x:c r="D74" s="37" t="str">
        <x:v>그래픽</x:v>
      </x:c>
      <x:c r="E74" s="37" t="str">
        <x:v>화면·품질·FOV 설정</x:v>
      </x:c>
      <x:c r="F74" s="37" t="str">
        <x:v>게임 규칙, 운영 요구사항과 대상 플랫폼 제약을 충족하도록 화면·품질·FOV 설정 기능을 구현하고 검증한다.</x:v>
      </x:c>
      <x:c r="G74" s="37" t="str">
        <x:v>해상도, 화면 모드, 품질 프리셋, FOV, 밝기를 변경할 수 있고 등 메모 판독성을 해칠 수 있는 범위는 제한하거나 경고한다.</x:v>
      </x:c>
      <x:c r="H74" s="37" t="str">
        <x:v>구현, 코드 리뷰, 사양 갱신, 대상 QA 케이스 실행, 로그·텔레메트리 확인과 관련 플랫폼 검증을 완료하고 미해결 P0·P1 결함이 없다.</x:v>
      </x:c>
      <x:c r="I74" s="37" t="str">
        <x:v>베타</x:v>
      </x:c>
      <x:c r="J74" s="37" t="str">
        <x:v>P1</x:v>
      </x:c>
      <x:c r="K74" s="37" t="str">
        <x:v>필수</x:v>
      </x:c>
      <x:c r="L74" s="37" t="str">
        <x:v>호환성</x:v>
      </x:c>
      <x:c r="M74" s="37" t="str">
        <x:v>베타</x:v>
      </x:c>
      <x:c r="N74" s="37" t="str">
        <x:v>UX·클라이언트 엔지니어링</x:v>
      </x:c>
      <x:c r="O74" s="37" t="str">
        <x:v>미정</x:v>
      </x:c>
      <x:c r="P74" s="37" t="str">
        <x:v>미정</x:v>
      </x:c>
      <x:c r="Q74" s="37" t="str">
        <x:v>PC</x:v>
      </x:c>
      <x:c r="R74" s="37" t="str">
        <x:v>클라이언트 로컬</x:v>
      </x:c>
      <x:c r="S74" s="37" t="str">
        <x:v>단말 로컬</x:v>
      </x:c>
      <x:c r="T74" s="37" t="str">
        <x:v>L</x:v>
      </x:c>
      <x:c r="U74" s="37" t="str">
        <x:v>미착수</x:v>
      </x:c>
      <x:c r="V74" s="42" t="n">
        <x:f>IF(U74="완료",1,IF(U74="QA 진행 중",0.8,IF(U74="코드 리뷰",0.65,IF(U74="구현 중",0.4,IF(U74="사양 확인 중",0.1,IF(U74="차단",0.4,0))))))</x:f>
        <x:v>0</x:v>
      </x:c>
      <x:c r="W74" s="37" t="str">
        <x:v>미정</x:v>
      </x:c>
      <x:c r="X74" s="40"/>
      <x:c r="Y74" s="37" t="str">
        <x:v>SET-001,CHR-012</x:v>
      </x:c>
      <x:c r="Z74" s="37" t="str">
        <x:v>중간</x:v>
      </x:c>
      <x:c r="AA74" s="37" t="str">
        <x:v>호환성</x:v>
      </x:c>
      <x:c r="AB74" s="37" t="str">
        <x:v>TC-SET-005-01</x:v>
      </x:c>
      <x:c r="AC74" s="37"/>
      <x:c r="AD74" s="37" t="str">
        <x:v>게임 기획서</x:v>
      </x:c>
      <x:c r="AE74" s="37"/>
      <x:c r="AF74" s="40" t="str">
        <x:v>2026-07-10</x:v>
      </x:c>
      <x:c r="AG74" s="37"/>
      <x:c r="AH74" s="49"/>
      <x:c r="AI74" s="49"/>
      <x:c r="AJ74" s="48" t="str">
        <x:v>착수 전</x:v>
      </x:c>
    </x:row>
    <x:row r="75" ht="42" customHeight="1">
      <x:c r="A75" s="37" t="str">
        <x:v>SET-006</x:v>
      </x:c>
      <x:c r="B75" s="37" t="str">
        <x:v>게임 설정·접근성</x:v>
      </x:c>
      <x:c r="C75" s="37" t="str">
        <x:v>클라이언트 설정</x:v>
      </x:c>
      <x:c r="D75" s="37" t="str">
        <x:v>조작</x:v>
      </x:c>
      <x:c r="E75" s="37" t="str">
        <x:v>입력 바인딩·감도·데드존 설정</x:v>
      </x:c>
      <x:c r="F75" s="37" t="str">
        <x:v>게임 규칙, 운영 요구사항과 대상 플랫폼 제약을 충족하도록 입력 바인딩·감도·데드존 설정 기능을 구현하고 검증한다.</x:v>
      </x:c>
      <x:c r="G75" s="37" t="str">
        <x:v>키보드·마우스와 게임패드 재지정, 축 반전, 감도, 데드존을 설정할 수 있고 필수 조작의 중복 지정과 미지정을 방지한다.</x:v>
      </x:c>
      <x:c r="H75" s="37" t="str">
        <x:v>구현, 코드 리뷰, 사양 갱신, 대상 QA 케이스 실행, 로그·텔레메트리 확인과 관련 플랫폼 검증을 완료하고 미해결 P0·P1 결함이 없다.</x:v>
      </x:c>
      <x:c r="I75" s="37" t="str">
        <x:v>베타</x:v>
      </x:c>
      <x:c r="J75" s="37" t="str">
        <x:v>P1</x:v>
      </x:c>
      <x:c r="K75" s="37" t="str">
        <x:v>필수</x:v>
      </x:c>
      <x:c r="L75" s="37" t="str">
        <x:v>조작</x:v>
      </x:c>
      <x:c r="M75" s="37" t="str">
        <x:v>베타</x:v>
      </x:c>
      <x:c r="N75" s="37" t="str">
        <x:v>UX·클라이언트 엔지니어링</x:v>
      </x:c>
      <x:c r="O75" s="37" t="str">
        <x:v>미정</x:v>
      </x:c>
      <x:c r="P75" s="37" t="str">
        <x:v>미정</x:v>
      </x:c>
      <x:c r="Q75" s="37" t="str">
        <x:v>전체</x:v>
      </x:c>
      <x:c r="R75" s="37" t="str">
        <x:v>클라이언트 로컬</x:v>
      </x:c>
      <x:c r="S75" s="37" t="str">
        <x:v>단말 로컬</x:v>
      </x:c>
      <x:c r="T75" s="37" t="str">
        <x:v>XL</x:v>
      </x:c>
      <x:c r="U75" s="37" t="str">
        <x:v>미착수</x:v>
      </x:c>
      <x:c r="V75" s="42" t="n">
        <x:f>IF(U75="완료",1,IF(U75="QA 진행 중",0.8,IF(U75="코드 리뷰",0.65,IF(U75="구현 중",0.4,IF(U75="사양 확인 중",0.1,IF(U75="차단",0.4,0))))))</x:f>
        <x:v>0</x:v>
      </x:c>
      <x:c r="W75" s="37" t="str">
        <x:v>미정</x:v>
      </x:c>
      <x:c r="X75" s="40"/>
      <x:c r="Y75" s="37" t="str">
        <x:v>SET-001</x:v>
      </x:c>
      <x:c r="Z75" s="37" t="str">
        <x:v>중간</x:v>
      </x:c>
      <x:c r="AA75" s="37" t="str">
        <x:v>접근성</x:v>
      </x:c>
      <x:c r="AB75" s="37" t="str">
        <x:v>TC-SET-006-01</x:v>
      </x:c>
      <x:c r="AC75" s="37"/>
      <x:c r="AD75" s="37" t="str">
        <x:v>게임 기획서</x:v>
      </x:c>
      <x:c r="AE75" s="37"/>
      <x:c r="AF75" s="40" t="str">
        <x:v>2026-07-10</x:v>
      </x:c>
      <x:c r="AG75" s="37"/>
      <x:c r="AH75" s="49"/>
      <x:c r="AI75" s="49"/>
      <x:c r="AJ75" s="48" t="str">
        <x:v>착수 전</x:v>
      </x:c>
    </x:row>
    <x:row r="76" ht="42" customHeight="1">
      <x:c r="A76" s="37" t="str">
        <x:v>SET-007</x:v>
      </x:c>
      <x:c r="B76" s="37" t="str">
        <x:v>게임 설정·접근성</x:v>
      </x:c>
      <x:c r="C76" s="37" t="str">
        <x:v>클라이언트 설정</x:v>
      </x:c>
      <x:c r="D76" s="37" t="str">
        <x:v>오디오</x:v>
      </x:c>
      <x:c r="E76" s="37" t="str">
        <x:v>BGM·효과음·UI·음성 볼륨 분리</x:v>
      </x:c>
      <x:c r="F76" s="37" t="str">
        <x:v>게임 규칙, 운영 요구사항과 대상 플랫폼 제약을 충족하도록 BGM·효과음·UI·음성 볼륨 분리 기능을 구현하고 검증한다.</x:v>
      </x:c>
      <x:c r="G76" s="37" t="str">
        <x:v>마스터, BGM, 효과음, UI, 음성 채팅, 마이크 게인을 개별 조절할 수 있고 음소거 상태가 매치 전환 중 임의로 해제되지 않는다.</x:v>
      </x:c>
      <x:c r="H76" s="37" t="str">
        <x:v>구현, 코드 리뷰, 사양 갱신, 대상 QA 케이스 실행, 로그·텔레메트리 확인과 관련 플랫폼 검증을 완료하고 미해결 P0·P1 결함이 없다.</x:v>
      </x:c>
      <x:c r="I76" s="37" t="str">
        <x:v>알파</x:v>
      </x:c>
      <x:c r="J76" s="37" t="str">
        <x:v>P0</x:v>
      </x:c>
      <x:c r="K76" s="37" t="str">
        <x:v>필수</x:v>
      </x:c>
      <x:c r="L76" s="37" t="str">
        <x:v>오디오</x:v>
      </x:c>
      <x:c r="M76" s="37" t="str">
        <x:v>알파</x:v>
      </x:c>
      <x:c r="N76" s="37" t="str">
        <x:v>UX·클라이언트 엔지니어링</x:v>
      </x:c>
      <x:c r="O76" s="37" t="str">
        <x:v>미정</x:v>
      </x:c>
      <x:c r="P76" s="37" t="str">
        <x:v>미정</x:v>
      </x:c>
      <x:c r="Q76" s="37" t="str">
        <x:v>전체</x:v>
      </x:c>
      <x:c r="R76" s="37" t="str">
        <x:v>클라이언트 로컬</x:v>
      </x:c>
      <x:c r="S76" s="37" t="str">
        <x:v>단말 로컬</x:v>
      </x:c>
      <x:c r="T76" s="37" t="str">
        <x:v>M</x:v>
      </x:c>
      <x:c r="U76" s="37" t="str">
        <x:v>미착수</x:v>
      </x:c>
      <x:c r="V76" s="42" t="n">
        <x:f>IF(U76="완료",1,IF(U76="QA 진행 중",0.8,IF(U76="코드 리뷰",0.65,IF(U76="구현 중",0.4,IF(U76="사양 확인 중",0.1,IF(U76="차단",0.4,0))))))</x:f>
        <x:v>0</x:v>
      </x:c>
      <x:c r="W76" s="37" t="str">
        <x:v>미정</x:v>
      </x:c>
      <x:c r="X76" s="40"/>
      <x:c r="Y76" s="37" t="str">
        <x:v>SET-001,AUD-001</x:v>
      </x:c>
      <x:c r="Z76" s="37" t="str">
        <x:v>중간</x:v>
      </x:c>
      <x:c r="AA76" s="37" t="str">
        <x:v>기능</x:v>
      </x:c>
      <x:c r="AB76" s="37" t="str">
        <x:v>TC-SET-007-01, TC-SET-007-02</x:v>
      </x:c>
      <x:c r="AC76" s="37"/>
      <x:c r="AD76" s="37" t="str">
        <x:v>게임 기획서</x:v>
      </x:c>
      <x:c r="AE76" s="37"/>
      <x:c r="AF76" s="40" t="str">
        <x:v>2026-07-10</x:v>
      </x:c>
      <x:c r="AG76" s="37"/>
      <x:c r="AH76" s="49"/>
      <x:c r="AI76" s="49"/>
      <x:c r="AJ76" s="48" t="str">
        <x:v>착수 전</x:v>
      </x:c>
    </x:row>
    <x:row r="77" ht="42" customHeight="1">
      <x:c r="A77" s="37" t="str">
        <x:v>SET-008</x:v>
      </x:c>
      <x:c r="B77" s="37" t="str">
        <x:v>게임 설정·접근성</x:v>
      </x:c>
      <x:c r="C77" s="37" t="str">
        <x:v>클라이언트 설정</x:v>
      </x:c>
      <x:c r="D77" s="37" t="str">
        <x:v>음성·개인정보</x:v>
      </x:c>
      <x:c r="E77" s="37" t="str">
        <x:v>음성 방식·입출력 장치·동의 설정</x:v>
      </x:c>
      <x:c r="F77" s="37" t="str">
        <x:v>게임 규칙, 운영 요구사항과 대상 플랫폼 제약을 충족하도록 음성 방식·입출력 장치·동의 설정 기능을 구현하고 검증한다.</x:v>
      </x:c>
      <x:c r="G77" s="37" t="str">
        <x:v>PTT·오픈 마이크, 입력·출력 장치, 음성 활성화, 최초 동의, 지역·연령 제한을 설정할 수 있다.</x:v>
      </x:c>
      <x:c r="H77" s="37" t="str">
        <x:v>구현, 코드 리뷰, 사양 갱신, 대상 QA 케이스 실행, 로그·텔레메트리 확인과 관련 플랫폼 검증을 완료하고 미해결 P0·P1 결함이 없다.</x:v>
      </x:c>
      <x:c r="I77" s="37" t="str">
        <x:v>알파</x:v>
      </x:c>
      <x:c r="J77" s="37" t="str">
        <x:v>P0</x:v>
      </x:c>
      <x:c r="K77" s="37" t="str">
        <x:v>필수</x:v>
      </x:c>
      <x:c r="L77" s="37" t="str">
        <x:v>개인정보</x:v>
      </x:c>
      <x:c r="M77" s="37" t="str">
        <x:v>알파</x:v>
      </x:c>
      <x:c r="N77" s="37" t="str">
        <x:v>UX·클라이언트 엔지니어링</x:v>
      </x:c>
      <x:c r="O77" s="37" t="str">
        <x:v>미정</x:v>
      </x:c>
      <x:c r="P77" s="37" t="str">
        <x:v>미정</x:v>
      </x:c>
      <x:c r="Q77" s="37" t="str">
        <x:v>전체</x:v>
      </x:c>
      <x:c r="R77" s="37" t="str">
        <x:v>클라이언트 로컬</x:v>
      </x:c>
      <x:c r="S77" s="37" t="str">
        <x:v>계정</x:v>
      </x:c>
      <x:c r="T77" s="37" t="str">
        <x:v>L</x:v>
      </x:c>
      <x:c r="U77" s="37" t="str">
        <x:v>미착수</x:v>
      </x:c>
      <x:c r="V77" s="42" t="n">
        <x:f>IF(U77="완료",1,IF(U77="QA 진행 중",0.8,IF(U77="코드 리뷰",0.65,IF(U77="구현 중",0.4,IF(U77="사양 확인 중",0.1,IF(U77="차단",0.4,0))))))</x:f>
        <x:v>0</x:v>
      </x:c>
      <x:c r="W77" s="37" t="str">
        <x:v>미정</x:v>
      </x:c>
      <x:c r="X77" s="40"/>
      <x:c r="Y77" s="37" t="str">
        <x:v>SET-001,AUD-002,BED-012</x:v>
      </x:c>
      <x:c r="Z77" s="37" t="str">
        <x:v>중간</x:v>
      </x:c>
      <x:c r="AA77" s="37" t="str">
        <x:v>운영</x:v>
      </x:c>
      <x:c r="AB77" s="37" t="str">
        <x:v>TC-SET-008-01, TC-SET-008-02</x:v>
      </x:c>
      <x:c r="AC77" s="37"/>
      <x:c r="AD77" s="37" t="str">
        <x:v>게임 기획서</x:v>
      </x:c>
      <x:c r="AE77" s="37"/>
      <x:c r="AF77" s="40" t="str">
        <x:v>2026-07-10</x:v>
      </x:c>
      <x:c r="AG77" s="37"/>
      <x:c r="AH77" s="49"/>
      <x:c r="AI77" s="49"/>
      <x:c r="AJ77" s="48" t="str">
        <x:v>착수 전</x:v>
      </x:c>
    </x:row>
    <x:row r="78" ht="42" customHeight="1">
      <x:c r="A78" s="37" t="str">
        <x:v>SET-009</x:v>
      </x:c>
      <x:c r="B78" s="37" t="str">
        <x:v>게임 설정·접근성</x:v>
      </x:c>
      <x:c r="C78" s="37" t="str">
        <x:v>룸 규칙</x:v>
      </x:c>
      <x:c r="D78" s="37" t="str">
        <x:v>프리셋</x:v>
      </x:c>
      <x:c r="E78" s="37" t="str">
        <x:v>권장 룸 프리셋</x:v>
      </x:c>
      <x:c r="F78" s="37" t="str">
        <x:v>게임 규칙, 운영 요구사항과 대상 플랫폼 제약을 충족하도록 권장 룸 프리셋 기능을 구현하고 검증한다.</x:v>
      </x:c>
      <x:c r="G78" s="37" t="str">
        <x:v>5~6명, 마피아 1명, 낮 180초, 밤 관찰 25초, 투표 15초, 위조 1회, 5일째 최종 재판의 권장값을 한 번에 적용한다.</x:v>
      </x:c>
      <x:c r="H78" s="37" t="str">
        <x:v>구현, 코드 리뷰, 사양 갱신, 대상 QA 케이스 실행, 로그·텔레메트리 확인과 관련 플랫폼 검증을 완료하고 미해결 P0·P1 결함이 없다.</x:v>
      </x:c>
      <x:c r="I78" s="37" t="str">
        <x:v>MVP</x:v>
      </x:c>
      <x:c r="J78" s="37" t="str">
        <x:v>P0</x:v>
      </x:c>
      <x:c r="K78" s="37" t="str">
        <x:v>필수</x:v>
      </x:c>
      <x:c r="L78" s="37" t="str">
        <x:v>규칙</x:v>
      </x:c>
      <x:c r="M78" s="37" t="str">
        <x:v>MVP</x:v>
      </x:c>
      <x:c r="N78" s="37" t="str">
        <x:v>UX·클라이언트 엔지니어링</x:v>
      </x:c>
      <x:c r="O78" s="37" t="str">
        <x:v>미정</x:v>
      </x:c>
      <x:c r="P78" s="37" t="str">
        <x:v>미정</x:v>
      </x:c>
      <x:c r="Q78" s="37" t="str">
        <x:v>전체</x:v>
      </x:c>
      <x:c r="R78" s="37" t="str">
        <x:v>호스트 권한</x:v>
      </x:c>
      <x:c r="S78" s="37" t="str">
        <x:v>단말 로컬</x:v>
      </x:c>
      <x:c r="T78" s="37" t="str">
        <x:v>M</x:v>
      </x:c>
      <x:c r="U78" s="37" t="str">
        <x:v>미착수</x:v>
      </x:c>
      <x:c r="V78" s="42" t="n">
        <x:f>IF(U78="완료",1,IF(U78="QA 진행 중",0.8,IF(U78="코드 리뷰",0.65,IF(U78="구현 중",0.4,IF(U78="사양 확인 중",0.1,IF(U78="차단",0.4,0))))))</x:f>
        <x:v>0</x:v>
      </x:c>
      <x:c r="W78" s="37" t="str">
        <x:v>미정</x:v>
      </x:c>
      <x:c r="X78" s="40"/>
      <x:c r="Y78" s="37" t="str">
        <x:v>SET-001</x:v>
      </x:c>
      <x:c r="Z78" s="37" t="str">
        <x:v>중간</x:v>
      </x:c>
      <x:c r="AA78" s="37" t="str">
        <x:v>기능</x:v>
      </x:c>
      <x:c r="AB78" s="37" t="str">
        <x:v>TC-SET-009-01, TC-SET-009-02</x:v>
      </x:c>
      <x:c r="AC78" s="37"/>
      <x:c r="AD78" s="37" t="str">
        <x:v>게임 기획서</x:v>
      </x:c>
      <x:c r="AE78" s="37"/>
      <x:c r="AF78" s="40" t="str">
        <x:v>2026-07-10</x:v>
      </x:c>
      <x:c r="AG78" s="37"/>
      <x:c r="AH78" s="49"/>
      <x:c r="AI78" s="49"/>
      <x:c r="AJ78" s="48" t="str">
        <x:v>착수 전</x:v>
      </x:c>
    </x:row>
    <x:row r="79" ht="42" customHeight="1">
      <x:c r="A79" s="37" t="str">
        <x:v>SET-010</x:v>
      </x:c>
      <x:c r="B79" s="37" t="str">
        <x:v>게임 설정·접근성</x:v>
      </x:c>
      <x:c r="C79" s="37" t="str">
        <x:v>룸 규칙</x:v>
      </x:c>
      <x:c r="D79" s="37" t="str">
        <x:v>인원 구성</x:v>
      </x:c>
      <x:c r="E79" s="37" t="str">
        <x:v>인원·마피아 수 조합 제한</x:v>
      </x:c>
      <x:c r="F79" s="37" t="str">
        <x:v>게임 규칙, 운영 요구사항과 대상 플랫폼 제약을 충족하도록 인원·마피아 수 조합 제한 기능을 구현하고 검증한다.</x:v>
      </x:c>
      <x:c r="G79" s="37" t="str">
        <x:v>MVP는 4~6명·마피아 1명으로 제한하고 출시 후 7~8명·마피아 2명은 기능 플래그로 분리하며 모순된 조합은 만들 수 없다.</x:v>
      </x:c>
      <x:c r="H79" s="37" t="str">
        <x:v>구현, 코드 리뷰, 사양 갱신, 대상 QA 케이스 실행, 로그·텔레메트리 확인과 관련 플랫폼 검증을 완료하고 미해결 P0·P1 결함이 없다.</x:v>
      </x:c>
      <x:c r="I79" s="37" t="str">
        <x:v>MVP</x:v>
      </x:c>
      <x:c r="J79" s="37" t="str">
        <x:v>P0</x:v>
      </x:c>
      <x:c r="K79" s="37" t="str">
        <x:v>필수</x:v>
      </x:c>
      <x:c r="L79" s="37" t="str">
        <x:v>규칙</x:v>
      </x:c>
      <x:c r="M79" s="37" t="str">
        <x:v>MVP</x:v>
      </x:c>
      <x:c r="N79" s="37" t="str">
        <x:v>UX·클라이언트 엔지니어링</x:v>
      </x:c>
      <x:c r="O79" s="37" t="str">
        <x:v>미정</x:v>
      </x:c>
      <x:c r="P79" s="37" t="str">
        <x:v>미정</x:v>
      </x:c>
      <x:c r="Q79" s="37" t="str">
        <x:v>전체</x:v>
      </x:c>
      <x:c r="R79" s="37" t="str">
        <x:v>호스트 권한</x:v>
      </x:c>
      <x:c r="S79" s="37" t="str">
        <x:v>세션</x:v>
      </x:c>
      <x:c r="T79" s="37" t="str">
        <x:v>M</x:v>
      </x:c>
      <x:c r="U79" s="37" t="str">
        <x:v>미착수</x:v>
      </x:c>
      <x:c r="V79" s="42" t="n">
        <x:f>IF(U79="완료",1,IF(U79="QA 진행 중",0.8,IF(U79="코드 리뷰",0.65,IF(U79="구현 중",0.4,IF(U79="사양 확인 중",0.1,IF(U79="차단",0.4,0))))))</x:f>
        <x:v>0</x:v>
      </x:c>
      <x:c r="W79" s="37" t="str">
        <x:v>미정</x:v>
      </x:c>
      <x:c r="X79" s="40"/>
      <x:c r="Y79" s="37" t="str">
        <x:v>SET-009,ONL-007</x:v>
      </x:c>
      <x:c r="Z79" s="37" t="str">
        <x:v>중간</x:v>
      </x:c>
      <x:c r="AA79" s="37" t="str">
        <x:v>경계값</x:v>
      </x:c>
      <x:c r="AB79" s="37" t="str">
        <x:v>TC-SET-010-01, TC-SET-010-02</x:v>
      </x:c>
      <x:c r="AC79" s="37"/>
      <x:c r="AD79" s="37" t="str">
        <x:v>게임 기획서</x:v>
      </x:c>
      <x:c r="AE79" s="37"/>
      <x:c r="AF79" s="40" t="str">
        <x:v>2026-07-10</x:v>
      </x:c>
      <x:c r="AG79" s="37"/>
      <x:c r="AH79" s="49"/>
      <x:c r="AI79" s="49"/>
      <x:c r="AJ79" s="48" t="str">
        <x:v>착수 전</x:v>
      </x:c>
    </x:row>
    <x:row r="80" ht="42" customHeight="1">
      <x:c r="A80" s="37" t="str">
        <x:v>SET-011</x:v>
      </x:c>
      <x:c r="B80" s="37" t="str">
        <x:v>게임 설정·접근성</x:v>
      </x:c>
      <x:c r="C80" s="37" t="str">
        <x:v>룸 규칙</x:v>
      </x:c>
      <x:c r="D80" s="37" t="str">
        <x:v>투표 동률</x:v>
      </x:c>
      <x:c r="E80" s="37" t="str">
        <x:v>밤·최종 투표 동률 정책</x:v>
      </x:c>
      <x:c r="F80" s="37" t="str">
        <x:v>게임 규칙, 운영 요구사항과 대상 플랫폼 제약을 충족하도록 밤·최종 투표 동률 정책 기능을 구현하고 검증한다.</x:v>
      </x:c>
      <x:c r="G80" s="37" t="str">
        <x:v>재투표, 동률자 무작위 선택, 추방 없음 등의 후보 중 제품 정책 하나를 확정하고 설정 가능 여부와 설명 문구를 일치시킨다.</x:v>
      </x:c>
      <x:c r="H80" s="37" t="str">
        <x:v>구현, 코드 리뷰, 사양 갱신, 대상 QA 케이스 실행, 로그·텔레메트리 확인과 관련 플랫폼 검증을 완료하고 미해결 P0·P1 결함이 없다.</x:v>
      </x:c>
      <x:c r="I80" s="37" t="str">
        <x:v>MVP</x:v>
      </x:c>
      <x:c r="J80" s="37" t="str">
        <x:v>P0</x:v>
      </x:c>
      <x:c r="K80" s="37" t="str">
        <x:v>필수</x:v>
      </x:c>
      <x:c r="L80" s="37" t="str">
        <x:v>규칙 결정</x:v>
      </x:c>
      <x:c r="M80" s="37" t="str">
        <x:v>MVP</x:v>
      </x:c>
      <x:c r="N80" s="37" t="str">
        <x:v>UX·클라이언트 엔지니어링</x:v>
      </x:c>
      <x:c r="O80" s="37" t="str">
        <x:v>미정</x:v>
      </x:c>
      <x:c r="P80" s="37" t="str">
        <x:v>미정</x:v>
      </x:c>
      <x:c r="Q80" s="37" t="str">
        <x:v>전체</x:v>
      </x:c>
      <x:c r="R80" s="37" t="str">
        <x:v>콘텐츠 데이터</x:v>
      </x:c>
      <x:c r="S80" s="37" t="str">
        <x:v>세션</x:v>
      </x:c>
      <x:c r="T80" s="37" t="str">
        <x:v>M</x:v>
      </x:c>
      <x:c r="U80" s="37" t="str">
        <x:v>미착수</x:v>
      </x:c>
      <x:c r="V80" s="42" t="n">
        <x:f>IF(U80="완료",1,IF(U80="QA 진행 중",0.8,IF(U80="코드 리뷰",0.65,IF(U80="구현 중",0.4,IF(U80="사양 확인 중",0.1,IF(U80="차단",0.4,0))))))</x:f>
        <x:v>0</x:v>
      </x:c>
      <x:c r="W80" s="37" t="str">
        <x:v>미정</x:v>
      </x:c>
      <x:c r="X80" s="40"/>
      <x:c r="Y80" s="37" t="str">
        <x:v>SET-001,IGM-024</x:v>
      </x:c>
      <x:c r="Z80" s="37" t="str">
        <x:v>중간</x:v>
      </x:c>
      <x:c r="AA80" s="37" t="str">
        <x:v>경계값</x:v>
      </x:c>
      <x:c r="AB80" s="37" t="str">
        <x:v>TC-SET-011-01, TC-SET-011-02</x:v>
      </x:c>
      <x:c r="AC80" s="37"/>
      <x:c r="AD80" s="37" t="str">
        <x:v>게임 기획서</x:v>
      </x:c>
      <x:c r="AE80" s="37"/>
      <x:c r="AF80" s="40" t="str">
        <x:v>2026-07-10</x:v>
      </x:c>
      <x:c r="AG80" s="37" t="str">
        <x:v>MVP 전에 게임 디렉터 승인이 필요하다.</x:v>
      </x:c>
      <x:c r="AH80" s="49"/>
      <x:c r="AI80" s="49"/>
      <x:c r="AJ80" s="48" t="str">
        <x:v>착수 전</x:v>
      </x:c>
    </x:row>
    <x:row r="81" ht="42" customHeight="1">
      <x:c r="A81" s="37" t="str">
        <x:v>SET-012</x:v>
      </x:c>
      <x:c r="B81" s="37" t="str">
        <x:v>게임 설정·접근성</x:v>
      </x:c>
      <x:c r="C81" s="37" t="str">
        <x:v>룸 규칙</x:v>
      </x:c>
      <x:c r="D81" s="37" t="str">
        <x:v>페이즈 타이머</x:v>
      </x:c>
      <x:c r="E81" s="37" t="str">
        <x:v>낮·밤 관찰·투표·최종 발언 타이머</x:v>
      </x:c>
      <x:c r="F81" s="37" t="str">
        <x:v>게임 규칙, 운영 요구사항과 대상 플랫폼 제약을 충족하도록 낮·밤 관찰·투표·최종 발언 타이머 기능을 구현하고 검증한다.</x:v>
      </x:c>
      <x:c r="G81" s="37" t="str">
        <x:v>각 타이머를 허용 범위 안에서 조정할 수 있고 0초, 극단값, 상호 모순 조합을 거부하며 모든 클라이언트에 확정값을 표시한다.</x:v>
      </x:c>
      <x:c r="H81" s="37" t="str">
        <x:v>구현, 코드 리뷰, 사양 갱신, 대상 QA 케이스 실행, 로그·텔레메트리 확인과 관련 플랫폼 검증을 완료하고 미해결 P0·P1 결함이 없다.</x:v>
      </x:c>
      <x:c r="I81" s="37" t="str">
        <x:v>MVP</x:v>
      </x:c>
      <x:c r="J81" s="37" t="str">
        <x:v>P0</x:v>
      </x:c>
      <x:c r="K81" s="37" t="str">
        <x:v>필수</x:v>
      </x:c>
      <x:c r="L81" s="37" t="str">
        <x:v>규칙</x:v>
      </x:c>
      <x:c r="M81" s="37" t="str">
        <x:v>MVP</x:v>
      </x:c>
      <x:c r="N81" s="37" t="str">
        <x:v>UX·클라이언트 엔지니어링</x:v>
      </x:c>
      <x:c r="O81" s="37" t="str">
        <x:v>미정</x:v>
      </x:c>
      <x:c r="P81" s="37" t="str">
        <x:v>미정</x:v>
      </x:c>
      <x:c r="Q81" s="37" t="str">
        <x:v>전체</x:v>
      </x:c>
      <x:c r="R81" s="37" t="str">
        <x:v>호스트 권한</x:v>
      </x:c>
      <x:c r="S81" s="37" t="str">
        <x:v>세션</x:v>
      </x:c>
      <x:c r="T81" s="37" t="str">
        <x:v>M</x:v>
      </x:c>
      <x:c r="U81" s="37" t="str">
        <x:v>미착수</x:v>
      </x:c>
      <x:c r="V81" s="42" t="n">
        <x:f>IF(U81="완료",1,IF(U81="QA 진행 중",0.8,IF(U81="코드 리뷰",0.65,IF(U81="구현 중",0.4,IF(U81="사양 확인 중",0.1,IF(U81="차단",0.4,0))))))</x:f>
        <x:v>0</x:v>
      </x:c>
      <x:c r="W81" s="37" t="str">
        <x:v>미정</x:v>
      </x:c>
      <x:c r="X81" s="40"/>
      <x:c r="Y81" s="37" t="str">
        <x:v>SET-001,IGM-004,IGM-008</x:v>
      </x:c>
      <x:c r="Z81" s="37" t="str">
        <x:v>중간</x:v>
      </x:c>
      <x:c r="AA81" s="37" t="str">
        <x:v>경계값</x:v>
      </x:c>
      <x:c r="AB81" s="37" t="str">
        <x:v>TC-SET-012-01, TC-SET-012-02</x:v>
      </x:c>
      <x:c r="AC81" s="37"/>
      <x:c r="AD81" s="37" t="str">
        <x:v>게임 기획서</x:v>
      </x:c>
      <x:c r="AE81" s="37"/>
      <x:c r="AF81" s="40" t="str">
        <x:v>2026-07-10</x:v>
      </x:c>
      <x:c r="AG81" s="37"/>
      <x:c r="AH81" s="49"/>
      <x:c r="AI81" s="49"/>
      <x:c r="AJ81" s="48" t="str">
        <x:v>착수 전</x:v>
      </x:c>
    </x:row>
    <x:row r="82" ht="42" customHeight="1">
      <x:c r="A82" s="37" t="str">
        <x:v>SET-013</x:v>
      </x:c>
      <x:c r="B82" s="37" t="str">
        <x:v>게임 설정·접근성</x:v>
      </x:c>
      <x:c r="C82" s="37" t="str">
        <x:v>룸 규칙</x:v>
      </x:c>
      <x:c r="D82" s="37" t="str">
        <x:v>최종 재판</x:v>
      </x:c>
      <x:c r="E82" s="37" t="str">
        <x:v>최종 재판 발동 조건 설정</x:v>
      </x:c>
      <x:c r="F82" s="37" t="str">
        <x:v>게임 규칙, 운영 요구사항과 대상 플랫폼 제약을 충족하도록 최종 재판 발동 조건 설정 기능을 구현하고 검증한다.</x:v>
      </x:c>
      <x:c r="G82" s="37" t="str">
        <x:v>모든 미니게임 완료, 생존자 임계값, 지정 밤의 활성 여부와 값을 검증하고 최소 하나의 발동 조건 또는 안전 상한을 필수로 둔다.</x:v>
      </x:c>
      <x:c r="H82" s="37" t="str">
        <x:v>구현, 코드 리뷰, 사양 갱신, 대상 QA 케이스 실행, 로그·텔레메트리 확인과 관련 플랫폼 검증을 완료하고 미해결 P0·P1 결함이 없다.</x:v>
      </x:c>
      <x:c r="I82" s="37" t="str">
        <x:v>MVP</x:v>
      </x:c>
      <x:c r="J82" s="37" t="str">
        <x:v>P0</x:v>
      </x:c>
      <x:c r="K82" s="37" t="str">
        <x:v>필수</x:v>
      </x:c>
      <x:c r="L82" s="37" t="str">
        <x:v>승패</x:v>
      </x:c>
      <x:c r="M82" s="37" t="str">
        <x:v>MVP</x:v>
      </x:c>
      <x:c r="N82" s="37" t="str">
        <x:v>UX·클라이언트 엔지니어링</x:v>
      </x:c>
      <x:c r="O82" s="37" t="str">
        <x:v>미정</x:v>
      </x:c>
      <x:c r="P82" s="37" t="str">
        <x:v>미정</x:v>
      </x:c>
      <x:c r="Q82" s="37" t="str">
        <x:v>전체</x:v>
      </x:c>
      <x:c r="R82" s="37" t="str">
        <x:v>호스트 권한</x:v>
      </x:c>
      <x:c r="S82" s="37" t="str">
        <x:v>세션</x:v>
      </x:c>
      <x:c r="T82" s="37" t="str">
        <x:v>L</x:v>
      </x:c>
      <x:c r="U82" s="37" t="str">
        <x:v>미착수</x:v>
      </x:c>
      <x:c r="V82" s="42" t="n">
        <x:f>IF(U82="완료",1,IF(U82="QA 진행 중",0.8,IF(U82="코드 리뷰",0.65,IF(U82="구현 중",0.4,IF(U82="사양 확인 중",0.1,IF(U82="차단",0.4,0))))))</x:f>
        <x:v>0</x:v>
      </x:c>
      <x:c r="W82" s="37" t="str">
        <x:v>미정</x:v>
      </x:c>
      <x:c r="X82" s="40"/>
      <x:c r="Y82" s="37" t="str">
        <x:v>SET-001,IGM-028</x:v>
      </x:c>
      <x:c r="Z82" s="37" t="str">
        <x:v>중간</x:v>
      </x:c>
      <x:c r="AA82" s="37" t="str">
        <x:v>경계값</x:v>
      </x:c>
      <x:c r="AB82" s="37" t="str">
        <x:v>TC-SET-013-01, TC-SET-013-02</x:v>
      </x:c>
      <x:c r="AC82" s="37"/>
      <x:c r="AD82" s="37" t="str">
        <x:v>게임 기획서</x:v>
      </x:c>
      <x:c r="AE82" s="37"/>
      <x:c r="AF82" s="40" t="str">
        <x:v>2026-07-10</x:v>
      </x:c>
      <x:c r="AG82" s="37"/>
      <x:c r="AH82" s="49"/>
      <x:c r="AI82" s="49"/>
      <x:c r="AJ82" s="48" t="str">
        <x:v>착수 전</x:v>
      </x:c>
    </x:row>
    <x:row r="83" ht="42" customHeight="1">
      <x:c r="A83" s="37" t="str">
        <x:v>SET-014</x:v>
      </x:c>
      <x:c r="B83" s="37" t="str">
        <x:v>게임 설정·접근성</x:v>
      </x:c>
      <x:c r="C83" s="37" t="str">
        <x:v>룸 규칙</x:v>
      </x:c>
      <x:c r="D83" s="37" t="str">
        <x:v>메모 제한</x:v>
      </x:c>
      <x:c r="E83" s="37" t="str">
        <x:v>메모 보유·등 표시 상한·부착 시간 설정</x:v>
      </x:c>
      <x:c r="F83" s="37" t="str">
        <x:v>게임 규칙, 운영 요구사항과 대상 플랫폼 제약을 충족하도록 메모 보유·등 표시 상한·부착 시간 설정 기능을 구현하고 검증한다.</x:v>
      </x:c>
      <x:c r="G83" s="37" t="str">
        <x:v>메모 보유 수, 등 최대 표시 수, 부착 시간을 안전 범위에서 설정하고 UI, 서버, 콘텐츠 설명이 같은 확정값을 사용한다.</x:v>
      </x:c>
      <x:c r="H83" s="37" t="str">
        <x:v>구현, 코드 리뷰, 사양 갱신, 대상 QA 케이스 실행, 로그·텔레메트리 확인과 관련 플랫폼 검증을 완료하고 미해결 P0·P1 결함이 없다.</x:v>
      </x:c>
      <x:c r="I83" s="37" t="str">
        <x:v>MVP</x:v>
      </x:c>
      <x:c r="J83" s="37" t="str">
        <x:v>P1</x:v>
      </x:c>
      <x:c r="K83" s="37" t="str">
        <x:v>필수</x:v>
      </x:c>
      <x:c r="L83" s="37" t="str">
        <x:v>메모</x:v>
      </x:c>
      <x:c r="M83" s="37" t="str">
        <x:v>MVP</x:v>
      </x:c>
      <x:c r="N83" s="37" t="str">
        <x:v>UX·클라이언트 엔지니어링</x:v>
      </x:c>
      <x:c r="O83" s="37" t="str">
        <x:v>미정</x:v>
      </x:c>
      <x:c r="P83" s="37" t="str">
        <x:v>미정</x:v>
      </x:c>
      <x:c r="Q83" s="37" t="str">
        <x:v>전체</x:v>
      </x:c>
      <x:c r="R83" s="37" t="str">
        <x:v>호스트 권한</x:v>
      </x:c>
      <x:c r="S83" s="37" t="str">
        <x:v>세션</x:v>
      </x:c>
      <x:c r="T83" s="37" t="str">
        <x:v>M</x:v>
      </x:c>
      <x:c r="U83" s="37" t="str">
        <x:v>미착수</x:v>
      </x:c>
      <x:c r="V83" s="42" t="n">
        <x:f>IF(U83="완료",1,IF(U83="QA 진행 중",0.8,IF(U83="코드 리뷰",0.65,IF(U83="구현 중",0.4,IF(U83="사양 확인 중",0.1,IF(U83="차단",0.4,0))))))</x:f>
        <x:v>0</x:v>
      </x:c>
      <x:c r="W83" s="37" t="str">
        <x:v>미정</x:v>
      </x:c>
      <x:c r="X83" s="40"/>
      <x:c r="Y83" s="37" t="str">
        <x:v>SET-001,IGM-009,IGM-022</x:v>
      </x:c>
      <x:c r="Z83" s="37" t="str">
        <x:v>중간</x:v>
      </x:c>
      <x:c r="AA83" s="37" t="str">
        <x:v>경계값</x:v>
      </x:c>
      <x:c r="AB83" s="37" t="str">
        <x:v>TC-SET-014-01</x:v>
      </x:c>
      <x:c r="AC83" s="37"/>
      <x:c r="AD83" s="37" t="str">
        <x:v>게임 기획서</x:v>
      </x:c>
      <x:c r="AE83" s="37"/>
      <x:c r="AF83" s="40" t="str">
        <x:v>2026-07-10</x:v>
      </x:c>
      <x:c r="AG83" s="37"/>
      <x:c r="AH83" s="49"/>
      <x:c r="AI83" s="49"/>
      <x:c r="AJ83" s="48" t="str">
        <x:v>착수 전</x:v>
      </x:c>
    </x:row>
    <x:row r="84" ht="42" customHeight="1">
      <x:c r="A84" s="37" t="str">
        <x:v>SET-015</x:v>
      </x:c>
      <x:c r="B84" s="37" t="str">
        <x:v>게임 설정·접근성</x:v>
      </x:c>
      <x:c r="C84" s="37" t="str">
        <x:v>룸 규칙</x:v>
      </x:c>
      <x:c r="D84" s="37" t="str">
        <x:v>위조</x:v>
      </x:c>
      <x:c r="E84" s="37" t="str">
        <x:v>마피아 무료 메모·위조 횟수 설정</x:v>
      </x:c>
      <x:c r="F84" s="37" t="str">
        <x:v>게임 규칙, 운영 요구사항과 대상 플랫폼 제약을 충족하도록 마피아 무료 메모·위조 횟수 설정 기능을 구현하고 검증한다.</x:v>
      </x:c>
      <x:c r="G84" s="37" t="str">
        <x:v>무료 메모 수와 위조 횟수를 설정할 수 있고 0, 1, 2, 무제한의 UI 표기와 서버 값이 일치한다. MVP 기본값은 각각 1회다.</x:v>
      </x:c>
      <x:c r="H84" s="37" t="str">
        <x:v>구현, 코드 리뷰, 사양 갱신, 대상 QA 케이스 실행, 로그·텔레메트리 확인과 관련 플랫폼 검증을 완료하고 미해결 P0·P1 결함이 없다.</x:v>
      </x:c>
      <x:c r="I84" s="37" t="str">
        <x:v>MVP</x:v>
      </x:c>
      <x:c r="J84" s="37" t="str">
        <x:v>P0</x:v>
      </x:c>
      <x:c r="K84" s="37" t="str">
        <x:v>필수</x:v>
      </x:c>
      <x:c r="L84" s="37" t="str">
        <x:v>밸런스</x:v>
      </x:c>
      <x:c r="M84" s="37" t="str">
        <x:v>MVP</x:v>
      </x:c>
      <x:c r="N84" s="37" t="str">
        <x:v>UX·클라이언트 엔지니어링</x:v>
      </x:c>
      <x:c r="O84" s="37" t="str">
        <x:v>미정</x:v>
      </x:c>
      <x:c r="P84" s="37" t="str">
        <x:v>미정</x:v>
      </x:c>
      <x:c r="Q84" s="37" t="str">
        <x:v>전체</x:v>
      </x:c>
      <x:c r="R84" s="37" t="str">
        <x:v>호스트 권한</x:v>
      </x:c>
      <x:c r="S84" s="37" t="str">
        <x:v>세션</x:v>
      </x:c>
      <x:c r="T84" s="37" t="str">
        <x:v>M</x:v>
      </x:c>
      <x:c r="U84" s="37" t="str">
        <x:v>미착수</x:v>
      </x:c>
      <x:c r="V84" s="42" t="n">
        <x:f>IF(U84="완료",1,IF(U84="QA 진행 중",0.8,IF(U84="코드 리뷰",0.65,IF(U84="구현 중",0.4,IF(U84="사양 확인 중",0.1,IF(U84="차단",0.4,0))))))</x:f>
        <x:v>0</x:v>
      </x:c>
      <x:c r="W84" s="37" t="str">
        <x:v>미정</x:v>
      </x:c>
      <x:c r="X84" s="40"/>
      <x:c r="Y84" s="37" t="str">
        <x:v>SET-001,IGM-011,IGM-015</x:v>
      </x:c>
      <x:c r="Z84" s="37" t="str">
        <x:v>중간</x:v>
      </x:c>
      <x:c r="AA84" s="37" t="str">
        <x:v>경계값</x:v>
      </x:c>
      <x:c r="AB84" s="37" t="str">
        <x:v>TC-SET-015-01, TC-SET-015-02</x:v>
      </x:c>
      <x:c r="AC84" s="37"/>
      <x:c r="AD84" s="37" t="str">
        <x:v>게임 기획서</x:v>
      </x:c>
      <x:c r="AE84" s="37"/>
      <x:c r="AF84" s="40" t="str">
        <x:v>2026-07-10</x:v>
      </x:c>
      <x:c r="AG84" s="37"/>
      <x:c r="AH84" s="49"/>
      <x:c r="AI84" s="49"/>
      <x:c r="AJ84" s="48" t="str">
        <x:v>착수 전</x:v>
      </x:c>
    </x:row>
    <x:row r="85" ht="42" customHeight="1">
      <x:c r="A85" s="37" t="str">
        <x:v>SET-016</x:v>
      </x:c>
      <x:c r="B85" s="37" t="str">
        <x:v>게임 설정·접근성</x:v>
      </x:c>
      <x:c r="C85" s="37" t="str">
        <x:v>룸 규칙</x:v>
      </x:c>
      <x:c r="D85" s="37" t="str">
        <x:v>텍스트·그림</x:v>
      </x:c>
      <x:c r="E85" s="37" t="str">
        <x:v>자유 입력·자유 그리기·프리셋 제한</x:v>
      </x:c>
      <x:c r="F85" s="37" t="str">
        <x:v>게임 규칙, 운영 요구사항과 대상 플랫폼 제약을 충족하도록 자유 입력·자유 그리기·프리셋 제한 기능을 구현하고 검증한다.</x:v>
      </x:c>
      <x:c r="G85" s="37" t="str">
        <x:v>MVP에서는 자유 입력과 자유 그리기를 빌드 또는 기능 플래그로 비활성화한다. 향후 활성화 시 글자 수, 금칙어, 신고, 저장 정책을 필수로 적용한다.</x:v>
      </x:c>
      <x:c r="H85" s="37" t="str">
        <x:v>구현, 코드 리뷰, 사양 갱신, 대상 QA 케이스 실행, 로그·텔레메트리 확인과 관련 플랫폼 검증을 완료하고 미해결 P0·P1 결함이 없다.</x:v>
      </x:c>
      <x:c r="I85" s="37" t="str">
        <x:v>MVP</x:v>
      </x:c>
      <x:c r="J85" s="37" t="str">
        <x:v>P0</x:v>
      </x:c>
      <x:c r="K85" s="37" t="str">
        <x:v>필수</x:v>
      </x:c>
      <x:c r="L85" s="37" t="str">
        <x:v>안전</x:v>
      </x:c>
      <x:c r="M85" s="37" t="str">
        <x:v>MVP</x:v>
      </x:c>
      <x:c r="N85" s="37" t="str">
        <x:v>UX·클라이언트 엔지니어링</x:v>
      </x:c>
      <x:c r="O85" s="37" t="str">
        <x:v>미정</x:v>
      </x:c>
      <x:c r="P85" s="37" t="str">
        <x:v>미정</x:v>
      </x:c>
      <x:c r="Q85" s="37" t="str">
        <x:v>전체</x:v>
      </x:c>
      <x:c r="R85" s="37" t="str">
        <x:v>호스트 권한</x:v>
      </x:c>
      <x:c r="S85" s="37" t="str">
        <x:v>세션</x:v>
      </x:c>
      <x:c r="T85" s="37" t="str">
        <x:v>M</x:v>
      </x:c>
      <x:c r="U85" s="37" t="str">
        <x:v>미착수</x:v>
      </x:c>
      <x:c r="V85" s="42" t="n">
        <x:f>IF(U85="완료",1,IF(U85="QA 진행 중",0.8,IF(U85="코드 리뷰",0.65,IF(U85="구현 중",0.4,IF(U85="사양 확인 중",0.1,IF(U85="차단",0.4,0))))))</x:f>
        <x:v>0</x:v>
      </x:c>
      <x:c r="W85" s="37" t="str">
        <x:v>미정</x:v>
      </x:c>
      <x:c r="X85" s="40"/>
      <x:c r="Y85" s="37" t="str">
        <x:v>SET-001,BED-010</x:v>
      </x:c>
      <x:c r="Z85" s="37" t="str">
        <x:v>중간</x:v>
      </x:c>
      <x:c r="AA85" s="37" t="str">
        <x:v>보안</x:v>
      </x:c>
      <x:c r="AB85" s="37" t="str">
        <x:v>TC-SET-016-01, TC-SET-016-02</x:v>
      </x:c>
      <x:c r="AC85" s="37"/>
      <x:c r="AD85" s="37" t="str">
        <x:v>게임 기획서</x:v>
      </x:c>
      <x:c r="AE85" s="37"/>
      <x:c r="AF85" s="40" t="str">
        <x:v>2026-07-10</x:v>
      </x:c>
      <x:c r="AG85" s="37"/>
      <x:c r="AH85" s="49"/>
      <x:c r="AI85" s="49"/>
      <x:c r="AJ85" s="48" t="str">
        <x:v>착수 전</x:v>
      </x:c>
    </x:row>
    <x:row r="86" ht="42" customHeight="1">
      <x:c r="A86" s="37" t="str">
        <x:v>SET-017</x:v>
      </x:c>
      <x:c r="B86" s="37" t="str">
        <x:v>게임 설정·접근성</x:v>
      </x:c>
      <x:c r="C86" s="37" t="str">
        <x:v>룸 규칙</x:v>
      </x:c>
      <x:c r="D86" s="37" t="str">
        <x:v>확장 기능 토글</x:v>
      </x:c>
      <x:c r="E86" s="37" t="str">
        <x:v>사진 메모·메모 전달 기능 켜기·끄기</x:v>
      </x:c>
      <x:c r="F86" s="37" t="str">
        <x:v>게임 규칙, 운영 요구사항과 대상 플랫폼 제약을 충족하도록 사진 메모·메모 전달 기능 켜기·끄기 기능을 구현하고 검증한다.</x:v>
      </x:c>
      <x:c r="G86" s="37" t="str">
        <x:v>미구현 빌드에서는 설정 항목을 표시하지 않고 지원 빌드에서 활성화한 경우에만 필요한 UI, 서버 기능, 설명을 함께 활성화한다.</x:v>
      </x:c>
      <x:c r="H86" s="37" t="str">
        <x:v>구현, 코드 리뷰, 사양 갱신, 대상 QA 케이스 실행, 로그·텔레메트리 확인과 관련 플랫폼 검증을 완료하고 미해결 P0·P1 결함이 없다.</x:v>
      </x:c>
      <x:c r="I86" s="37" t="str">
        <x:v>출시 후</x:v>
      </x:c>
      <x:c r="J86" s="37" t="str">
        <x:v>P2</x:v>
      </x:c>
      <x:c r="K86" s="37" t="str">
        <x:v>조건부</x:v>
      </x:c>
      <x:c r="L86" s="37" t="str">
        <x:v>확장</x:v>
      </x:c>
      <x:c r="M86" s="37" t="str">
        <x:v>출시 후</x:v>
      </x:c>
      <x:c r="N86" s="37" t="str">
        <x:v>UX·클라이언트 엔지니어링</x:v>
      </x:c>
      <x:c r="O86" s="37" t="str">
        <x:v>미정</x:v>
      </x:c>
      <x:c r="P86" s="37" t="str">
        <x:v>미정</x:v>
      </x:c>
      <x:c r="Q86" s="37" t="str">
        <x:v>전체</x:v>
      </x:c>
      <x:c r="R86" s="37" t="str">
        <x:v>호스트 권한</x:v>
      </x:c>
      <x:c r="S86" s="37" t="str">
        <x:v>세션</x:v>
      </x:c>
      <x:c r="T86" s="37" t="str">
        <x:v>M</x:v>
      </x:c>
      <x:c r="U86" s="37" t="str">
        <x:v>미착수</x:v>
      </x:c>
      <x:c r="V86" s="42" t="n">
        <x:f>IF(U86="완료",1,IF(U86="QA 진행 중",0.8,IF(U86="코드 리뷰",0.65,IF(U86="구현 중",0.4,IF(U86="사양 확인 중",0.1,IF(U86="차단",0.4,0))))))</x:f>
        <x:v>0</x:v>
      </x:c>
      <x:c r="W86" s="37" t="str">
        <x:v>미정</x:v>
      </x:c>
      <x:c r="X86" s="40"/>
      <x:c r="Y86" s="37" t="str">
        <x:v>SET-001,IGM-034,IGM-035</x:v>
      </x:c>
      <x:c r="Z86" s="37" t="str">
        <x:v>중간</x:v>
      </x:c>
      <x:c r="AA86" s="37" t="str">
        <x:v>호환성</x:v>
      </x:c>
      <x:c r="AB86" s="37" t="str">
        <x:v>TC-SET-017-01</x:v>
      </x:c>
      <x:c r="AC86" s="37"/>
      <x:c r="AD86" s="37" t="str">
        <x:v>게임 기획서</x:v>
      </x:c>
      <x:c r="AE86" s="37"/>
      <x:c r="AF86" s="40" t="str">
        <x:v>2026-07-10</x:v>
      </x:c>
      <x:c r="AG86" s="37"/>
      <x:c r="AH86" s="49"/>
      <x:c r="AI86" s="49"/>
      <x:c r="AJ86" s="48" t="str">
        <x:v>착수 전</x:v>
      </x:c>
    </x:row>
    <x:row r="87" ht="42" customHeight="1">
      <x:c r="A87" s="37" t="str">
        <x:v>SET-018</x:v>
      </x:c>
      <x:c r="B87" s="37" t="str">
        <x:v>게임 설정·접근성</x:v>
      </x:c>
      <x:c r="C87" s="37" t="str">
        <x:v>룸 규칙</x:v>
      </x:c>
      <x:c r="D87" s="37" t="str">
        <x:v>확장 역할</x:v>
      </x:c>
      <x:c r="E87" s="37" t="str">
        <x:v>복수 마피아·고독한 마피아·조수 설정</x:v>
      </x:c>
      <x:c r="F87" s="37" t="str">
        <x:v>게임 규칙, 운영 요구사항과 대상 플랫폼 제약을 충족하도록 복수 마피아·고독한 마피아·조수 설정 기능을 구현하고 검증한다.</x:v>
      </x:c>
      <x:c r="G87" s="37" t="str">
        <x:v>인원 조건을 충족할 때만 표시·선택할 수 있고 조수 규칙 활성화 시 마피아 추방 즉시 승리 무효화 등 파생 규칙을 요약 표시한다.</x:v>
      </x:c>
      <x:c r="H87" s="37" t="str">
        <x:v>구현, 코드 리뷰, 사양 갱신, 대상 QA 케이스 실행, 로그·텔레메트리 확인과 관련 플랫폼 검증을 완료하고 미해결 P0·P1 결함이 없다.</x:v>
      </x:c>
      <x:c r="I87" s="37" t="str">
        <x:v>출시 후</x:v>
      </x:c>
      <x:c r="J87" s="37" t="str">
        <x:v>P3</x:v>
      </x:c>
      <x:c r="K87" s="37" t="str">
        <x:v>조건부</x:v>
      </x:c>
      <x:c r="L87" s="37" t="str">
        <x:v>확장</x:v>
      </x:c>
      <x:c r="M87" s="37" t="str">
        <x:v>출시 후</x:v>
      </x:c>
      <x:c r="N87" s="37" t="str">
        <x:v>UX·클라이언트 엔지니어링</x:v>
      </x:c>
      <x:c r="O87" s="37" t="str">
        <x:v>미정</x:v>
      </x:c>
      <x:c r="P87" s="37" t="str">
        <x:v>미정</x:v>
      </x:c>
      <x:c r="Q87" s="37" t="str">
        <x:v>전체</x:v>
      </x:c>
      <x:c r="R87" s="37" t="str">
        <x:v>호스트 권한</x:v>
      </x:c>
      <x:c r="S87" s="37" t="str">
        <x:v>세션</x:v>
      </x:c>
      <x:c r="T87" s="37" t="str">
        <x:v>L</x:v>
      </x:c>
      <x:c r="U87" s="37" t="str">
        <x:v>미착수</x:v>
      </x:c>
      <x:c r="V87" s="42" t="n">
        <x:f>IF(U87="완료",1,IF(U87="QA 진행 중",0.8,IF(U87="코드 리뷰",0.65,IF(U87="구현 중",0.4,IF(U87="사양 확인 중",0.1,IF(U87="차단",0.4,0))))))</x:f>
        <x:v>0</x:v>
      </x:c>
      <x:c r="W87" s="37" t="str">
        <x:v>미정</x:v>
      </x:c>
      <x:c r="X87" s="40"/>
      <x:c r="Y87" s="37" t="str">
        <x:v>SET-010,IGM-037,IGM-038</x:v>
      </x:c>
      <x:c r="Z87" s="37" t="str">
        <x:v>중간</x:v>
      </x:c>
      <x:c r="AA87" s="37" t="str">
        <x:v>경계값</x:v>
      </x:c>
      <x:c r="AB87" s="37" t="str">
        <x:v>TC-SET-018-01</x:v>
      </x:c>
      <x:c r="AC87" s="37"/>
      <x:c r="AD87" s="37" t="str">
        <x:v>게임 기획서</x:v>
      </x:c>
      <x:c r="AE87" s="37"/>
      <x:c r="AF87" s="40" t="str">
        <x:v>2026-07-10</x:v>
      </x:c>
      <x:c r="AG87" s="37"/>
      <x:c r="AH87" s="49"/>
      <x:c r="AI87" s="49"/>
      <x:c r="AJ87" s="48" t="str">
        <x:v>착수 전</x:v>
      </x:c>
    </x:row>
    <x:row r="88" ht="42" customHeight="1">
      <x:c r="A88" s="37" t="str">
        <x:v>SET-019</x:v>
      </x:c>
      <x:c r="B88" s="37" t="str">
        <x:v>게임 설정·접근성</x:v>
      </x:c>
      <x:c r="C88" s="37" t="str">
        <x:v>룸 운영 정책</x:v>
      </x:c>
      <x:c r="D88" s="37" t="str">
        <x:v>잠금</x:v>
      </x:c>
      <x:c r="E88" s="37" t="str">
        <x:v>호스트 권한·매치 시작 후 설정 잠금</x:v>
      </x:c>
      <x:c r="F88" s="37" t="str">
        <x:v>게임 규칙, 운영 요구사항과 대상 플랫폼 제약을 충족하도록 호스트 권한·매치 시작 후 설정 잠금 기능을 구현하고 검증한다.</x:v>
      </x:c>
      <x:c r="G88" s="37" t="str">
        <x:v>룸 설정은 호스트 또는 권한 보유자만 변경할 수 있고 시작 준비 이후와 매치 진행 중에는 서버가 변경 요청을 거부한다.</x:v>
      </x:c>
      <x:c r="H88" s="37" t="str">
        <x:v>구현, 코드 리뷰, 사양 갱신, 대상 QA 케이스 실행, 로그·텔레메트리 확인과 관련 플랫폼 검증을 완료하고 미해결 P0·P1 결함이 없다.</x:v>
      </x:c>
      <x:c r="I88" s="37" t="str">
        <x:v>MVP</x:v>
      </x:c>
      <x:c r="J88" s="37" t="str">
        <x:v>P0</x:v>
      </x:c>
      <x:c r="K88" s="37" t="str">
        <x:v>필수</x:v>
      </x:c>
      <x:c r="L88" s="37" t="str">
        <x:v>권한</x:v>
      </x:c>
      <x:c r="M88" s="37" t="str">
        <x:v>MVP</x:v>
      </x:c>
      <x:c r="N88" s="37" t="str">
        <x:v>UX·클라이언트 엔지니어링</x:v>
      </x:c>
      <x:c r="O88" s="37" t="str">
        <x:v>미정</x:v>
      </x:c>
      <x:c r="P88" s="37" t="str">
        <x:v>미정</x:v>
      </x:c>
      <x:c r="Q88" s="37" t="str">
        <x:v>전체</x:v>
      </x:c>
      <x:c r="R88" s="37" t="str">
        <x:v>서버 권한</x:v>
      </x:c>
      <x:c r="S88" s="37" t="str">
        <x:v>세션</x:v>
      </x:c>
      <x:c r="T88" s="37" t="str">
        <x:v>M</x:v>
      </x:c>
      <x:c r="U88" s="37" t="str">
        <x:v>미착수</x:v>
      </x:c>
      <x:c r="V88" s="42" t="n">
        <x:f>IF(U88="완료",1,IF(U88="QA 진행 중",0.8,IF(U88="코드 리뷰",0.65,IF(U88="구현 중",0.4,IF(U88="사양 확인 중",0.1,IF(U88="차단",0.4,0))))))</x:f>
        <x:v>0</x:v>
      </x:c>
      <x:c r="W88" s="37" t="str">
        <x:v>미정</x:v>
      </x:c>
      <x:c r="X88" s="40"/>
      <x:c r="Y88" s="37" t="str">
        <x:v>ONL-008,NET-006</x:v>
      </x:c>
      <x:c r="Z88" s="37" t="str">
        <x:v>중간</x:v>
      </x:c>
      <x:c r="AA88" s="37" t="str">
        <x:v>보안</x:v>
      </x:c>
      <x:c r="AB88" s="37" t="str">
        <x:v>TC-SET-019-01, TC-SET-019-02</x:v>
      </x:c>
      <x:c r="AC88" s="37"/>
      <x:c r="AD88" s="37" t="str">
        <x:v>게임 기획서</x:v>
      </x:c>
      <x:c r="AE88" s="37"/>
      <x:c r="AF88" s="40" t="str">
        <x:v>2026-07-10</x:v>
      </x:c>
      <x:c r="AG88" s="37"/>
      <x:c r="AH88" s="49"/>
      <x:c r="AI88" s="49"/>
      <x:c r="AJ88" s="48" t="str">
        <x:v>착수 전</x:v>
      </x:c>
    </x:row>
    <x:row r="89" ht="42" customHeight="1">
      <x:c r="A89" s="37" t="str">
        <x:v>SET-020</x:v>
      </x:c>
      <x:c r="B89" s="37" t="str">
        <x:v>게임 설정·접근성</x:v>
      </x:c>
      <x:c r="C89" s="37" t="str">
        <x:v>룸 운영 정책</x:v>
      </x:c>
      <x:c r="D89" s="37" t="str">
        <x:v>검증</x:v>
      </x:c>
      <x:c r="E89" s="37" t="str">
        <x:v>설정 조합 검증·호환성 확인</x:v>
      </x:c>
      <x:c r="F89" s="37" t="str">
        <x:v>게임 규칙, 운영 요구사항과 대상 플랫폼 제약을 충족하도록 설정 조합 검증·호환성 확인 기능을 구현하고 검증한다.</x:v>
      </x:c>
      <x:c r="G89" s="37" t="str">
        <x:v>인원, 역할, 시간, 최종 재판, 확장 기능의 모순을 룸 생성, 설정 변경, 매치 시작의 세 단계에서 검증하고 오류 키를 반환한다.</x:v>
      </x:c>
      <x:c r="H89" s="37" t="str">
        <x:v>구현, 코드 리뷰, 사양 갱신, 대상 QA 케이스 실행, 로그·텔레메트리 확인과 관련 플랫폼 검증을 완료하고 미해결 P0·P1 결함이 없다.</x:v>
      </x:c>
      <x:c r="I89" s="37" t="str">
        <x:v>MVP</x:v>
      </x:c>
      <x:c r="J89" s="37" t="str">
        <x:v>P0</x:v>
      </x:c>
      <x:c r="K89" s="37" t="str">
        <x:v>필수</x:v>
      </x:c>
      <x:c r="L89" s="37" t="str">
        <x:v>데이터 무결성</x:v>
      </x:c>
      <x:c r="M89" s="37" t="str">
        <x:v>MVP</x:v>
      </x:c>
      <x:c r="N89" s="37" t="str">
        <x:v>UX·클라이언트 엔지니어링</x:v>
      </x:c>
      <x:c r="O89" s="37" t="str">
        <x:v>미정</x:v>
      </x:c>
      <x:c r="P89" s="37" t="str">
        <x:v>미정</x:v>
      </x:c>
      <x:c r="Q89" s="37" t="str">
        <x:v>전체</x:v>
      </x:c>
      <x:c r="R89" s="37" t="str">
        <x:v>서버 권한</x:v>
      </x:c>
      <x:c r="S89" s="37" t="str">
        <x:v>세션</x:v>
      </x:c>
      <x:c r="T89" s="37" t="str">
        <x:v>L</x:v>
      </x:c>
      <x:c r="U89" s="37" t="str">
        <x:v>미착수</x:v>
      </x:c>
      <x:c r="V89" s="42" t="n">
        <x:f>IF(U89="완료",1,IF(U89="QA 진행 중",0.8,IF(U89="코드 리뷰",0.65,IF(U89="구현 중",0.4,IF(U89="사양 확인 중",0.1,IF(U89="차단",0.4,0))))))</x:f>
        <x:v>0</x:v>
      </x:c>
      <x:c r="W89" s="37" t="str">
        <x:v>미정</x:v>
      </x:c>
      <x:c r="X89" s="40"/>
      <x:c r="Y89" s="37" t="str">
        <x:v>SET-009,SET-010,SET-013,SET-018</x:v>
      </x:c>
      <x:c r="Z89" s="37" t="str">
        <x:v>중간</x:v>
      </x:c>
      <x:c r="AA89" s="37" t="str">
        <x:v>경계값</x:v>
      </x:c>
      <x:c r="AB89" s="37" t="str">
        <x:v>TC-SET-020-01, TC-SET-020-02</x:v>
      </x:c>
      <x:c r="AC89" s="37"/>
      <x:c r="AD89" s="37" t="str">
        <x:v>게임 기획서</x:v>
      </x:c>
      <x:c r="AE89" s="37"/>
      <x:c r="AF89" s="40" t="str">
        <x:v>2026-07-10</x:v>
      </x:c>
      <x:c r="AG89" s="37"/>
      <x:c r="AH89" s="49"/>
      <x:c r="AI89" s="49"/>
      <x:c r="AJ89" s="48" t="str">
        <x:v>착수 전</x:v>
      </x:c>
    </x:row>
    <x:row r="90" ht="42" customHeight="1">
      <x:c r="A90" s="37" t="str">
        <x:v>SET-021</x:v>
      </x:c>
      <x:c r="B90" s="37" t="str">
        <x:v>게임 설정·접근성</x:v>
      </x:c>
      <x:c r="C90" s="37" t="str">
        <x:v>룸 운영 정책</x:v>
      </x:c>
      <x:c r="D90" s="37" t="str">
        <x:v>복제</x:v>
      </x:c>
      <x:c r="E90" s="37" t="str">
        <x:v>확정 룸 설정 전체 동기화</x:v>
      </x:c>
      <x:c r="F90" s="37" t="str">
        <x:v>게임 규칙, 운영 요구사항과 대상 플랫폼 제약을 충족하도록 확정 룸 설정 전체 동기화 기능을 구현하고 검증한다.</x:v>
      </x:c>
      <x:c r="G90" s="37" t="str">
        <x:v>서버가 승인한 설정값과 설정 버전을 모든 참가자에게 동기화하고 차분 갱신, 재접속, 중도 참가 시에도 동일한 값을 유지한다.</x:v>
      </x:c>
      <x:c r="H90" s="37" t="str">
        <x:v>구현, 코드 리뷰, 사양 갱신, 대상 QA 케이스 실행, 로그·텔레메트리 확인과 관련 플랫폼 검증을 완료하고 미해결 P0·P1 결함이 없다.</x:v>
      </x:c>
      <x:c r="I90" s="37" t="str">
        <x:v>MVP</x:v>
      </x:c>
      <x:c r="J90" s="37" t="str">
        <x:v>P0</x:v>
      </x:c>
      <x:c r="K90" s="37" t="str">
        <x:v>필수</x:v>
      </x:c>
      <x:c r="L90" s="37" t="str">
        <x:v>네트워크</x:v>
      </x:c>
      <x:c r="M90" s="37" t="str">
        <x:v>MVP</x:v>
      </x:c>
      <x:c r="N90" s="37" t="str">
        <x:v>UX·클라이언트 엔지니어링</x:v>
      </x:c>
      <x:c r="O90" s="37" t="str">
        <x:v>미정</x:v>
      </x:c>
      <x:c r="P90" s="37" t="str">
        <x:v>미정</x:v>
      </x:c>
      <x:c r="Q90" s="37" t="str">
        <x:v>전체</x:v>
      </x:c>
      <x:c r="R90" s="37" t="str">
        <x:v>서버 권한</x:v>
      </x:c>
      <x:c r="S90" s="37" t="str">
        <x:v>세션</x:v>
      </x:c>
      <x:c r="T90" s="37" t="str">
        <x:v>M</x:v>
      </x:c>
      <x:c r="U90" s="37" t="str">
        <x:v>미착수</x:v>
      </x:c>
      <x:c r="V90" s="42" t="n">
        <x:f>IF(U90="완료",1,IF(U90="QA 진행 중",0.8,IF(U90="코드 리뷰",0.65,IF(U90="구현 중",0.4,IF(U90="사양 확인 중",0.1,IF(U90="차단",0.4,0))))))</x:f>
        <x:v>0</x:v>
      </x:c>
      <x:c r="W90" s="37" t="str">
        <x:v>미정</x:v>
      </x:c>
      <x:c r="X90" s="40"/>
      <x:c r="Y90" s="37" t="str">
        <x:v>SET-019,SET-020,NET-007</x:v>
      </x:c>
      <x:c r="Z90" s="37" t="str">
        <x:v>중간</x:v>
      </x:c>
      <x:c r="AA90" s="37" t="str">
        <x:v>네트워크</x:v>
      </x:c>
      <x:c r="AB90" s="37" t="str">
        <x:v>TC-SET-021-01, TC-SET-021-02</x:v>
      </x:c>
      <x:c r="AC90" s="37"/>
      <x:c r="AD90" s="37" t="str">
        <x:v>게임 기획서</x:v>
      </x:c>
      <x:c r="AE90" s="37"/>
      <x:c r="AF90" s="40" t="str">
        <x:v>2026-07-10</x:v>
      </x:c>
      <x:c r="AG90" s="37"/>
      <x:c r="AH90" s="49"/>
      <x:c r="AI90" s="49"/>
      <x:c r="AJ90" s="48" t="str">
        <x:v>착수 전</x:v>
      </x:c>
    </x:row>
    <x:row r="91" ht="42" customHeight="1">
      <x:c r="A91" s="37" t="str">
        <x:v>SET-022</x:v>
      </x:c>
      <x:c r="B91" s="37" t="str">
        <x:v>게임 설정·접근성</x:v>
      </x:c>
      <x:c r="C91" s="37" t="str">
        <x:v>룸 운영 정책</x:v>
      </x:c>
      <x:c r="D91" s="37" t="str">
        <x:v>템플릿</x:v>
      </x:c>
      <x:c r="E91" s="37" t="str">
        <x:v>사용자 정의 룸 설정 저장·불러오기</x:v>
      </x:c>
      <x:c r="F91" s="37" t="str">
        <x:v>게임 규칙, 운영 요구사항과 대상 플랫폼 제약을 충족하도록 사용자 정의 룸 설정 저장·불러오기 기능을 구현하고 검증한다.</x:v>
      </x:c>
      <x:c r="G91" s="37" t="str">
        <x:v>호스트가 이름 있는 템플릿을 저장, 복제, 삭제할 수 있고 지원하지 않는 키를 포함한 이전 템플릿은 경고 후 마이그레이션한다.</x:v>
      </x:c>
      <x:c r="H91" s="37" t="str">
        <x:v>구현, 코드 리뷰, 사양 갱신, 대상 QA 케이스 실행, 로그·텔레메트리 확인과 관련 플랫폼 검증을 완료하고 미해결 P0·P1 결함이 없다.</x:v>
      </x:c>
      <x:c r="I91" s="37" t="str">
        <x:v>베타</x:v>
      </x:c>
      <x:c r="J91" s="37" t="str">
        <x:v>P2</x:v>
      </x:c>
      <x:c r="K91" s="37" t="str">
        <x:v>권장</x:v>
      </x:c>
      <x:c r="L91" s="37" t="str">
        <x:v>UX</x:v>
      </x:c>
      <x:c r="M91" s="37" t="str">
        <x:v>베타</x:v>
      </x:c>
      <x:c r="N91" s="37" t="str">
        <x:v>UX·클라이언트 엔지니어링</x:v>
      </x:c>
      <x:c r="O91" s="37" t="str">
        <x:v>미정</x:v>
      </x:c>
      <x:c r="P91" s="37" t="str">
        <x:v>미정</x:v>
      </x:c>
      <x:c r="Q91" s="37" t="str">
        <x:v>전체</x:v>
      </x:c>
      <x:c r="R91" s="37" t="str">
        <x:v>클라이언트 로컬</x:v>
      </x:c>
      <x:c r="S91" s="37" t="str">
        <x:v>계정</x:v>
      </x:c>
      <x:c r="T91" s="37" t="str">
        <x:v>L</x:v>
      </x:c>
      <x:c r="U91" s="37" t="str">
        <x:v>미착수</x:v>
      </x:c>
      <x:c r="V91" s="42" t="n">
        <x:f>IF(U91="완료",1,IF(U91="QA 진행 중",0.8,IF(U91="코드 리뷰",0.65,IF(U91="구현 중",0.4,IF(U91="사양 확인 중",0.1,IF(U91="차단",0.4,0))))))</x:f>
        <x:v>0</x:v>
      </x:c>
      <x:c r="W91" s="37" t="str">
        <x:v>미정</x:v>
      </x:c>
      <x:c r="X91" s="40"/>
      <x:c r="Y91" s="37" t="str">
        <x:v>SET-002,SET-020,BED-003</x:v>
      </x:c>
      <x:c r="Z91" s="37" t="str">
        <x:v>중간</x:v>
      </x:c>
      <x:c r="AA91" s="37" t="str">
        <x:v>호환성</x:v>
      </x:c>
      <x:c r="AB91" s="37" t="str">
        <x:v>TC-SET-022-01</x:v>
      </x:c>
      <x:c r="AC91" s="37"/>
      <x:c r="AD91" s="37" t="str">
        <x:v>게임 기획서</x:v>
      </x:c>
      <x:c r="AE91" s="37"/>
      <x:c r="AF91" s="40" t="str">
        <x:v>2026-07-10</x:v>
      </x:c>
      <x:c r="AG91" s="37"/>
      <x:c r="AH91" s="49"/>
      <x:c r="AI91" s="49"/>
      <x:c r="AJ91" s="48" t="str">
        <x:v>착수 전</x:v>
      </x:c>
    </x:row>
    <x:row r="92" ht="42" customHeight="1">
      <x:c r="A92" s="37" t="str">
        <x:v>SET-023</x:v>
      </x:c>
      <x:c r="B92" s="37" t="str">
        <x:v>게임 설정·접근성</x:v>
      </x:c>
      <x:c r="C92" s="37" t="str">
        <x:v>접근성</x:v>
      </x:c>
      <x:c r="D92" s="37" t="str">
        <x:v>텍스트·자막</x:v>
      </x:c>
      <x:c r="E92" s="37" t="str">
        <x:v>자막·텍스트 크기·읽기 보조</x:v>
      </x:c>
      <x:c r="F92" s="37" t="str">
        <x:v>게임 규칙, 운영 요구사항과 대상 플랫폼 제약을 충족하도록 자막·텍스트 크기·읽기 보조 기능을 구현하고 검증한다.</x:v>
      </x:c>
      <x:c r="G92" s="37" t="str">
        <x:v>시스템 사운드 자막, UI 텍스트 배율, 배경 불투명도, 길게 누르기 대체 입력을 설정할 수 있고 주요 화면에서 잘림과 겹침이 없다.</x:v>
      </x:c>
      <x:c r="H92" s="37" t="str">
        <x:v>구현, 코드 리뷰, 사양 갱신, 대상 QA 케이스 실행, 로그·텔레메트리 확인과 관련 플랫폼 검증을 완료하고 미해결 P0·P1 결함이 없다.</x:v>
      </x:c>
      <x:c r="I92" s="37" t="str">
        <x:v>베타</x:v>
      </x:c>
      <x:c r="J92" s="37" t="str">
        <x:v>P0</x:v>
      </x:c>
      <x:c r="K92" s="37" t="str">
        <x:v>필수</x:v>
      </x:c>
      <x:c r="L92" s="37" t="str">
        <x:v>접근성</x:v>
      </x:c>
      <x:c r="M92" s="37" t="str">
        <x:v>베타</x:v>
      </x:c>
      <x:c r="N92" s="37" t="str">
        <x:v>UX·클라이언트 엔지니어링</x:v>
      </x:c>
      <x:c r="O92" s="37" t="str">
        <x:v>미정</x:v>
      </x:c>
      <x:c r="P92" s="37" t="str">
        <x:v>미정</x:v>
      </x:c>
      <x:c r="Q92" s="37" t="str">
        <x:v>전체</x:v>
      </x:c>
      <x:c r="R92" s="37" t="str">
        <x:v>클라이언트 로컬</x:v>
      </x:c>
      <x:c r="S92" s="37" t="str">
        <x:v>단말 로컬</x:v>
      </x:c>
      <x:c r="T92" s="37" t="str">
        <x:v>XL</x:v>
      </x:c>
      <x:c r="U92" s="37" t="str">
        <x:v>미착수</x:v>
      </x:c>
      <x:c r="V92" s="42" t="n">
        <x:f>IF(U92="완료",1,IF(U92="QA 진행 중",0.8,IF(U92="코드 리뷰",0.65,IF(U92="구현 중",0.4,IF(U92="사양 확인 중",0.1,IF(U92="차단",0.4,0))))))</x:f>
        <x:v>0</x:v>
      </x:c>
      <x:c r="W92" s="37" t="str">
        <x:v>미정</x:v>
      </x:c>
      <x:c r="X92" s="40"/>
      <x:c r="Y92" s="37" t="str">
        <x:v>SET-001,UIX-001,AUD-015</x:v>
      </x:c>
      <x:c r="Z92" s="37" t="str">
        <x:v>중간</x:v>
      </x:c>
      <x:c r="AA92" s="37" t="str">
        <x:v>접근성</x:v>
      </x:c>
      <x:c r="AB92" s="37" t="str">
        <x:v>TC-SET-023-01, TC-SET-023-02</x:v>
      </x:c>
      <x:c r="AC92" s="37"/>
      <x:c r="AD92" s="37" t="str">
        <x:v>게임 기획서</x:v>
      </x:c>
      <x:c r="AE92" s="37"/>
      <x:c r="AF92" s="40" t="str">
        <x:v>2026-07-10</x:v>
      </x:c>
      <x:c r="AG92" s="37"/>
      <x:c r="AH92" s="49"/>
      <x:c r="AI92" s="49"/>
      <x:c r="AJ92" s="48" t="str">
        <x:v>착수 전</x:v>
      </x:c>
    </x:row>
    <x:row r="93" ht="42" customHeight="1">
      <x:c r="A93" s="37" t="str">
        <x:v>SET-024</x:v>
      </x:c>
      <x:c r="B93" s="37" t="str">
        <x:v>게임 설정·접근성</x:v>
      </x:c>
      <x:c r="C93" s="37" t="str">
        <x:v>접근성</x:v>
      </x:c>
      <x:c r="D93" s="37" t="str">
        <x:v>색각 보조</x:v>
      </x:c>
      <x:c r="E93" s="37" t="str">
        <x:v>색각 보조 프리셋</x:v>
      </x:c>
      <x:c r="F93" s="37" t="str">
        <x:v>게임 규칙, 운영 요구사항과 대상 플랫폼 제약을 충족하도록 색각 보조 프리셋 기능을 구현하고 검증한다.</x:v>
      </x:c>
      <x:c r="G93" s="37" t="str">
        <x:v>색상명, 패턴, 기호, 대비 보조를 조합한 프리셋을 제공하고 캐릭터 색상, 메모 색상, 투표 UI에 일관되게 적용한다.</x:v>
      </x:c>
      <x:c r="H93" s="37" t="str">
        <x:v>구현, 코드 리뷰, 사양 갱신, 대상 QA 케이스 실행, 로그·텔레메트리 확인과 관련 플랫폼 검증을 완료하고 미해결 P0·P1 결함이 없다.</x:v>
      </x:c>
      <x:c r="I93" s="37" t="str">
        <x:v>베타</x:v>
      </x:c>
      <x:c r="J93" s="37" t="str">
        <x:v>P0</x:v>
      </x:c>
      <x:c r="K93" s="37" t="str">
        <x:v>필수</x:v>
      </x:c>
      <x:c r="L93" s="37" t="str">
        <x:v>접근성</x:v>
      </x:c>
      <x:c r="M93" s="37" t="str">
        <x:v>베타</x:v>
      </x:c>
      <x:c r="N93" s="37" t="str">
        <x:v>UX·클라이언트 엔지니어링</x:v>
      </x:c>
      <x:c r="O93" s="37" t="str">
        <x:v>미정</x:v>
      </x:c>
      <x:c r="P93" s="37" t="str">
        <x:v>미정</x:v>
      </x:c>
      <x:c r="Q93" s="37" t="str">
        <x:v>전체</x:v>
      </x:c>
      <x:c r="R93" s="37" t="str">
        <x:v>클라이언트 로컬</x:v>
      </x:c>
      <x:c r="S93" s="37" t="str">
        <x:v>단말 로컬</x:v>
      </x:c>
      <x:c r="T93" s="37" t="str">
        <x:v>L</x:v>
      </x:c>
      <x:c r="U93" s="37" t="str">
        <x:v>미착수</x:v>
      </x:c>
      <x:c r="V93" s="42" t="n">
        <x:f>IF(U93="완료",1,IF(U93="QA 진행 중",0.8,IF(U93="코드 리뷰",0.65,IF(U93="구현 중",0.4,IF(U93="사양 확인 중",0.1,IF(U93="차단",0.4,0))))))</x:f>
        <x:v>0</x:v>
      </x:c>
      <x:c r="W93" s="37" t="str">
        <x:v>미정</x:v>
      </x:c>
      <x:c r="X93" s="40"/>
      <x:c r="Y93" s="37" t="str">
        <x:v>SET-001,UIX-028,CHR-015</x:v>
      </x:c>
      <x:c r="Z93" s="37" t="str">
        <x:v>중간</x:v>
      </x:c>
      <x:c r="AA93" s="37" t="str">
        <x:v>접근성</x:v>
      </x:c>
      <x:c r="AB93" s="37" t="str">
        <x:v>TC-SET-024-01, TC-SET-024-02</x:v>
      </x:c>
      <x:c r="AC93" s="37"/>
      <x:c r="AD93" s="37" t="str">
        <x:v>게임 기획서</x:v>
      </x:c>
      <x:c r="AE93" s="37"/>
      <x:c r="AF93" s="40" t="str">
        <x:v>2026-07-10</x:v>
      </x:c>
      <x:c r="AG93" s="37"/>
      <x:c r="AH93" s="49"/>
      <x:c r="AI93" s="49"/>
      <x:c r="AJ93" s="48" t="str">
        <x:v>착수 전</x:v>
      </x:c>
    </x:row>
    <x:row r="94" ht="42" customHeight="1">
      <x:c r="A94" s="37" t="str">
        <x:v>SET-025</x:v>
      </x:c>
      <x:c r="B94" s="37" t="str">
        <x:v>게임 설정·접근성</x:v>
      </x:c>
      <x:c r="C94" s="37" t="str">
        <x:v>접근성</x:v>
      </x:c>
      <x:c r="D94" s="37" t="str">
        <x:v>모션·카메라</x:v>
      </x:c>
      <x:c r="E94" s="37" t="str">
        <x:v>화면 흔들림·점멸·카메라 보조 설정</x:v>
      </x:c>
      <x:c r="F94" s="37" t="str">
        <x:v>게임 규칙, 운영 요구사항과 대상 플랫폼 제약을 충족하도록 화면 흔들림·점멸·카메라 보조 설정 기능을 구현하고 검증한다.</x:v>
      </x:c>
      <x:c r="G94" s="37" t="str">
        <x:v>화면 흔들림, 모션 블러, 점멸, 카메라 속도, 조준점을 조정할 수 있고 LED 표현과 페이즈 연출에 안전한 저자극 모드를 적용한다.</x:v>
      </x:c>
      <x:c r="H94" s="37" t="str">
        <x:v>구현, 코드 리뷰, 사양 갱신, 대상 QA 케이스 실행, 로그·텔레메트리 확인과 관련 플랫폼 검증을 완료하고 미해결 P0·P1 결함이 없다.</x:v>
      </x:c>
      <x:c r="I94" s="37" t="str">
        <x:v>베타</x:v>
      </x:c>
      <x:c r="J94" s="37" t="str">
        <x:v>P1</x:v>
      </x:c>
      <x:c r="K94" s="37" t="str">
        <x:v>필수</x:v>
      </x:c>
      <x:c r="L94" s="37" t="str">
        <x:v>접근성</x:v>
      </x:c>
      <x:c r="M94" s="37" t="str">
        <x:v>베타</x:v>
      </x:c>
      <x:c r="N94" s="37" t="str">
        <x:v>UX·클라이언트 엔지니어링</x:v>
      </x:c>
      <x:c r="O94" s="37" t="str">
        <x:v>미정</x:v>
      </x:c>
      <x:c r="P94" s="37" t="str">
        <x:v>미정</x:v>
      </x:c>
      <x:c r="Q94" s="37" t="str">
        <x:v>전체</x:v>
      </x:c>
      <x:c r="R94" s="37" t="str">
        <x:v>클라이언트 로컬</x:v>
      </x:c>
      <x:c r="S94" s="37" t="str">
        <x:v>단말 로컬</x:v>
      </x:c>
      <x:c r="T94" s="37" t="str">
        <x:v>L</x:v>
      </x:c>
      <x:c r="U94" s="37" t="str">
        <x:v>미착수</x:v>
      </x:c>
      <x:c r="V94" s="42" t="n">
        <x:f>IF(U94="완료",1,IF(U94="QA 진행 중",0.8,IF(U94="코드 리뷰",0.65,IF(U94="구현 중",0.4,IF(U94="사양 확인 중",0.1,IF(U94="차단",0.4,0))))))</x:f>
        <x:v>0</x:v>
      </x:c>
      <x:c r="W94" s="37" t="str">
        <x:v>미정</x:v>
      </x:c>
      <x:c r="X94" s="40"/>
      <x:c r="Y94" s="37" t="str">
        <x:v>SET-001,CHR-004,AUD-014</x:v>
      </x:c>
      <x:c r="Z94" s="37" t="str">
        <x:v>중간</x:v>
      </x:c>
      <x:c r="AA94" s="37" t="str">
        <x:v>접근성</x:v>
      </x:c>
      <x:c r="AB94" s="37" t="str">
        <x:v>TC-SET-025-01</x:v>
      </x:c>
      <x:c r="AC94" s="37"/>
      <x:c r="AD94" s="37" t="str">
        <x:v>게임 기획서</x:v>
      </x:c>
      <x:c r="AE94" s="37"/>
      <x:c r="AF94" s="40" t="str">
        <x:v>2026-07-10</x:v>
      </x:c>
      <x:c r="AG94" s="37"/>
      <x:c r="AH94" s="49"/>
      <x:c r="AI94" s="49"/>
      <x:c r="AJ94" s="48" t="str">
        <x:v>착수 전</x:v>
      </x:c>
    </x:row>
    <x:row r="95" ht="42" customHeight="1">
      <x:c r="A95" s="37" t="str">
        <x:v>SET-026</x:v>
      </x:c>
      <x:c r="B95" s="37" t="str">
        <x:v>게임 설정·접근성</x:v>
      </x:c>
      <x:c r="C95" s="37" t="str">
        <x:v>안전</x:v>
      </x:c>
      <x:c r="D95" s="37" t="str">
        <x:v>소셜·자녀 보호</x:v>
      </x:c>
      <x:c r="E95" s="37" t="str">
        <x:v>텍스트·음성·초대 안전 설정</x:v>
      </x:c>
      <x:c r="F95" s="37" t="str">
        <x:v>게임 규칙, 운영 요구사항과 대상 플랫폼 제약을 충족하도록 텍스트·음성·초대 안전 설정 기능을 구현하고 검증한다.</x:v>
      </x:c>
      <x:c r="G95" s="37" t="str">
        <x:v>음성 채팅, 근거리 텍스트, 친구 초대, 크로스플레이, 사용자 생성 콘텐츠를 연령, 지역, 보호자 설정에 따라 제어한다.</x:v>
      </x:c>
      <x:c r="H95" s="37" t="str">
        <x:v>구현, 코드 리뷰, 사양 갱신, 대상 QA 케이스 실행, 로그·텔레메트리 확인과 관련 플랫폼 검증을 완료하고 미해결 P0·P1 결함이 없다.</x:v>
      </x:c>
      <x:c r="I95" s="37" t="str">
        <x:v>출시</x:v>
      </x:c>
      <x:c r="J95" s="37" t="str">
        <x:v>P0</x:v>
      </x:c>
      <x:c r="K95" s="37" t="str">
        <x:v>필수</x:v>
      </x:c>
      <x:c r="L95" s="37" t="str">
        <x:v>안전</x:v>
      </x:c>
      <x:c r="M95" s="37" t="str">
        <x:v>출시</x:v>
      </x:c>
      <x:c r="N95" s="37" t="str">
        <x:v>UX·클라이언트 엔지니어링</x:v>
      </x:c>
      <x:c r="O95" s="37" t="str">
        <x:v>미정</x:v>
      </x:c>
      <x:c r="P95" s="37" t="str">
        <x:v>미정</x:v>
      </x:c>
      <x:c r="Q95" s="37" t="str">
        <x:v>전체</x:v>
      </x:c>
      <x:c r="R95" s="37" t="str">
        <x:v>백엔드 권한</x:v>
      </x:c>
      <x:c r="S95" s="37" t="str">
        <x:v>계정</x:v>
      </x:c>
      <x:c r="T95" s="37" t="str">
        <x:v>XL</x:v>
      </x:c>
      <x:c r="U95" s="37" t="str">
        <x:v>미착수</x:v>
      </x:c>
      <x:c r="V95" s="42" t="n">
        <x:f>IF(U95="완료",1,IF(U95="QA 진행 중",0.8,IF(U95="코드 리뷰",0.65,IF(U95="구현 중",0.4,IF(U95="사양 확인 중",0.1,IF(U95="차단",0.4,0))))))</x:f>
        <x:v>0</x:v>
      </x:c>
      <x:c r="W95" s="37" t="str">
        <x:v>미정</x:v>
      </x:c>
      <x:c r="X95" s="40"/>
      <x:c r="Y95" s="37" t="str">
        <x:v>BED-009,BED-012,BED-013</x:v>
      </x:c>
      <x:c r="Z95" s="37" t="str">
        <x:v>중간</x:v>
      </x:c>
      <x:c r="AA95" s="37" t="str">
        <x:v>운영</x:v>
      </x:c>
      <x:c r="AB95" s="37" t="str">
        <x:v>TC-SET-026-01, TC-SET-026-02</x:v>
      </x:c>
      <x:c r="AC95" s="37"/>
      <x:c r="AD95" s="37" t="str">
        <x:v>게임 기획서</x:v>
      </x:c>
      <x:c r="AE95" s="37"/>
      <x:c r="AF95" s="40" t="str">
        <x:v>2026-07-10</x:v>
      </x:c>
      <x:c r="AG95" s="37"/>
      <x:c r="AH95" s="49"/>
      <x:c r="AI95" s="49"/>
      <x:c r="AJ95" s="48" t="str">
        <x:v>착수 전</x:v>
      </x:c>
    </x:row>
    <x:row r="96" ht="42" customHeight="1">
      <x:c r="A96" s="37" t="str">
        <x:v>SET-027</x:v>
      </x:c>
      <x:c r="B96" s="37" t="str">
        <x:v>게임 설정·접근성</x:v>
      </x:c>
      <x:c r="C96" s="37" t="str">
        <x:v>진단</x:v>
      </x:c>
      <x:c r="D96" s="37" t="str">
        <x:v>네트워크</x:v>
      </x:c>
      <x:c r="E96" s="37" t="str">
        <x:v>네트워크 진단 표시 설정</x:v>
      </x:c>
      <x:c r="F96" s="37" t="str">
        <x:v>게임 규칙, 운영 요구사항과 대상 플랫폼 제약을 충족하도록 네트워크 진단 표시 설정 기능을 구현하고 검증한다.</x:v>
      </x:c>
      <x:c r="G96" s="37" t="str">
        <x:v>선택적으로 핑, 패킷 손실, 지역, 음성 연결 상태를 표시할 수 있고 제품 빌드에서 비공개 서버 정보나 개인 식별자를 노출하지 않는다.</x:v>
      </x:c>
      <x:c r="H96" s="37" t="str">
        <x:v>구현, 코드 리뷰, 사양 갱신, 대상 QA 케이스 실행, 로그·텔레메트리 확인과 관련 플랫폼 검증을 완료하고 미해결 P0·P1 결함이 없다.</x:v>
      </x:c>
      <x:c r="I96" s="37" t="str">
        <x:v>알파</x:v>
      </x:c>
      <x:c r="J96" s="37" t="str">
        <x:v>P2</x:v>
      </x:c>
      <x:c r="K96" s="37" t="str">
        <x:v>권장</x:v>
      </x:c>
      <x:c r="L96" s="37" t="str">
        <x:v>운영</x:v>
      </x:c>
      <x:c r="M96" s="37" t="str">
        <x:v>알파</x:v>
      </x:c>
      <x:c r="N96" s="37" t="str">
        <x:v>UX·클라이언트 엔지니어링</x:v>
      </x:c>
      <x:c r="O96" s="37" t="str">
        <x:v>미정</x:v>
      </x:c>
      <x:c r="P96" s="37" t="str">
        <x:v>미정</x:v>
      </x:c>
      <x:c r="Q96" s="37" t="str">
        <x:v>전체</x:v>
      </x:c>
      <x:c r="R96" s="37" t="str">
        <x:v>클라이언트 로컬</x:v>
      </x:c>
      <x:c r="S96" s="37" t="str">
        <x:v>단말 로컬</x:v>
      </x:c>
      <x:c r="T96" s="37" t="str">
        <x:v>M</x:v>
      </x:c>
      <x:c r="U96" s="37" t="str">
        <x:v>미착수</x:v>
      </x:c>
      <x:c r="V96" s="42" t="n">
        <x:f>IF(U96="완료",1,IF(U96="QA 진행 중",0.8,IF(U96="코드 리뷰",0.65,IF(U96="구현 중",0.4,IF(U96="사양 확인 중",0.1,IF(U96="차단",0.4,0))))))</x:f>
        <x:v>0</x:v>
      </x:c>
      <x:c r="W96" s="37" t="str">
        <x:v>미정</x:v>
      </x:c>
      <x:c r="X96" s="40"/>
      <x:c r="Y96" s="37" t="str">
        <x:v>NET-023,ONL-003</x:v>
      </x:c>
      <x:c r="Z96" s="37" t="str">
        <x:v>중간</x:v>
      </x:c>
      <x:c r="AA96" s="37" t="str">
        <x:v>운영</x:v>
      </x:c>
      <x:c r="AB96" s="37" t="str">
        <x:v>TC-SET-027-01</x:v>
      </x:c>
      <x:c r="AC96" s="37"/>
      <x:c r="AD96" s="37" t="str">
        <x:v>게임 기획서</x:v>
      </x:c>
      <x:c r="AE96" s="37"/>
      <x:c r="AF96" s="40" t="str">
        <x:v>2026-07-10</x:v>
      </x:c>
      <x:c r="AG96" s="37"/>
      <x:c r="AH96" s="49"/>
      <x:c r="AI96" s="49"/>
      <x:c r="AJ96" s="48" t="str">
        <x:v>착수 전</x:v>
      </x:c>
    </x:row>
    <x:row r="97" ht="42" customHeight="1">
      <x:c r="A97" s="37" t="str">
        <x:v>SET-028</x:v>
      </x:c>
      <x:c r="B97" s="37" t="str">
        <x:v>게임 설정·접근성</x:v>
      </x:c>
      <x:c r="C97" s="37" t="str">
        <x:v>라이브 설정</x:v>
      </x:c>
      <x:c r="D97" s="37" t="str">
        <x:v>원격 설정</x:v>
      </x:c>
      <x:c r="E97" s="37" t="str">
        <x:v>안전한 원격 기본값·기능 플래그</x:v>
      </x:c>
      <x:c r="F97" s="37" t="str">
        <x:v>게임 규칙, 운영 요구사항과 대상 플랫폼 제약을 충족하도록 안전한 원격 기본값·기능 플래그 기능을 구현하고 검증한다.</x:v>
      </x:c>
      <x:c r="G97" s="37" t="str">
        <x:v>서명과 버전이 있는 원격 설정을 가져오고 허용 목록 밖의 키는 무시한다. 매치 진행 중에는 승패에 영향을 주는 값을 변경하지 않는다.</x:v>
      </x:c>
      <x:c r="H97" s="37" t="str">
        <x:v>구현, 코드 리뷰, 사양 갱신, 대상 QA 케이스 실행, 로그·텔레메트리 확인과 관련 플랫폼 검증을 완료하고 미해결 P0·P1 결함이 없다.</x:v>
      </x:c>
      <x:c r="I97" s="37" t="str">
        <x:v>출시</x:v>
      </x:c>
      <x:c r="J97" s="37" t="str">
        <x:v>P0</x:v>
      </x:c>
      <x:c r="K97" s="37" t="str">
        <x:v>필수</x:v>
      </x:c>
      <x:c r="L97" s="37" t="str">
        <x:v>운영</x:v>
      </x:c>
      <x:c r="M97" s="37" t="str">
        <x:v>출시</x:v>
      </x:c>
      <x:c r="N97" s="37" t="str">
        <x:v>UX·클라이언트 엔지니어링</x:v>
      </x:c>
      <x:c r="O97" s="37" t="str">
        <x:v>미정</x:v>
      </x:c>
      <x:c r="P97" s="37" t="str">
        <x:v>미정</x:v>
      </x:c>
      <x:c r="Q97" s="37" t="str">
        <x:v>전체</x:v>
      </x:c>
      <x:c r="R97" s="37" t="str">
        <x:v>백엔드 권한</x:v>
      </x:c>
      <x:c r="S97" s="37" t="str">
        <x:v>백엔드</x:v>
      </x:c>
      <x:c r="T97" s="37" t="str">
        <x:v>L</x:v>
      </x:c>
      <x:c r="U97" s="37" t="str">
        <x:v>미착수</x:v>
      </x:c>
      <x:c r="V97" s="42" t="n">
        <x:f>IF(U97="완료",1,IF(U97="QA 진행 중",0.8,IF(U97="코드 리뷰",0.65,IF(U97="구현 중",0.4,IF(U97="사양 확인 중",0.1,IF(U97="차단",0.4,0))))))</x:f>
        <x:v>0</x:v>
      </x:c>
      <x:c r="W97" s="37" t="str">
        <x:v>미정</x:v>
      </x:c>
      <x:c r="X97" s="40"/>
      <x:c r="Y97" s="37" t="str">
        <x:v>BED-015,BED-016</x:v>
      </x:c>
      <x:c r="Z97" s="37" t="str">
        <x:v>중간</x:v>
      </x:c>
      <x:c r="AA97" s="37" t="str">
        <x:v>보안</x:v>
      </x:c>
      <x:c r="AB97" s="37" t="str">
        <x:v>TC-SET-028-01, TC-SET-028-02</x:v>
      </x:c>
      <x:c r="AC97" s="37"/>
      <x:c r="AD97" s="37" t="str">
        <x:v>게임 기획서</x:v>
      </x:c>
      <x:c r="AE97" s="37"/>
      <x:c r="AF97" s="40" t="str">
        <x:v>2026-07-10</x:v>
      </x:c>
      <x:c r="AG97" s="37"/>
      <x:c r="AH97" s="49"/>
      <x:c r="AI97" s="49"/>
      <x:c r="AJ97" s="48" t="str">
        <x:v>착수 전</x:v>
      </x:c>
    </x:row>
    <x:row r="98" ht="42" customHeight="1">
      <x:c r="A98" s="37" t="str">
        <x:v>ONL-001</x:v>
      </x:c>
      <x:c r="B98" s="37" t="str">
        <x:v>온라인·로비·매치메이킹</x:v>
      </x:c>
      <x:c r="C98" s="37" t="str">
        <x:v>온라인 초기화</x:v>
      </x:c>
      <x:c r="D98" s="37" t="str">
        <x:v>서비스 연결</x:v>
      </x:c>
      <x:c r="E98" s="37" t="str">
        <x:v>온라인 서비스 초기화·연결 상태</x:v>
      </x:c>
      <x:c r="F98" s="37" t="str">
        <x:v>게임 규칙, 운영 요구사항과 대상 플랫폼 제약을 충족하도록 온라인 서비스 초기화·연결 상태 기능을 구현하고 검증한다.</x:v>
      </x:c>
      <x:c r="G98" s="37" t="str">
        <x:v>시작 시 인증, 로비, 매치, 음성 서비스의 상태를 확인하고 사용할 수 없는 서비스는 사유와 함께 관련 기능을 제한한다.</x:v>
      </x:c>
      <x:c r="H98" s="37" t="str">
        <x:v>구현, 코드 리뷰, 사양 갱신, 대상 QA 케이스 실행, 로그·텔레메트리 확인과 관련 플랫폼 검증을 완료하고 미해결 P0·P1 결함이 없다.</x:v>
      </x:c>
      <x:c r="I98" s="37" t="str">
        <x:v>MVP</x:v>
      </x:c>
      <x:c r="J98" s="37" t="str">
        <x:v>P0</x:v>
      </x:c>
      <x:c r="K98" s="37" t="str">
        <x:v>필수</x:v>
      </x:c>
      <x:c r="L98" s="37" t="str">
        <x:v>온라인 기반</x:v>
      </x:c>
      <x:c r="M98" s="37" t="str">
        <x:v>MVP</x:v>
      </x:c>
      <x:c r="N98" s="37" t="str">
        <x:v>온라인 엔지니어링</x:v>
      </x:c>
      <x:c r="O98" s="37" t="str">
        <x:v>미정</x:v>
      </x:c>
      <x:c r="P98" s="37" t="str">
        <x:v>미정</x:v>
      </x:c>
      <x:c r="Q98" s="37" t="str">
        <x:v>전체</x:v>
      </x:c>
      <x:c r="R98" s="37" t="str">
        <x:v>백엔드 권한</x:v>
      </x:c>
      <x:c r="S98" s="37" t="str">
        <x:v>세션</x:v>
      </x:c>
      <x:c r="T98" s="37" t="str">
        <x:v>L</x:v>
      </x:c>
      <x:c r="U98" s="37" t="str">
        <x:v>미착수</x:v>
      </x:c>
      <x:c r="V98" s="42" t="n">
        <x:f>IF(U98="완료",1,IF(U98="QA 진행 중",0.8,IF(U98="코드 리뷰",0.65,IF(U98="구현 중",0.4,IF(U98="사양 확인 중",0.1,IF(U98="차단",0.4,0))))))</x:f>
        <x:v>0</x:v>
      </x:c>
      <x:c r="W98" s="37" t="str">
        <x:v>미정</x:v>
      </x:c>
      <x:c r="X98" s="40"/>
      <x:c r="Y98" s="37" t="str">
        <x:v>BED-001</x:v>
      </x:c>
      <x:c r="Z98" s="37" t="str">
        <x:v>중간</x:v>
      </x:c>
      <x:c r="AA98" s="37" t="str">
        <x:v>통합</x:v>
      </x:c>
      <x:c r="AB98" s="37" t="str">
        <x:v>TC-ONL-001-01, TC-ONL-001-02</x:v>
      </x:c>
      <x:c r="AC98" s="37"/>
      <x:c r="AD98" s="37" t="str">
        <x:v>게임 기획서</x:v>
      </x:c>
      <x:c r="AE98" s="37"/>
      <x:c r="AF98" s="40" t="str">
        <x:v>2026-07-10</x:v>
      </x:c>
      <x:c r="AG98" s="37"/>
      <x:c r="AH98" s="49"/>
      <x:c r="AI98" s="49"/>
      <x:c r="AJ98" s="48" t="str">
        <x:v>착수 전</x:v>
      </x:c>
    </x:row>
    <x:row r="99" ht="42" customHeight="1">
      <x:c r="A99" s="37" t="str">
        <x:v>ONL-002</x:v>
      </x:c>
      <x:c r="B99" s="37" t="str">
        <x:v>온라인·로비·매치메이킹</x:v>
      </x:c>
      <x:c r="C99" s="37" t="str">
        <x:v>온라인 초기화</x:v>
      </x:c>
      <x:c r="D99" s="37" t="str">
        <x:v>식별</x:v>
      </x:c>
      <x:c r="E99" s="37" t="str">
        <x:v>플랫폼 ID·게임 내부 ID 연결</x:v>
      </x:c>
      <x:c r="F99" s="37" t="str">
        <x:v>게임 규칙, 운영 요구사항과 대상 플랫폼 제약을 충족하도록 플랫폼 ID·게임 내부 ID 연결 기능을 구현하고 검증한다.</x:v>
      </x:c>
      <x:c r="G99" s="37" t="str">
        <x:v>중복 로그인, 만료 토큰, 계정 전환을 처리하고 표시 이름과 내부 식별자를 분리한다.</x:v>
      </x:c>
      <x:c r="H99" s="37" t="str">
        <x:v>구현, 코드 리뷰, 사양 갱신, 대상 QA 케이스 실행, 로그·텔레메트리 확인과 관련 플랫폼 검증을 완료하고 미해결 P0·P1 결함이 없다.</x:v>
      </x:c>
      <x:c r="I99" s="37" t="str">
        <x:v>MVP</x:v>
      </x:c>
      <x:c r="J99" s="37" t="str">
        <x:v>P0</x:v>
      </x:c>
      <x:c r="K99" s="37" t="str">
        <x:v>필수</x:v>
      </x:c>
      <x:c r="L99" s="37" t="str">
        <x:v>인증</x:v>
      </x:c>
      <x:c r="M99" s="37" t="str">
        <x:v>MVP</x:v>
      </x:c>
      <x:c r="N99" s="37" t="str">
        <x:v>온라인 엔지니어링</x:v>
      </x:c>
      <x:c r="O99" s="37" t="str">
        <x:v>미정</x:v>
      </x:c>
      <x:c r="P99" s="37" t="str">
        <x:v>미정</x:v>
      </x:c>
      <x:c r="Q99" s="37" t="str">
        <x:v>전체</x:v>
      </x:c>
      <x:c r="R99" s="37" t="str">
        <x:v>백엔드 권한</x:v>
      </x:c>
      <x:c r="S99" s="37" t="str">
        <x:v>계정</x:v>
      </x:c>
      <x:c r="T99" s="37" t="str">
        <x:v>L</x:v>
      </x:c>
      <x:c r="U99" s="37" t="str">
        <x:v>미착수</x:v>
      </x:c>
      <x:c r="V99" s="42" t="n">
        <x:f>IF(U99="완료",1,IF(U99="QA 진행 중",0.8,IF(U99="코드 리뷰",0.65,IF(U99="구현 중",0.4,IF(U99="사양 확인 중",0.1,IF(U99="차단",0.4,0))))))</x:f>
        <x:v>0</x:v>
      </x:c>
      <x:c r="W99" s="37" t="str">
        <x:v>미정</x:v>
      </x:c>
      <x:c r="X99" s="40"/>
      <x:c r="Y99" s="37" t="str">
        <x:v>BED-001,BED-002</x:v>
      </x:c>
      <x:c r="Z99" s="37" t="str">
        <x:v>중간</x:v>
      </x:c>
      <x:c r="AA99" s="37" t="str">
        <x:v>보안</x:v>
      </x:c>
      <x:c r="AB99" s="37" t="str">
        <x:v>TC-ONL-002-01, TC-ONL-002-02</x:v>
      </x:c>
      <x:c r="AC99" s="37"/>
      <x:c r="AD99" s="37" t="str">
        <x:v>게임 기획서</x:v>
      </x:c>
      <x:c r="AE99" s="37"/>
      <x:c r="AF99" s="40" t="str">
        <x:v>2026-07-10</x:v>
      </x:c>
      <x:c r="AG99" s="37"/>
      <x:c r="AH99" s="49"/>
      <x:c r="AI99" s="49"/>
      <x:c r="AJ99" s="48" t="str">
        <x:v>착수 전</x:v>
      </x:c>
    </x:row>
    <x:row r="100" ht="42" customHeight="1">
      <x:c r="A100" s="37" t="str">
        <x:v>ONL-003</x:v>
      </x:c>
      <x:c r="B100" s="37" t="str">
        <x:v>온라인·로비·매치메이킹</x:v>
      </x:c>
      <x:c r="C100" s="37" t="str">
        <x:v>연결성</x:v>
      </x:c>
      <x:c r="D100" s="37" t="str">
        <x:v>지역</x:v>
      </x:c>
      <x:c r="E100" s="37" t="str">
        <x:v>자동 지역 선택·수동 재지정</x:v>
      </x:c>
      <x:c r="F100" s="37" t="str">
        <x:v>게임 규칙, 운영 요구사항과 대상 플랫폼 제약을 충족하도록 자동 지역 선택·수동 재지정 기능을 구현하고 검증한다.</x:v>
      </x:c>
      <x:c r="G100" s="37" t="str">
        <x:v>측정 핑과 서비스 가용성을 기준으로 지역을 선택하고 수동 선택 시 예상 지연을 표시한다. 지역 변경은 매치 시작 전에만 허용한다.</x:v>
      </x:c>
      <x:c r="H100" s="37" t="str">
        <x:v>구현, 코드 리뷰, 사양 갱신, 대상 QA 케이스 실행, 로그·텔레메트리 확인과 관련 플랫폼 검증을 완료하고 미해결 P0·P1 결함이 없다.</x:v>
      </x:c>
      <x:c r="I100" s="37" t="str">
        <x:v>알파</x:v>
      </x:c>
      <x:c r="J100" s="37" t="str">
        <x:v>P1</x:v>
      </x:c>
      <x:c r="K100" s="37" t="str">
        <x:v>필수</x:v>
      </x:c>
      <x:c r="L100" s="37" t="str">
        <x:v>연결 품질</x:v>
      </x:c>
      <x:c r="M100" s="37" t="str">
        <x:v>알파</x:v>
      </x:c>
      <x:c r="N100" s="37" t="str">
        <x:v>온라인 엔지니어링</x:v>
      </x:c>
      <x:c r="O100" s="37" t="str">
        <x:v>미정</x:v>
      </x:c>
      <x:c r="P100" s="37" t="str">
        <x:v>미정</x:v>
      </x:c>
      <x:c r="Q100" s="37" t="str">
        <x:v>전체</x:v>
      </x:c>
      <x:c r="R100" s="37" t="str">
        <x:v>클라이언트 로컬</x:v>
      </x:c>
      <x:c r="S100" s="37" t="str">
        <x:v>단말 로컬</x:v>
      </x:c>
      <x:c r="T100" s="37" t="str">
        <x:v>M</x:v>
      </x:c>
      <x:c r="U100" s="37" t="str">
        <x:v>미착수</x:v>
      </x:c>
      <x:c r="V100" s="42" t="n">
        <x:f>IF(U100="완료",1,IF(U100="QA 진행 중",0.8,IF(U100="코드 리뷰",0.65,IF(U100="구현 중",0.4,IF(U100="사양 확인 중",0.1,IF(U100="차단",0.4,0))))))</x:f>
        <x:v>0</x:v>
      </x:c>
      <x:c r="W100" s="37" t="str">
        <x:v>미정</x:v>
      </x:c>
      <x:c r="X100" s="40"/>
      <x:c r="Y100" s="37" t="str">
        <x:v>NET-023</x:v>
      </x:c>
      <x:c r="Z100" s="37" t="str">
        <x:v>중간</x:v>
      </x:c>
      <x:c r="AA100" s="37" t="str">
        <x:v>네트워크</x:v>
      </x:c>
      <x:c r="AB100" s="37" t="str">
        <x:v>TC-ONL-003-01</x:v>
      </x:c>
      <x:c r="AC100" s="37"/>
      <x:c r="AD100" s="37" t="str">
        <x:v>게임 기획서</x:v>
      </x:c>
      <x:c r="AE100" s="37"/>
      <x:c r="AF100" s="40" t="str">
        <x:v>2026-07-10</x:v>
      </x:c>
      <x:c r="AG100" s="37"/>
      <x:c r="AH100" s="49"/>
      <x:c r="AI100" s="49"/>
      <x:c r="AJ100" s="48" t="str">
        <x:v>착수 전</x:v>
      </x:c>
    </x:row>
    <x:row r="101" ht="42" customHeight="1">
      <x:c r="A101" s="37" t="str">
        <x:v>ONL-004</x:v>
      </x:c>
      <x:c r="B101" s="37" t="str">
        <x:v>온라인·로비·매치메이킹</x:v>
      </x:c>
      <x:c r="C101" s="37" t="str">
        <x:v>로비</x:v>
      </x:c>
      <x:c r="D101" s="37" t="str">
        <x:v>생성</x:v>
      </x:c>
      <x:c r="E101" s="37" t="str">
        <x:v>룸 생성·고유 세션 ID 발급</x:v>
      </x:c>
      <x:c r="F101" s="37" t="str">
        <x:v>게임 규칙, 운영 요구사항과 대상 플랫폼 제약을 충족하도록 룸 생성·고유 세션 ID 발급 기능을 구현하고 검증한다.</x:v>
      </x:c>
      <x:c r="G101" s="37" t="str">
        <x:v>룸 생성 요청에 대해 고유 세션, 참가 코드, 설정 버전, 호스트 권한을 발급하고 실패할 경우 고립 세션을 남기지 않는다.</x:v>
      </x:c>
      <x:c r="H101" s="37" t="str">
        <x:v>구현, 코드 리뷰, 사양 갱신, 대상 QA 케이스 실행, 로그·텔레메트리 확인과 관련 플랫폼 검증을 완료하고 미해결 P0·P1 결함이 없다.</x:v>
      </x:c>
      <x:c r="I101" s="37" t="str">
        <x:v>MVP</x:v>
      </x:c>
      <x:c r="J101" s="37" t="str">
        <x:v>P0</x:v>
      </x:c>
      <x:c r="K101" s="37" t="str">
        <x:v>필수</x:v>
      </x:c>
      <x:c r="L101" s="37" t="str">
        <x:v>로비</x:v>
      </x:c>
      <x:c r="M101" s="37" t="str">
        <x:v>MVP</x:v>
      </x:c>
      <x:c r="N101" s="37" t="str">
        <x:v>온라인 엔지니어링</x:v>
      </x:c>
      <x:c r="O101" s="37" t="str">
        <x:v>미정</x:v>
      </x:c>
      <x:c r="P101" s="37" t="str">
        <x:v>미정</x:v>
      </x:c>
      <x:c r="Q101" s="37" t="str">
        <x:v>전체</x:v>
      </x:c>
      <x:c r="R101" s="37" t="str">
        <x:v>백엔드 권한</x:v>
      </x:c>
      <x:c r="S101" s="37" t="str">
        <x:v>세션</x:v>
      </x:c>
      <x:c r="T101" s="37" t="str">
        <x:v>L</x:v>
      </x:c>
      <x:c r="U101" s="37" t="str">
        <x:v>미착수</x:v>
      </x:c>
      <x:c r="V101" s="42" t="n">
        <x:f>IF(U101="완료",1,IF(U101="QA 진행 중",0.8,IF(U101="코드 리뷰",0.65,IF(U101="구현 중",0.4,IF(U101="사양 확인 중",0.1,IF(U101="차단",0.4,0))))))</x:f>
        <x:v>0</x:v>
      </x:c>
      <x:c r="W101" s="37" t="str">
        <x:v>미정</x:v>
      </x:c>
      <x:c r="X101" s="40"/>
      <x:c r="Y101" s="37" t="str">
        <x:v>ONL-001,SET-020</x:v>
      </x:c>
      <x:c r="Z101" s="37" t="str">
        <x:v>중간</x:v>
      </x:c>
      <x:c r="AA101" s="37" t="str">
        <x:v>통합</x:v>
      </x:c>
      <x:c r="AB101" s="37" t="str">
        <x:v>TC-ONL-004-01, TC-ONL-004-02</x:v>
      </x:c>
      <x:c r="AC101" s="37"/>
      <x:c r="AD101" s="37" t="str">
        <x:v>게임 기획서</x:v>
      </x:c>
      <x:c r="AE101" s="37"/>
      <x:c r="AF101" s="40" t="str">
        <x:v>2026-07-10</x:v>
      </x:c>
      <x:c r="AG101" s="37"/>
      <x:c r="AH101" s="49"/>
      <x:c r="AI101" s="49"/>
      <x:c r="AJ101" s="48" t="str">
        <x:v>착수 전</x:v>
      </x:c>
    </x:row>
    <x:row r="102" ht="42" customHeight="1">
      <x:c r="A102" s="37" t="str">
        <x:v>ONL-005</x:v>
      </x:c>
      <x:c r="B102" s="37" t="str">
        <x:v>온라인·로비·매치메이킹</x:v>
      </x:c>
      <x:c r="C102" s="37" t="str">
        <x:v>로비</x:v>
      </x:c>
      <x:c r="D102" s="37" t="str">
        <x:v>개인정보</x:v>
      </x:c>
      <x:c r="E102" s="37" t="str">
        <x:v>공개·비공개·초대 전용 룸</x:v>
      </x:c>
      <x:c r="F102" s="37" t="str">
        <x:v>게임 규칙, 운영 요구사항과 대상 플랫폼 제약을 충족하도록 공개·비공개·초대 전용 룸 기능을 구현하고 검증한다.</x:v>
      </x:c>
      <x:c r="G102" s="37" t="str">
        <x:v>공개 범위에 따라 검색, 코드 참가, 초대 참가를 제어하고 권한이 없는 클라이언트의 설정 변경 요청을 거부한다.</x:v>
      </x:c>
      <x:c r="H102" s="37" t="str">
        <x:v>구현, 코드 리뷰, 사양 갱신, 대상 QA 케이스 실행, 로그·텔레메트리 확인과 관련 플랫폼 검증을 완료하고 미해결 P0·P1 결함이 없다.</x:v>
      </x:c>
      <x:c r="I102" s="37" t="str">
        <x:v>알파</x:v>
      </x:c>
      <x:c r="J102" s="37" t="str">
        <x:v>P1</x:v>
      </x:c>
      <x:c r="K102" s="37" t="str">
        <x:v>필수</x:v>
      </x:c>
      <x:c r="L102" s="37" t="str">
        <x:v>로비</x:v>
      </x:c>
      <x:c r="M102" s="37" t="str">
        <x:v>알파</x:v>
      </x:c>
      <x:c r="N102" s="37" t="str">
        <x:v>온라인 엔지니어링</x:v>
      </x:c>
      <x:c r="O102" s="37" t="str">
        <x:v>미정</x:v>
      </x:c>
      <x:c r="P102" s="37" t="str">
        <x:v>미정</x:v>
      </x:c>
      <x:c r="Q102" s="37" t="str">
        <x:v>전체</x:v>
      </x:c>
      <x:c r="R102" s="37" t="str">
        <x:v>백엔드 권한</x:v>
      </x:c>
      <x:c r="S102" s="37" t="str">
        <x:v>세션</x:v>
      </x:c>
      <x:c r="T102" s="37" t="str">
        <x:v>M</x:v>
      </x:c>
      <x:c r="U102" s="37" t="str">
        <x:v>미착수</x:v>
      </x:c>
      <x:c r="V102" s="42" t="n">
        <x:f>IF(U102="완료",1,IF(U102="QA 진행 중",0.8,IF(U102="코드 리뷰",0.65,IF(U102="구현 중",0.4,IF(U102="사양 확인 중",0.1,IF(U102="차단",0.4,0))))))</x:f>
        <x:v>0</x:v>
      </x:c>
      <x:c r="W102" s="37" t="str">
        <x:v>미정</x:v>
      </x:c>
      <x:c r="X102" s="40"/>
      <x:c r="Y102" s="37" t="str">
        <x:v>ONL-004</x:v>
      </x:c>
      <x:c r="Z102" s="37" t="str">
        <x:v>중간</x:v>
      </x:c>
      <x:c r="AA102" s="37" t="str">
        <x:v>보안</x:v>
      </x:c>
      <x:c r="AB102" s="37" t="str">
        <x:v>TC-ONL-005-01</x:v>
      </x:c>
      <x:c r="AC102" s="37"/>
      <x:c r="AD102" s="37" t="str">
        <x:v>게임 기획서</x:v>
      </x:c>
      <x:c r="AE102" s="37"/>
      <x:c r="AF102" s="40" t="str">
        <x:v>2026-07-10</x:v>
      </x:c>
      <x:c r="AG102" s="37"/>
      <x:c r="AH102" s="49"/>
      <x:c r="AI102" s="49"/>
      <x:c r="AJ102" s="48" t="str">
        <x:v>착수 전</x:v>
      </x:c>
    </x:row>
    <x:row r="103" ht="42" customHeight="1">
      <x:c r="A103" s="37" t="str">
        <x:v>ONL-006</x:v>
      </x:c>
      <x:c r="B103" s="37" t="str">
        <x:v>온라인·로비·매치메이킹</x:v>
      </x:c>
      <x:c r="C103" s="37" t="str">
        <x:v>로비</x:v>
      </x:c>
      <x:c r="D103" s="37" t="str">
        <x:v>참가 코드</x:v>
      </x:c>
      <x:c r="E103" s="37" t="str">
        <x:v>룸 코드 참가·유효 기간</x:v>
      </x:c>
      <x:c r="F103" s="37" t="str">
        <x:v>게임 규칙, 운영 요구사항과 대상 플랫폼 제약을 충족하도록 룸 코드 참가·유효 기간 기능을 구현하고 검증한다.</x:v>
      </x:c>
      <x:c r="G103" s="37" t="str">
        <x:v>대소문자와 혼동 문자를 정규화하고 만료, 만원, 시작됨, 차단, 버전 불일치 사유를 구분해 반환한다.</x:v>
      </x:c>
      <x:c r="H103" s="37" t="str">
        <x:v>구현, 코드 리뷰, 사양 갱신, 대상 QA 케이스 실행, 로그·텔레메트리 확인과 관련 플랫폼 검증을 완료하고 미해결 P0·P1 결함이 없다.</x:v>
      </x:c>
      <x:c r="I103" s="37" t="str">
        <x:v>MVP</x:v>
      </x:c>
      <x:c r="J103" s="37" t="str">
        <x:v>P0</x:v>
      </x:c>
      <x:c r="K103" s="37" t="str">
        <x:v>필수</x:v>
      </x:c>
      <x:c r="L103" s="37" t="str">
        <x:v>로비</x:v>
      </x:c>
      <x:c r="M103" s="37" t="str">
        <x:v>MVP</x:v>
      </x:c>
      <x:c r="N103" s="37" t="str">
        <x:v>온라인 엔지니어링</x:v>
      </x:c>
      <x:c r="O103" s="37" t="str">
        <x:v>미정</x:v>
      </x:c>
      <x:c r="P103" s="37" t="str">
        <x:v>미정</x:v>
      </x:c>
      <x:c r="Q103" s="37" t="str">
        <x:v>전체</x:v>
      </x:c>
      <x:c r="R103" s="37" t="str">
        <x:v>백엔드 권한</x:v>
      </x:c>
      <x:c r="S103" s="37" t="str">
        <x:v>세션</x:v>
      </x:c>
      <x:c r="T103" s="37" t="str">
        <x:v>L</x:v>
      </x:c>
      <x:c r="U103" s="37" t="str">
        <x:v>미착수</x:v>
      </x:c>
      <x:c r="V103" s="42" t="n">
        <x:f>IF(U103="완료",1,IF(U103="QA 진행 중",0.8,IF(U103="코드 리뷰",0.65,IF(U103="구현 중",0.4,IF(U103="사양 확인 중",0.1,IF(U103="차단",0.4,0))))))</x:f>
        <x:v>0</x:v>
      </x:c>
      <x:c r="W103" s="37" t="str">
        <x:v>미정</x:v>
      </x:c>
      <x:c r="X103" s="40"/>
      <x:c r="Y103" s="37" t="str">
        <x:v>ONL-004,ONL-020</x:v>
      </x:c>
      <x:c r="Z103" s="37" t="str">
        <x:v>중간</x:v>
      </x:c>
      <x:c r="AA103" s="37" t="str">
        <x:v>경계값</x:v>
      </x:c>
      <x:c r="AB103" s="37" t="str">
        <x:v>TC-ONL-006-01, TC-ONL-006-02</x:v>
      </x:c>
      <x:c r="AC103" s="37"/>
      <x:c r="AD103" s="37" t="str">
        <x:v>게임 기획서</x:v>
      </x:c>
      <x:c r="AE103" s="37"/>
      <x:c r="AF103" s="40" t="str">
        <x:v>2026-07-10</x:v>
      </x:c>
      <x:c r="AG103" s="37"/>
      <x:c r="AH103" s="49"/>
      <x:c r="AI103" s="49"/>
      <x:c r="AJ103" s="48" t="str">
        <x:v>착수 전</x:v>
      </x:c>
    </x:row>
    <x:row r="104" ht="42" customHeight="1">
      <x:c r="A104" s="37" t="str">
        <x:v>ONL-007</x:v>
      </x:c>
      <x:c r="B104" s="37" t="str">
        <x:v>온라인·로비·매치메이킹</x:v>
      </x:c>
      <x:c r="C104" s="37" t="str">
        <x:v>로비</x:v>
      </x:c>
      <x:c r="D104" s="37" t="str">
        <x:v>참가자·수용 인원</x:v>
      </x:c>
      <x:c r="E104" s="37" t="str">
        <x:v>4~6인 참가자 목록·정원·예약 슬롯</x:v>
      </x:c>
      <x:c r="F104" s="37" t="str">
        <x:v>게임 규칙, 운영 요구사항과 대상 플랫폼 제약을 충족하도록 4~6인 참가자 목록·정원·예약 슬롯 기능을 구현하고 검증한다.</x:v>
      </x:c>
      <x:c r="G104" s="37" t="str">
        <x:v>동시 참가 경쟁 상황에서도 정원을 넘지 않고 재접속 예약 슬롯을 고려해 입장 가능 여부를 원자적으로 결정한다.</x:v>
      </x:c>
      <x:c r="H104" s="37" t="str">
        <x:v>구현, 코드 리뷰, 사양 갱신, 대상 QA 케이스 실행, 로그·텔레메트리 확인과 관련 플랫폼 검증을 완료하고 미해결 P0·P1 결함이 없다.</x:v>
      </x:c>
      <x:c r="I104" s="37" t="str">
        <x:v>MVP</x:v>
      </x:c>
      <x:c r="J104" s="37" t="str">
        <x:v>P0</x:v>
      </x:c>
      <x:c r="K104" s="37" t="str">
        <x:v>필수</x:v>
      </x:c>
      <x:c r="L104" s="37" t="str">
        <x:v>로비</x:v>
      </x:c>
      <x:c r="M104" s="37" t="str">
        <x:v>MVP</x:v>
      </x:c>
      <x:c r="N104" s="37" t="str">
        <x:v>온라인 엔지니어링</x:v>
      </x:c>
      <x:c r="O104" s="37" t="str">
        <x:v>미정</x:v>
      </x:c>
      <x:c r="P104" s="37" t="str">
        <x:v>미정</x:v>
      </x:c>
      <x:c r="Q104" s="37" t="str">
        <x:v>전체</x:v>
      </x:c>
      <x:c r="R104" s="37" t="str">
        <x:v>백엔드 권한</x:v>
      </x:c>
      <x:c r="S104" s="37" t="str">
        <x:v>세션</x:v>
      </x:c>
      <x:c r="T104" s="37" t="str">
        <x:v>L</x:v>
      </x:c>
      <x:c r="U104" s="37" t="str">
        <x:v>미착수</x:v>
      </x:c>
      <x:c r="V104" s="42" t="n">
        <x:f>IF(U104="완료",1,IF(U104="QA 진행 중",0.8,IF(U104="코드 리뷰",0.65,IF(U104="구현 중",0.4,IF(U104="사양 확인 중",0.1,IF(U104="차단",0.4,0))))))</x:f>
        <x:v>0</x:v>
      </x:c>
      <x:c r="W104" s="37" t="str">
        <x:v>미정</x:v>
      </x:c>
      <x:c r="X104" s="40"/>
      <x:c r="Y104" s="37" t="str">
        <x:v>ONL-004,NET-006</x:v>
      </x:c>
      <x:c r="Z104" s="37" t="str">
        <x:v>중간</x:v>
      </x:c>
      <x:c r="AA104" s="37" t="str">
        <x:v>네트워크</x:v>
      </x:c>
      <x:c r="AB104" s="37" t="str">
        <x:v>TC-ONL-007-01, TC-ONL-007-02</x:v>
      </x:c>
      <x:c r="AC104" s="37"/>
      <x:c r="AD104" s="37" t="str">
        <x:v>게임 기획서</x:v>
      </x:c>
      <x:c r="AE104" s="37"/>
      <x:c r="AF104" s="40" t="str">
        <x:v>2026-07-10</x:v>
      </x:c>
      <x:c r="AG104" s="37"/>
      <x:c r="AH104" s="49"/>
      <x:c r="AI104" s="49"/>
      <x:c r="AJ104" s="48" t="str">
        <x:v>착수 전</x:v>
      </x:c>
    </x:row>
    <x:row r="105" ht="42" customHeight="1">
      <x:c r="A105" s="37" t="str">
        <x:v>ONL-008</x:v>
      </x:c>
      <x:c r="B105" s="37" t="str">
        <x:v>온라인·로비·매치메이킹</x:v>
      </x:c>
      <x:c r="C105" s="37" t="str">
        <x:v>로비</x:v>
      </x:c>
      <x:c r="D105" s="37" t="str">
        <x:v>호스트·관리자</x:v>
      </x:c>
      <x:c r="E105" s="37" t="str">
        <x:v>호스트 권한·관리 기능</x:v>
      </x:c>
      <x:c r="F105" s="37" t="str">
        <x:v>게임 규칙, 운영 요구사항과 대상 플랫폼 제약을 충족하도록 호스트 권한·관리 기능 기능을 구현하고 검증한다.</x:v>
      </x:c>
      <x:c r="G105" s="37" t="str">
        <x:v>설정 변경, 시작, 강제 퇴장, 공개 범위 변경은 권한 보유자만 실행할 수 있으며 권한 이전 또는 호스트 이탈 정책을 정의한다.</x:v>
      </x:c>
      <x:c r="H105" s="37" t="str">
        <x:v>구현, 코드 리뷰, 사양 갱신, 대상 QA 케이스 실행, 로그·텔레메트리 확인과 관련 플랫폼 검증을 완료하고 미해결 P0·P1 결함이 없다.</x:v>
      </x:c>
      <x:c r="I105" s="37" t="str">
        <x:v>MVP</x:v>
      </x:c>
      <x:c r="J105" s="37" t="str">
        <x:v>P0</x:v>
      </x:c>
      <x:c r="K105" s="37" t="str">
        <x:v>필수</x:v>
      </x:c>
      <x:c r="L105" s="37" t="str">
        <x:v>권한</x:v>
      </x:c>
      <x:c r="M105" s="37" t="str">
        <x:v>MVP</x:v>
      </x:c>
      <x:c r="N105" s="37" t="str">
        <x:v>온라인 엔지니어링</x:v>
      </x:c>
      <x:c r="O105" s="37" t="str">
        <x:v>미정</x:v>
      </x:c>
      <x:c r="P105" s="37" t="str">
        <x:v>미정</x:v>
      </x:c>
      <x:c r="Q105" s="37" t="str">
        <x:v>전체</x:v>
      </x:c>
      <x:c r="R105" s="37" t="str">
        <x:v>백엔드 권한</x:v>
      </x:c>
      <x:c r="S105" s="37" t="str">
        <x:v>세션</x:v>
      </x:c>
      <x:c r="T105" s="37" t="str">
        <x:v>L</x:v>
      </x:c>
      <x:c r="U105" s="37" t="str">
        <x:v>미착수</x:v>
      </x:c>
      <x:c r="V105" s="42" t="n">
        <x:f>IF(U105="완료",1,IF(U105="QA 진행 중",0.8,IF(U105="코드 리뷰",0.65,IF(U105="구현 중",0.4,IF(U105="사양 확인 중",0.1,IF(U105="차단",0.4,0))))))</x:f>
        <x:v>0</x:v>
      </x:c>
      <x:c r="W105" s="37" t="str">
        <x:v>미정</x:v>
      </x:c>
      <x:c r="X105" s="40"/>
      <x:c r="Y105" s="37" t="str">
        <x:v>ONL-004</x:v>
      </x:c>
      <x:c r="Z105" s="37" t="str">
        <x:v>중간</x:v>
      </x:c>
      <x:c r="AA105" s="37" t="str">
        <x:v>보안</x:v>
      </x:c>
      <x:c r="AB105" s="37" t="str">
        <x:v>TC-ONL-008-01, TC-ONL-008-02</x:v>
      </x:c>
      <x:c r="AC105" s="37"/>
      <x:c r="AD105" s="37" t="str">
        <x:v>게임 기획서</x:v>
      </x:c>
      <x:c r="AE105" s="37"/>
      <x:c r="AF105" s="40" t="str">
        <x:v>2026-07-10</x:v>
      </x:c>
      <x:c r="AG105" s="37"/>
      <x:c r="AH105" s="49"/>
      <x:c r="AI105" s="49"/>
      <x:c r="AJ105" s="48" t="str">
        <x:v>착수 전</x:v>
      </x:c>
    </x:row>
    <x:row r="106" ht="42" customHeight="1">
      <x:c r="A106" s="37" t="str">
        <x:v>ONL-009</x:v>
      </x:c>
      <x:c r="B106" s="37" t="str">
        <x:v>온라인·로비·매치메이킹</x:v>
      </x:c>
      <x:c r="C106" s="37" t="str">
        <x:v>로비</x:v>
      </x:c>
      <x:c r="D106" s="37" t="str">
        <x:v>색상 예약</x:v>
      </x:c>
      <x:c r="E106" s="37" t="str">
        <x:v>플레이어 색상 예약·충돌 해소</x:v>
      </x:c>
      <x:c r="F106" s="37" t="str">
        <x:v>게임 규칙, 운영 요구사항과 대상 플랫폼 제약을 충족하도록 플레이어 색상 예약·충돌 해소 기능을 구현하고 검증한다.</x:v>
      </x:c>
      <x:c r="G106" s="37" t="str">
        <x:v>사용 가능한 색상 중 하나를 고유하게 예약하고 동시 선택, 연결 끊김, 재접속 시 중복이 생기지 않으며 예약 해제 시점을 명확히 한다.</x:v>
      </x:c>
      <x:c r="H106" s="37" t="str">
        <x:v>구현, 코드 리뷰, 사양 갱신, 대상 QA 케이스 실행, 로그·텔레메트리 확인과 관련 플랫폼 검증을 완료하고 미해결 P0·P1 결함이 없다.</x:v>
      </x:c>
      <x:c r="I106" s="37" t="str">
        <x:v>MVP</x:v>
      </x:c>
      <x:c r="J106" s="37" t="str">
        <x:v>P0</x:v>
      </x:c>
      <x:c r="K106" s="37" t="str">
        <x:v>필수</x:v>
      </x:c>
      <x:c r="L106" s="37" t="str">
        <x:v>핵심 규칙</x:v>
      </x:c>
      <x:c r="M106" s="37" t="str">
        <x:v>MVP</x:v>
      </x:c>
      <x:c r="N106" s="37" t="str">
        <x:v>온라인 엔지니어링</x:v>
      </x:c>
      <x:c r="O106" s="37" t="str">
        <x:v>미정</x:v>
      </x:c>
      <x:c r="P106" s="37" t="str">
        <x:v>미정</x:v>
      </x:c>
      <x:c r="Q106" s="37" t="str">
        <x:v>전체</x:v>
      </x:c>
      <x:c r="R106" s="37" t="str">
        <x:v>서버 권한</x:v>
      </x:c>
      <x:c r="S106" s="37" t="str">
        <x:v>세션</x:v>
      </x:c>
      <x:c r="T106" s="37" t="str">
        <x:v>L</x:v>
      </x:c>
      <x:c r="U106" s="37" t="str">
        <x:v>미착수</x:v>
      </x:c>
      <x:c r="V106" s="42" t="n">
        <x:f>IF(U106="완료",1,IF(U106="QA 진행 중",0.8,IF(U106="코드 리뷰",0.65,IF(U106="구현 중",0.4,IF(U106="사양 확인 중",0.1,IF(U106="차단",0.4,0))))))</x:f>
        <x:v>0</x:v>
      </x:c>
      <x:c r="W106" s="37" t="str">
        <x:v>미정</x:v>
      </x:c>
      <x:c r="X106" s="40"/>
      <x:c r="Y106" s="37" t="str">
        <x:v>ONL-007,CHR-005</x:v>
      </x:c>
      <x:c r="Z106" s="37" t="str">
        <x:v>중간</x:v>
      </x:c>
      <x:c r="AA106" s="37" t="str">
        <x:v>네트워크</x:v>
      </x:c>
      <x:c r="AB106" s="37" t="str">
        <x:v>TC-ONL-009-01, TC-ONL-009-02</x:v>
      </x:c>
      <x:c r="AC106" s="37"/>
      <x:c r="AD106" s="37" t="str">
        <x:v>게임 기획서</x:v>
      </x:c>
      <x:c r="AE106" s="37"/>
      <x:c r="AF106" s="40" t="str">
        <x:v>2026-07-10</x:v>
      </x:c>
      <x:c r="AG106" s="37"/>
      <x:c r="AH106" s="49"/>
      <x:c r="AI106" s="49"/>
      <x:c r="AJ106" s="48" t="str">
        <x:v>착수 전</x:v>
      </x:c>
    </x:row>
    <x:row r="107" ht="42" customHeight="1">
      <x:c r="A107" s="37" t="str">
        <x:v>ONL-010</x:v>
      </x:c>
      <x:c r="B107" s="37" t="str">
        <x:v>온라인·로비·매치메이킹</x:v>
      </x:c>
      <x:c r="C107" s="37" t="str">
        <x:v>로비</x:v>
      </x:c>
      <x:c r="D107" s="37" t="str">
        <x:v>준비 상태</x:v>
      </x:c>
      <x:c r="E107" s="37" t="str">
        <x:v>준비 상태 동기화</x:v>
      </x:c>
      <x:c r="F107" s="37" t="str">
        <x:v>게임 규칙, 운영 요구사항과 대상 플랫폼 제약을 충족하도록 준비 상태 동기화 기능을 구현하고 검증한다.</x:v>
      </x:c>
      <x:c r="G107" s="37" t="str">
        <x:v>서버가 참가자별 준비 상태를 보관하고 설정 변경이나 참가자 변동 시 규칙에 따라 준비 상태를 해제한다.</x:v>
      </x:c>
      <x:c r="H107" s="37" t="str">
        <x:v>구현, 코드 리뷰, 사양 갱신, 대상 QA 케이스 실행, 로그·텔레메트리 확인과 관련 플랫폼 검증을 완료하고 미해결 P0·P1 결함이 없다.</x:v>
      </x:c>
      <x:c r="I107" s="37" t="str">
        <x:v>MVP</x:v>
      </x:c>
      <x:c r="J107" s="37" t="str">
        <x:v>P0</x:v>
      </x:c>
      <x:c r="K107" s="37" t="str">
        <x:v>필수</x:v>
      </x:c>
      <x:c r="L107" s="37" t="str">
        <x:v>로비</x:v>
      </x:c>
      <x:c r="M107" s="37" t="str">
        <x:v>MVP</x:v>
      </x:c>
      <x:c r="N107" s="37" t="str">
        <x:v>온라인 엔지니어링</x:v>
      </x:c>
      <x:c r="O107" s="37" t="str">
        <x:v>미정</x:v>
      </x:c>
      <x:c r="P107" s="37" t="str">
        <x:v>미정</x:v>
      </x:c>
      <x:c r="Q107" s="37" t="str">
        <x:v>전체</x:v>
      </x:c>
      <x:c r="R107" s="37" t="str">
        <x:v>서버 권한</x:v>
      </x:c>
      <x:c r="S107" s="37" t="str">
        <x:v>세션</x:v>
      </x:c>
      <x:c r="T107" s="37" t="str">
        <x:v>M</x:v>
      </x:c>
      <x:c r="U107" s="37" t="str">
        <x:v>미착수</x:v>
      </x:c>
      <x:c r="V107" s="42" t="n">
        <x:f>IF(U107="완료",1,IF(U107="QA 진행 중",0.8,IF(U107="코드 리뷰",0.65,IF(U107="구현 중",0.4,IF(U107="사양 확인 중",0.1,IF(U107="차단",0.4,0))))))</x:f>
        <x:v>0</x:v>
      </x:c>
      <x:c r="W107" s="37" t="str">
        <x:v>미정</x:v>
      </x:c>
      <x:c r="X107" s="40"/>
      <x:c r="Y107" s="37" t="str">
        <x:v>ONL-007,SET-021</x:v>
      </x:c>
      <x:c r="Z107" s="37" t="str">
        <x:v>중간</x:v>
      </x:c>
      <x:c r="AA107" s="37" t="str">
        <x:v>통합</x:v>
      </x:c>
      <x:c r="AB107" s="37" t="str">
        <x:v>TC-ONL-010-01, TC-ONL-010-02</x:v>
      </x:c>
      <x:c r="AC107" s="37"/>
      <x:c r="AD107" s="37" t="str">
        <x:v>게임 기획서</x:v>
      </x:c>
      <x:c r="AE107" s="37"/>
      <x:c r="AF107" s="40" t="str">
        <x:v>2026-07-10</x:v>
      </x:c>
      <x:c r="AG107" s="37"/>
      <x:c r="AH107" s="49"/>
      <x:c r="AI107" s="49"/>
      <x:c r="AJ107" s="48" t="str">
        <x:v>착수 전</x:v>
      </x:c>
    </x:row>
    <x:row r="108" ht="42" customHeight="1">
      <x:c r="A108" s="37" t="str">
        <x:v>ONL-011</x:v>
      </x:c>
      <x:c r="B108" s="37" t="str">
        <x:v>온라인·로비·매치메이킹</x:v>
      </x:c>
      <x:c r="C108" s="37" t="str">
        <x:v>로비</x:v>
      </x:c>
      <x:c r="D108" s="37" t="str">
        <x:v>시작 사전 점검</x:v>
      </x:c>
      <x:c r="E108" s="37" t="str">
        <x:v>매치 시작 전 사전 점검</x:v>
      </x:c>
      <x:c r="F108" s="37" t="str">
        <x:v>게임 규칙, 운영 요구사항과 대상 플랫폼 제약을 충족하도록 매치 시작 전 사전 점검 기능을 구현하고 검증한다.</x:v>
      </x:c>
      <x:c r="G108" s="37" t="str">
        <x:v>최소 인원, 전원 준비, 설정 유효성, 콘텐츠 버전, 서버 확보, 음성 연결을 검사하고 모든 조건이 충족된 경우에만 매치를 시작한다.</x:v>
      </x:c>
      <x:c r="H108" s="37" t="str">
        <x:v>구현, 코드 리뷰, 사양 갱신, 대상 QA 케이스 실행, 로그·텔레메트리 확인과 관련 플랫폼 검증을 완료하고 미해결 P0·P1 결함이 없다.</x:v>
      </x:c>
      <x:c r="I108" s="37" t="str">
        <x:v>MVP</x:v>
      </x:c>
      <x:c r="J108" s="37" t="str">
        <x:v>P0</x:v>
      </x:c>
      <x:c r="K108" s="37" t="str">
        <x:v>필수</x:v>
      </x:c>
      <x:c r="L108" s="37" t="str">
        <x:v>시작</x:v>
      </x:c>
      <x:c r="M108" s="37" t="str">
        <x:v>MVP</x:v>
      </x:c>
      <x:c r="N108" s="37" t="str">
        <x:v>온라인 엔지니어링</x:v>
      </x:c>
      <x:c r="O108" s="37" t="str">
        <x:v>미정</x:v>
      </x:c>
      <x:c r="P108" s="37" t="str">
        <x:v>미정</x:v>
      </x:c>
      <x:c r="Q108" s="37" t="str">
        <x:v>전체</x:v>
      </x:c>
      <x:c r="R108" s="37" t="str">
        <x:v>서버 권한</x:v>
      </x:c>
      <x:c r="S108" s="37" t="str">
        <x:v>세션</x:v>
      </x:c>
      <x:c r="T108" s="37" t="str">
        <x:v>XL</x:v>
      </x:c>
      <x:c r="U108" s="37" t="str">
        <x:v>미착수</x:v>
      </x:c>
      <x:c r="V108" s="42" t="n">
        <x:f>IF(U108="완료",1,IF(U108="QA 진행 중",0.8,IF(U108="코드 리뷰",0.65,IF(U108="구현 중",0.4,IF(U108="사양 확인 중",0.1,IF(U108="차단",0.4,0))))))</x:f>
        <x:v>0</x:v>
      </x:c>
      <x:c r="W108" s="37" t="str">
        <x:v>미정</x:v>
      </x:c>
      <x:c r="X108" s="40"/>
      <x:c r="Y108" s="37" t="str">
        <x:v>ONL-010,SET-020,ONL-015,CNT-028,AUD-003</x:v>
      </x:c>
      <x:c r="Z108" s="37" t="str">
        <x:v>중간</x:v>
      </x:c>
      <x:c r="AA108" s="37" t="str">
        <x:v>통합</x:v>
      </x:c>
      <x:c r="AB108" s="37" t="str">
        <x:v>TC-ONL-011-01, TC-ONL-011-02</x:v>
      </x:c>
      <x:c r="AC108" s="37"/>
      <x:c r="AD108" s="37" t="str">
        <x:v>게임 기획서</x:v>
      </x:c>
      <x:c r="AE108" s="37"/>
      <x:c r="AF108" s="40" t="str">
        <x:v>2026-07-10</x:v>
      </x:c>
      <x:c r="AG108" s="37"/>
      <x:c r="AH108" s="49"/>
      <x:c r="AI108" s="49"/>
      <x:c r="AJ108" s="48" t="str">
        <x:v>착수 전</x:v>
      </x:c>
    </x:row>
    <x:row r="109" ht="42" customHeight="1">
      <x:c r="A109" s="37" t="str">
        <x:v>ONL-012</x:v>
      </x:c>
      <x:c r="B109" s="37" t="str">
        <x:v>온라인·로비·매치메이킹</x:v>
      </x:c>
      <x:c r="C109" s="37" t="str">
        <x:v>소셜</x:v>
      </x:c>
      <x:c r="D109" s="37" t="str">
        <x:v>초대</x:v>
      </x:c>
      <x:c r="E109" s="37" t="str">
        <x:v>플랫폼 초대·딥링크 참가</x:v>
      </x:c>
      <x:c r="F109" s="37" t="str">
        <x:v>게임 규칙, 운영 요구사항과 대상 플랫폼 제약을 충족하도록 플랫폼 초대·딥링크 참가 기능을 구현하고 검증한다.</x:v>
      </x:c>
      <x:c r="G109" s="37" t="str">
        <x:v>지원 플랫폼 초대에서 대상 룸으로 이동하며 게임 미실행, 만원, 매치 시작 상태에는 적절한 대체 경로를 제공한다.</x:v>
      </x:c>
      <x:c r="H109" s="37" t="str">
        <x:v>구현, 코드 리뷰, 사양 갱신, 대상 QA 케이스 실행, 로그·텔레메트리 확인과 관련 플랫폼 검증을 완료하고 미해결 P0·P1 결함이 없다.</x:v>
      </x:c>
      <x:c r="I109" s="37" t="str">
        <x:v>베타</x:v>
      </x:c>
      <x:c r="J109" s="37" t="str">
        <x:v>P1</x:v>
      </x:c>
      <x:c r="K109" s="37" t="str">
        <x:v>필수</x:v>
      </x:c>
      <x:c r="L109" s="37" t="str">
        <x:v>소셜</x:v>
      </x:c>
      <x:c r="M109" s="37" t="str">
        <x:v>베타</x:v>
      </x:c>
      <x:c r="N109" s="37" t="str">
        <x:v>온라인 엔지니어링</x:v>
      </x:c>
      <x:c r="O109" s="37" t="str">
        <x:v>미정</x:v>
      </x:c>
      <x:c r="P109" s="37" t="str">
        <x:v>미정</x:v>
      </x:c>
      <x:c r="Q109" s="37" t="str">
        <x:v>전체</x:v>
      </x:c>
      <x:c r="R109" s="37" t="str">
        <x:v>백엔드 권한</x:v>
      </x:c>
      <x:c r="S109" s="37" t="str">
        <x:v>없음</x:v>
      </x:c>
      <x:c r="T109" s="37" t="str">
        <x:v>XL</x:v>
      </x:c>
      <x:c r="U109" s="37" t="str">
        <x:v>미착수</x:v>
      </x:c>
      <x:c r="V109" s="42" t="n">
        <x:f>IF(U109="완료",1,IF(U109="QA 진행 중",0.8,IF(U109="코드 리뷰",0.65,IF(U109="구현 중",0.4,IF(U109="사양 확인 중",0.1,IF(U109="차단",0.4,0))))))</x:f>
        <x:v>0</x:v>
      </x:c>
      <x:c r="W109" s="37" t="str">
        <x:v>미정</x:v>
      </x:c>
      <x:c r="X109" s="40"/>
      <x:c r="Y109" s="37" t="str">
        <x:v>ONL-006,BED-002</x:v>
      </x:c>
      <x:c r="Z109" s="37" t="str">
        <x:v>중간</x:v>
      </x:c>
      <x:c r="AA109" s="37" t="str">
        <x:v>호환성</x:v>
      </x:c>
      <x:c r="AB109" s="37" t="str">
        <x:v>TC-ONL-012-01</x:v>
      </x:c>
      <x:c r="AC109" s="37"/>
      <x:c r="AD109" s="37" t="str">
        <x:v>게임 기획서</x:v>
      </x:c>
      <x:c r="AE109" s="37"/>
      <x:c r="AF109" s="40" t="str">
        <x:v>2026-07-10</x:v>
      </x:c>
      <x:c r="AG109" s="37"/>
      <x:c r="AH109" s="49"/>
      <x:c r="AI109" s="49"/>
      <x:c r="AJ109" s="48" t="str">
        <x:v>착수 전</x:v>
      </x:c>
    </x:row>
    <x:row r="110" ht="42" customHeight="1">
      <x:c r="A110" s="37" t="str">
        <x:v>ONL-013</x:v>
      </x:c>
      <x:c r="B110" s="37" t="str">
        <x:v>온라인·로비·매치메이킹</x:v>
      </x:c>
      <x:c r="C110" s="37" t="str">
        <x:v>매치메이킹</x:v>
      </x:c>
      <x:c r="D110" s="37" t="str">
        <x:v>대기열</x:v>
      </x:c>
      <x:c r="E110" s="37" t="str">
        <x:v>공개 매치메이킹 대기열</x:v>
      </x:c>
      <x:c r="F110" s="37" t="str">
        <x:v>게임 규칙, 운영 요구사항과 대상 플랫폼 제약을 충족하도록 공개 매치메이킹 대기열 기능을 구현하고 검증한다.</x:v>
      </x:c>
      <x:c r="G110" s="37" t="str">
        <x:v>인원, 지역, 크로스플레이, 실력·초보자 구간 등의 조건으로 대기열에 등록하고 매칭 성립 후 룸으로 원자적으로 이동한다.</x:v>
      </x:c>
      <x:c r="H110" s="37" t="str">
        <x:v>구현, 코드 리뷰, 사양 갱신, 대상 QA 케이스 실행, 로그·텔레메트리 확인과 관련 플랫폼 검증을 완료하고 미해결 P0·P1 결함이 없다.</x:v>
      </x:c>
      <x:c r="I110" s="37" t="str">
        <x:v>베타</x:v>
      </x:c>
      <x:c r="J110" s="37" t="str">
        <x:v>P1</x:v>
      </x:c>
      <x:c r="K110" s="37" t="str">
        <x:v>필수</x:v>
      </x:c>
      <x:c r="L110" s="37" t="str">
        <x:v>매치메이킹</x:v>
      </x:c>
      <x:c r="M110" s="37" t="str">
        <x:v>베타</x:v>
      </x:c>
      <x:c r="N110" s="37" t="str">
        <x:v>온라인 엔지니어링</x:v>
      </x:c>
      <x:c r="O110" s="37" t="str">
        <x:v>미정</x:v>
      </x:c>
      <x:c r="P110" s="37" t="str">
        <x:v>미정</x:v>
      </x:c>
      <x:c r="Q110" s="37" t="str">
        <x:v>전체</x:v>
      </x:c>
      <x:c r="R110" s="37" t="str">
        <x:v>백엔드 권한</x:v>
      </x:c>
      <x:c r="S110" s="37" t="str">
        <x:v>세션</x:v>
      </x:c>
      <x:c r="T110" s="37" t="str">
        <x:v>XL</x:v>
      </x:c>
      <x:c r="U110" s="37" t="str">
        <x:v>미착수</x:v>
      </x:c>
      <x:c r="V110" s="42" t="n">
        <x:f>IF(U110="완료",1,IF(U110="QA 진행 중",0.8,IF(U110="코드 리뷰",0.65,IF(U110="구현 중",0.4,IF(U110="사양 확인 중",0.1,IF(U110="차단",0.4,0))))))</x:f>
        <x:v>0</x:v>
      </x:c>
      <x:c r="W110" s="37" t="str">
        <x:v>미정</x:v>
      </x:c>
      <x:c r="X110" s="40"/>
      <x:c r="Y110" s="37" t="str">
        <x:v>ONL-003,ONL-004,ONL-022</x:v>
      </x:c>
      <x:c r="Z110" s="37" t="str">
        <x:v>중간</x:v>
      </x:c>
      <x:c r="AA110" s="37" t="str">
        <x:v>부하</x:v>
      </x:c>
      <x:c r="AB110" s="37" t="str">
        <x:v>TC-ONL-013-01</x:v>
      </x:c>
      <x:c r="AC110" s="37"/>
      <x:c r="AD110" s="37" t="str">
        <x:v>게임 기획서</x:v>
      </x:c>
      <x:c r="AE110" s="37"/>
      <x:c r="AF110" s="40" t="str">
        <x:v>2026-07-10</x:v>
      </x:c>
      <x:c r="AG110" s="37"/>
      <x:c r="AH110" s="49"/>
      <x:c r="AI110" s="49"/>
      <x:c r="AJ110" s="48" t="str">
        <x:v>착수 전</x:v>
      </x:c>
    </x:row>
    <x:row r="111" ht="42" customHeight="1">
      <x:c r="A111" s="37" t="str">
        <x:v>ONL-014</x:v>
      </x:c>
      <x:c r="B111" s="37" t="str">
        <x:v>온라인·로비·매치메이킹</x:v>
      </x:c>
      <x:c r="C111" s="37" t="str">
        <x:v>매치메이킹</x:v>
      </x:c>
      <x:c r="D111" s="37" t="str">
        <x:v>취소·시간 초과</x:v>
      </x:c>
      <x:c r="E111" s="37" t="str">
        <x:v>검색 취소·시간 초과·재시도</x:v>
      </x:c>
      <x:c r="F111" s="37" t="str">
        <x:v>게임 규칙, 운영 요구사항과 대상 플랫폼 제약을 충족하도록 검색 취소·시간 초과·재시도 기능을 구현하고 검증한다.</x:v>
      </x:c>
      <x:c r="G111" s="37" t="str">
        <x:v>취소와 매칭 성립이 동시에 발생해도 중복 참가하지 않으며 시간 초과 후 조건 완화 또는 재시도 선택지를 표시한다.</x:v>
      </x:c>
      <x:c r="H111" s="37" t="str">
        <x:v>구현, 코드 리뷰, 사양 갱신, 대상 QA 케이스 실행, 로그·텔레메트리 확인과 관련 플랫폼 검증을 완료하고 미해결 P0·P1 결함이 없다.</x:v>
      </x:c>
      <x:c r="I111" s="37" t="str">
        <x:v>베타</x:v>
      </x:c>
      <x:c r="J111" s="37" t="str">
        <x:v>P1</x:v>
      </x:c>
      <x:c r="K111" s="37" t="str">
        <x:v>필수</x:v>
      </x:c>
      <x:c r="L111" s="37" t="str">
        <x:v>매치메이킹</x:v>
      </x:c>
      <x:c r="M111" s="37" t="str">
        <x:v>베타</x:v>
      </x:c>
      <x:c r="N111" s="37" t="str">
        <x:v>온라인 엔지니어링</x:v>
      </x:c>
      <x:c r="O111" s="37" t="str">
        <x:v>미정</x:v>
      </x:c>
      <x:c r="P111" s="37" t="str">
        <x:v>미정</x:v>
      </x:c>
      <x:c r="Q111" s="37" t="str">
        <x:v>전체</x:v>
      </x:c>
      <x:c r="R111" s="37" t="str">
        <x:v>백엔드 권한</x:v>
      </x:c>
      <x:c r="S111" s="37" t="str">
        <x:v>세션</x:v>
      </x:c>
      <x:c r="T111" s="37" t="str">
        <x:v>L</x:v>
      </x:c>
      <x:c r="U111" s="37" t="str">
        <x:v>미착수</x:v>
      </x:c>
      <x:c r="V111" s="42" t="n">
        <x:f>IF(U111="완료",1,IF(U111="QA 진행 중",0.8,IF(U111="코드 리뷰",0.65,IF(U111="구현 중",0.4,IF(U111="사양 확인 중",0.1,IF(U111="차단",0.4,0))))))</x:f>
        <x:v>0</x:v>
      </x:c>
      <x:c r="W111" s="37" t="str">
        <x:v>미정</x:v>
      </x:c>
      <x:c r="X111" s="40"/>
      <x:c r="Y111" s="37" t="str">
        <x:v>ONL-013</x:v>
      </x:c>
      <x:c r="Z111" s="37" t="str">
        <x:v>중간</x:v>
      </x:c>
      <x:c r="AA111" s="37" t="str">
        <x:v>경계값</x:v>
      </x:c>
      <x:c r="AB111" s="37" t="str">
        <x:v>TC-ONL-014-01</x:v>
      </x:c>
      <x:c r="AC111" s="37"/>
      <x:c r="AD111" s="37" t="str">
        <x:v>게임 기획서</x:v>
      </x:c>
      <x:c r="AE111" s="37"/>
      <x:c r="AF111" s="40" t="str">
        <x:v>2026-07-10</x:v>
      </x:c>
      <x:c r="AG111" s="37"/>
      <x:c r="AH111" s="49"/>
      <x:c r="AI111" s="49"/>
      <x:c r="AJ111" s="48" t="str">
        <x:v>착수 전</x:v>
      </x:c>
    </x:row>
    <x:row r="112" ht="42" customHeight="1">
      <x:c r="A112" s="37" t="str">
        <x:v>ONL-015</x:v>
      </x:c>
      <x:c r="B112" s="37" t="str">
        <x:v>온라인·로비·매치메이킹</x:v>
      </x:c>
      <x:c r="C112" s="37" t="str">
        <x:v>호환성</x:v>
      </x:c>
      <x:c r="D112" s="37" t="str">
        <x:v>버전</x:v>
      </x:c>
      <x:c r="E112" s="37" t="str">
        <x:v>클라이언트·서버·콘텐츠 호환성</x:v>
      </x:c>
      <x:c r="F112" s="37" t="str">
        <x:v>게임 규칙, 운영 요구사항과 대상 플랫폼 제약을 충족하도록 클라이언트·서버·콘텐츠 호환성 기능을 구현하고 검증한다.</x:v>
      </x:c>
      <x:c r="G112" s="37" t="str">
        <x:v>프로토콜, 게임 규칙, 콘텐츠, 설정 스키마의 호환 범위를 시작 전에 확인하고 호환되지 않는 클라이언트를 명확히 거부한다.</x:v>
      </x:c>
      <x:c r="H112" s="37" t="str">
        <x:v>구현, 코드 리뷰, 사양 갱신, 대상 QA 케이스 실행, 로그·텔레메트리 확인과 관련 플랫폼 검증을 완료하고 미해결 P0·P1 결함이 없다.</x:v>
      </x:c>
      <x:c r="I112" s="37" t="str">
        <x:v>MVP</x:v>
      </x:c>
      <x:c r="J112" s="37" t="str">
        <x:v>P0</x:v>
      </x:c>
      <x:c r="K112" s="37" t="str">
        <x:v>필수</x:v>
      </x:c>
      <x:c r="L112" s="37" t="str">
        <x:v>호환성</x:v>
      </x:c>
      <x:c r="M112" s="37" t="str">
        <x:v>MVP</x:v>
      </x:c>
      <x:c r="N112" s="37" t="str">
        <x:v>온라인 엔지니어링</x:v>
      </x:c>
      <x:c r="O112" s="37" t="str">
        <x:v>미정</x:v>
      </x:c>
      <x:c r="P112" s="37" t="str">
        <x:v>미정</x:v>
      </x:c>
      <x:c r="Q112" s="37" t="str">
        <x:v>전체</x:v>
      </x:c>
      <x:c r="R112" s="37" t="str">
        <x:v>백엔드 권한</x:v>
      </x:c>
      <x:c r="S112" s="37" t="str">
        <x:v>없음</x:v>
      </x:c>
      <x:c r="T112" s="37" t="str">
        <x:v>L</x:v>
      </x:c>
      <x:c r="U112" s="37" t="str">
        <x:v>미착수</x:v>
      </x:c>
      <x:c r="V112" s="42" t="n">
        <x:f>IF(U112="완료",1,IF(U112="QA 진행 중",0.8,IF(U112="코드 리뷰",0.65,IF(U112="구현 중",0.4,IF(U112="사양 확인 중",0.1,IF(U112="차단",0.4,0))))))</x:f>
        <x:v>0</x:v>
      </x:c>
      <x:c r="W112" s="37" t="str">
        <x:v>미정</x:v>
      </x:c>
      <x:c r="X112" s="40"/>
      <x:c r="Y112" s="37" t="str">
        <x:v>NET-002,BED-015,CNT-028</x:v>
      </x:c>
      <x:c r="Z112" s="37" t="str">
        <x:v>중간</x:v>
      </x:c>
      <x:c r="AA112" s="37" t="str">
        <x:v>호환성</x:v>
      </x:c>
      <x:c r="AB112" s="37" t="str">
        <x:v>TC-ONL-015-01, TC-ONL-015-02</x:v>
      </x:c>
      <x:c r="AC112" s="37"/>
      <x:c r="AD112" s="37" t="str">
        <x:v>게임 기획서</x:v>
      </x:c>
      <x:c r="AE112" s="37"/>
      <x:c r="AF112" s="40" t="str">
        <x:v>2026-07-10</x:v>
      </x:c>
      <x:c r="AG112" s="37"/>
      <x:c r="AH112" s="49"/>
      <x:c r="AI112" s="49"/>
      <x:c r="AJ112" s="48" t="str">
        <x:v>착수 전</x:v>
      </x:c>
    </x:row>
    <x:row r="113" ht="42" customHeight="1">
      <x:c r="A113" s="37" t="str">
        <x:v>ONL-016</x:v>
      </x:c>
      <x:c r="B113" s="37" t="str">
        <x:v>온라인·로비·매치메이킹</x:v>
      </x:c>
      <x:c r="C113" s="37" t="str">
        <x:v>세션 정책</x:v>
      </x:c>
      <x:c r="D113" s="37" t="str">
        <x:v>진행 중 참가</x:v>
      </x:c>
      <x:c r="E113" s="37" t="str">
        <x:v>매치 시작 후 참가·백필 정책</x:v>
      </x:c>
      <x:c r="F113" s="37" t="str">
        <x:v>게임 규칙, 운영 요구사항과 대상 플랫폼 제약을 충족하도록 매치 시작 후 참가·백필 정책 기능을 구현하고 검증한다.</x:v>
      </x:c>
      <x:c r="G113" s="37" t="str">
        <x:v>MVP에서는 매치 시작 후 신규 참가를 금지하고 재접속만 허용한다. 향후 백필 기능은 역할 비공개와 공정성 검토를 필수로 한다.</x:v>
      </x:c>
      <x:c r="H113" s="37" t="str">
        <x:v>구현, 코드 리뷰, 사양 갱신, 대상 QA 케이스 실행, 로그·텔레메트리 확인과 관련 플랫폼 검증을 완료하고 미해결 P0·P1 결함이 없다.</x:v>
      </x:c>
      <x:c r="I113" s="37" t="str">
        <x:v>MVP</x:v>
      </x:c>
      <x:c r="J113" s="37" t="str">
        <x:v>P0</x:v>
      </x:c>
      <x:c r="K113" s="37" t="str">
        <x:v>필수</x:v>
      </x:c>
      <x:c r="L113" s="37" t="str">
        <x:v>정보 비공개</x:v>
      </x:c>
      <x:c r="M113" s="37" t="str">
        <x:v>MVP</x:v>
      </x:c>
      <x:c r="N113" s="37" t="str">
        <x:v>온라인 엔지니어링</x:v>
      </x:c>
      <x:c r="O113" s="37" t="str">
        <x:v>미정</x:v>
      </x:c>
      <x:c r="P113" s="37" t="str">
        <x:v>미정</x:v>
      </x:c>
      <x:c r="Q113" s="37" t="str">
        <x:v>전체</x:v>
      </x:c>
      <x:c r="R113" s="37" t="str">
        <x:v>서버 권한</x:v>
      </x:c>
      <x:c r="S113" s="37" t="str">
        <x:v>세션</x:v>
      </x:c>
      <x:c r="T113" s="37" t="str">
        <x:v>M</x:v>
      </x:c>
      <x:c r="U113" s="37" t="str">
        <x:v>미착수</x:v>
      </x:c>
      <x:c r="V113" s="42" t="n">
        <x:f>IF(U113="완료",1,IF(U113="QA 진행 중",0.8,IF(U113="코드 리뷰",0.65,IF(U113="구현 중",0.4,IF(U113="사양 확인 중",0.1,IF(U113="차단",0.4,0))))))</x:f>
        <x:v>0</x:v>
      </x:c>
      <x:c r="W113" s="37" t="str">
        <x:v>미정</x:v>
      </x:c>
      <x:c r="X113" s="40"/>
      <x:c r="Y113" s="37" t="str">
        <x:v>ONL-011</x:v>
      </x:c>
      <x:c r="Z113" s="37" t="str">
        <x:v>중간</x:v>
      </x:c>
      <x:c r="AA113" s="37" t="str">
        <x:v>보안</x:v>
      </x:c>
      <x:c r="AB113" s="37" t="str">
        <x:v>TC-ONL-016-01, TC-ONL-016-02</x:v>
      </x:c>
      <x:c r="AC113" s="37"/>
      <x:c r="AD113" s="37" t="str">
        <x:v>게임 기획서</x:v>
      </x:c>
      <x:c r="AE113" s="37"/>
      <x:c r="AF113" s="40" t="str">
        <x:v>2026-07-10</x:v>
      </x:c>
      <x:c r="AG113" s="37"/>
      <x:c r="AH113" s="49"/>
      <x:c r="AI113" s="49"/>
      <x:c r="AJ113" s="48" t="str">
        <x:v>착수 전</x:v>
      </x:c>
    </x:row>
    <x:row r="114" ht="42" customHeight="1">
      <x:c r="A114" s="37" t="str">
        <x:v>ONL-017</x:v>
      </x:c>
      <x:c r="B114" s="37" t="str">
        <x:v>온라인·로비·매치메이킹</x:v>
      </x:c>
      <x:c r="C114" s="37" t="str">
        <x:v>복원력</x:v>
      </x:c>
      <x:c r="D114" s="37" t="str">
        <x:v>재접속 예약 슬롯</x:v>
      </x:c>
      <x:c r="E114" s="37" t="str">
        <x:v>연결 끊김 감지·재접속 예약·유예</x:v>
      </x:c>
      <x:c r="F114" s="37" t="str">
        <x:v>게임 규칙, 운영 요구사항과 대상 플랫폼 제약을 충족하도록 연결 끊김 감지·재접속 예약·유예 기능을 구현하고 검증한다.</x:v>
      </x:c>
      <x:c r="G114" s="37" t="str">
        <x:v>연결 끊김 이후 설정된 시간 동안 같은 ID의 예약 슬롯을 유지하고 토큰 검증 후 동일한 플레이어 슬롯으로 복귀시킨다.</x:v>
      </x:c>
      <x:c r="H114" s="37" t="str">
        <x:v>구현, 코드 리뷰, 사양 갱신, 대상 QA 케이스 실행, 로그·텔레메트리 확인과 관련 플랫폼 검증을 완료하고 미해결 P0·P1 결함이 없다.</x:v>
      </x:c>
      <x:c r="I114" s="37" t="str">
        <x:v>알파</x:v>
      </x:c>
      <x:c r="J114" s="37" t="str">
        <x:v>P0</x:v>
      </x:c>
      <x:c r="K114" s="37" t="str">
        <x:v>필수</x:v>
      </x:c>
      <x:c r="L114" s="37" t="str">
        <x:v>안정성</x:v>
      </x:c>
      <x:c r="M114" s="37" t="str">
        <x:v>알파</x:v>
      </x:c>
      <x:c r="N114" s="37" t="str">
        <x:v>온라인 엔지니어링</x:v>
      </x:c>
      <x:c r="O114" s="37" t="str">
        <x:v>미정</x:v>
      </x:c>
      <x:c r="P114" s="37" t="str">
        <x:v>미정</x:v>
      </x:c>
      <x:c r="Q114" s="37" t="str">
        <x:v>전체</x:v>
      </x:c>
      <x:c r="R114" s="37" t="str">
        <x:v>백엔드 권한</x:v>
      </x:c>
      <x:c r="S114" s="37" t="str">
        <x:v>세션</x:v>
      </x:c>
      <x:c r="T114" s="37" t="str">
        <x:v>XL</x:v>
      </x:c>
      <x:c r="U114" s="37" t="str">
        <x:v>미착수</x:v>
      </x:c>
      <x:c r="V114" s="42" t="n">
        <x:f>IF(U114="완료",1,IF(U114="QA 진행 중",0.8,IF(U114="코드 리뷰",0.65,IF(U114="구현 중",0.4,IF(U114="사양 확인 중",0.1,IF(U114="차단",0.4,0))))))</x:f>
        <x:v>0</x:v>
      </x:c>
      <x:c r="W114" s="37" t="str">
        <x:v>미정</x:v>
      </x:c>
      <x:c r="X114" s="40"/>
      <x:c r="Y114" s="37" t="str">
        <x:v>ONL-002,ONL-007,NET-019</x:v>
      </x:c>
      <x:c r="Z114" s="37" t="str">
        <x:v>중간</x:v>
      </x:c>
      <x:c r="AA114" s="37" t="str">
        <x:v>네트워크</x:v>
      </x:c>
      <x:c r="AB114" s="37" t="str">
        <x:v>TC-ONL-017-01, TC-ONL-017-02</x:v>
      </x:c>
      <x:c r="AC114" s="37"/>
      <x:c r="AD114" s="37" t="str">
        <x:v>게임 기획서</x:v>
      </x:c>
      <x:c r="AE114" s="37"/>
      <x:c r="AF114" s="40" t="str">
        <x:v>2026-07-10</x:v>
      </x:c>
      <x:c r="AG114" s="37"/>
      <x:c r="AH114" s="49"/>
      <x:c r="AI114" s="49"/>
      <x:c r="AJ114" s="48" t="str">
        <x:v>착수 전</x:v>
      </x:c>
    </x:row>
    <x:row r="115" ht="42" customHeight="1">
      <x:c r="A115" s="37" t="str">
        <x:v>ONL-018</x:v>
      </x:c>
      <x:c r="B115" s="37" t="str">
        <x:v>온라인·로비·매치메이킹</x:v>
      </x:c>
      <x:c r="C115" s="37" t="str">
        <x:v>로비</x:v>
      </x:c>
      <x:c r="D115" s="37" t="str">
        <x:v>나가기·강제 퇴장</x:v>
      </x:c>
      <x:c r="E115" s="37" t="str">
        <x:v>자발적 이탈·강제 퇴장·차단 처리</x:v>
      </x:c>
      <x:c r="F115" s="37" t="str">
        <x:v>게임 규칙, 운영 요구사항과 대상 플랫폼 제약을 충족하도록 자발적 이탈·강제 퇴장·차단 처리 기능을 구현하고 검증한다.</x:v>
      </x:c>
      <x:c r="G115" s="37" t="str">
        <x:v>이탈과 강제 퇴장을 모든 클라이언트에 알리고 호스트 이전, 색상 해제, 준비 취소, 재접속 불가 상태를 일관되게 처리한다.</x:v>
      </x:c>
      <x:c r="H115" s="37" t="str">
        <x:v>구현, 코드 리뷰, 사양 갱신, 대상 QA 케이스 실행, 로그·텔레메트리 확인과 관련 플랫폼 검증을 완료하고 미해결 P0·P1 결함이 없다.</x:v>
      </x:c>
      <x:c r="I115" s="37" t="str">
        <x:v>알파</x:v>
      </x:c>
      <x:c r="J115" s="37" t="str">
        <x:v>P1</x:v>
      </x:c>
      <x:c r="K115" s="37" t="str">
        <x:v>필수</x:v>
      </x:c>
      <x:c r="L115" s="37" t="str">
        <x:v>운영</x:v>
      </x:c>
      <x:c r="M115" s="37" t="str">
        <x:v>알파</x:v>
      </x:c>
      <x:c r="N115" s="37" t="str">
        <x:v>온라인 엔지니어링</x:v>
      </x:c>
      <x:c r="O115" s="37" t="str">
        <x:v>미정</x:v>
      </x:c>
      <x:c r="P115" s="37" t="str">
        <x:v>미정</x:v>
      </x:c>
      <x:c r="Q115" s="37" t="str">
        <x:v>전체</x:v>
      </x:c>
      <x:c r="R115" s="37" t="str">
        <x:v>백엔드 권한</x:v>
      </x:c>
      <x:c r="S115" s="37" t="str">
        <x:v>감사 로그</x:v>
      </x:c>
      <x:c r="T115" s="37" t="str">
        <x:v>L</x:v>
      </x:c>
      <x:c r="U115" s="37" t="str">
        <x:v>미착수</x:v>
      </x:c>
      <x:c r="V115" s="42" t="n">
        <x:f>IF(U115="완료",1,IF(U115="QA 진행 중",0.8,IF(U115="코드 리뷰",0.65,IF(U115="구현 중",0.4,IF(U115="사양 확인 중",0.1,IF(U115="차단",0.4,0))))))</x:f>
        <x:v>0</x:v>
      </x:c>
      <x:c r="W115" s="37" t="str">
        <x:v>미정</x:v>
      </x:c>
      <x:c r="X115" s="40"/>
      <x:c r="Y115" s="37" t="str">
        <x:v>ONL-008,ONL-009,BED-009</x:v>
      </x:c>
      <x:c r="Z115" s="37" t="str">
        <x:v>중간</x:v>
      </x:c>
      <x:c r="AA115" s="37" t="str">
        <x:v>통합</x:v>
      </x:c>
      <x:c r="AB115" s="37" t="str">
        <x:v>TC-ONL-018-01</x:v>
      </x:c>
      <x:c r="AC115" s="37"/>
      <x:c r="AD115" s="37" t="str">
        <x:v>게임 기획서</x:v>
      </x:c>
      <x:c r="AE115" s="37"/>
      <x:c r="AF115" s="40" t="str">
        <x:v>2026-07-10</x:v>
      </x:c>
      <x:c r="AG115" s="37"/>
      <x:c r="AH115" s="49"/>
      <x:c r="AI115" s="49"/>
      <x:c r="AJ115" s="48" t="str">
        <x:v>착수 전</x:v>
      </x:c>
    </x:row>
    <x:row r="116" ht="42" customHeight="1">
      <x:c r="A116" s="37" t="str">
        <x:v>ONL-019</x:v>
      </x:c>
      <x:c r="B116" s="37" t="str">
        <x:v>온라인·로비·매치메이킹</x:v>
      </x:c>
      <x:c r="C116" s="37" t="str">
        <x:v>세션 수명주기</x:v>
      </x:c>
      <x:c r="D116" s="37" t="str">
        <x:v>종료 처리</x:v>
      </x:c>
      <x:c r="E116" s="37" t="str">
        <x:v>매치 종료·로비 복귀·세션 정리</x:v>
      </x:c>
      <x:c r="F116" s="37" t="str">
        <x:v>게임 규칙, 운영 요구사항과 대상 플랫폼 제약을 충족하도록 매치 종료·로비 복귀·세션 정리 기능을 구현하고 검증한다.</x:v>
      </x:c>
      <x:c r="G116" s="37" t="str">
        <x:v>결과 확정 후 모든 참가자를 동일 로비로 복귀시키고 보상·기록 저장이 완료되기 전에 세션을 삭제하지 않는다. 시간 초과 시 재전송할 수 있다.</x:v>
      </x:c>
      <x:c r="H116" s="37" t="str">
        <x:v>구현, 코드 리뷰, 사양 갱신, 대상 QA 케이스 실행, 로그·텔레메트리 확인과 관련 플랫폼 검증을 완료하고 미해결 P0·P1 결함이 없다.</x:v>
      </x:c>
      <x:c r="I116" s="37" t="str">
        <x:v>MVP</x:v>
      </x:c>
      <x:c r="J116" s="37" t="str">
        <x:v>P0</x:v>
      </x:c>
      <x:c r="K116" s="37" t="str">
        <x:v>필수</x:v>
      </x:c>
      <x:c r="L116" s="37" t="str">
        <x:v>데이터 무결성</x:v>
      </x:c>
      <x:c r="M116" s="37" t="str">
        <x:v>MVP</x:v>
      </x:c>
      <x:c r="N116" s="37" t="str">
        <x:v>온라인 엔지니어링</x:v>
      </x:c>
      <x:c r="O116" s="37" t="str">
        <x:v>미정</x:v>
      </x:c>
      <x:c r="P116" s="37" t="str">
        <x:v>미정</x:v>
      </x:c>
      <x:c r="Q116" s="37" t="str">
        <x:v>전체</x:v>
      </x:c>
      <x:c r="R116" s="37" t="str">
        <x:v>백엔드 권한</x:v>
      </x:c>
      <x:c r="S116" s="37" t="str">
        <x:v>매치</x:v>
      </x:c>
      <x:c r="T116" s="37" t="str">
        <x:v>L</x:v>
      </x:c>
      <x:c r="U116" s="37" t="str">
        <x:v>미착수</x:v>
      </x:c>
      <x:c r="V116" s="42" t="n">
        <x:f>IF(U116="완료",1,IF(U116="QA 진행 중",0.8,IF(U116="코드 리뷰",0.65,IF(U116="구현 중",0.4,IF(U116="사양 확인 중",0.1,IF(U116="차단",0.4,0))))))</x:f>
        <x:v>0</x:v>
      </x:c>
      <x:c r="W116" s="37" t="str">
        <x:v>미정</x:v>
      </x:c>
      <x:c r="X116" s="40"/>
      <x:c r="Y116" s="37" t="str">
        <x:v>IGM-026,IGM-027,IGM-031,BED-006,BED-007</x:v>
      </x:c>
      <x:c r="Z116" s="37" t="str">
        <x:v>중간</x:v>
      </x:c>
      <x:c r="AA116" s="37" t="str">
        <x:v>통합</x:v>
      </x:c>
      <x:c r="AB116" s="37" t="str">
        <x:v>TC-ONL-019-01, TC-ONL-019-02</x:v>
      </x:c>
      <x:c r="AC116" s="37"/>
      <x:c r="AD116" s="37" t="str">
        <x:v>게임 기획서</x:v>
      </x:c>
      <x:c r="AE116" s="37"/>
      <x:c r="AF116" s="40" t="str">
        <x:v>2026-07-10</x:v>
      </x:c>
      <x:c r="AG116" s="37"/>
      <x:c r="AH116" s="49"/>
      <x:c r="AI116" s="49"/>
      <x:c r="AJ116" s="48" t="str">
        <x:v>착수 전</x:v>
      </x:c>
    </x:row>
    <x:row r="117" ht="42" customHeight="1">
      <x:c r="A117" s="37" t="str">
        <x:v>ONL-020</x:v>
      </x:c>
      <x:c r="B117" s="37" t="str">
        <x:v>온라인·로비·매치메이킹</x:v>
      </x:c>
      <x:c r="C117" s="37" t="str">
        <x:v>오류 처리</x:v>
      </x:c>
      <x:c r="D117" s="37" t="str">
        <x:v>카탈로그</x:v>
      </x:c>
      <x:c r="E117" s="37" t="str">
        <x:v>온라인 오류 코드 체계</x:v>
      </x:c>
      <x:c r="F117" s="37" t="str">
        <x:v>게임 규칙, 운영 요구사항과 대상 플랫폼 제약을 충족하도록 온라인 오류 코드 체계 기능을 구현하고 검증한다.</x:v>
      </x:c>
      <x:c r="G117" s="37" t="str">
        <x:v>인증, 만원, 시작됨, 만료, 호환성, 점검, 요청 제한, 차단, 네트워크 끊김을 고유 코드와 현지화 키로 정의한다.</x:v>
      </x:c>
      <x:c r="H117" s="37" t="str">
        <x:v>구현, 코드 리뷰, 사양 갱신, 대상 QA 케이스 실행, 로그·텔레메트리 확인과 관련 플랫폼 검증을 완료하고 미해결 P0·P1 결함이 없다.</x:v>
      </x:c>
      <x:c r="I117" s="37" t="str">
        <x:v>MVP</x:v>
      </x:c>
      <x:c r="J117" s="37" t="str">
        <x:v>P0</x:v>
      </x:c>
      <x:c r="K117" s="37" t="str">
        <x:v>필수</x:v>
      </x:c>
      <x:c r="L117" s="37" t="str">
        <x:v>운영</x:v>
      </x:c>
      <x:c r="M117" s="37" t="str">
        <x:v>MVP</x:v>
      </x:c>
      <x:c r="N117" s="37" t="str">
        <x:v>온라인 엔지니어링</x:v>
      </x:c>
      <x:c r="O117" s="37" t="str">
        <x:v>미정</x:v>
      </x:c>
      <x:c r="P117" s="37" t="str">
        <x:v>미정</x:v>
      </x:c>
      <x:c r="Q117" s="37" t="str">
        <x:v>전체</x:v>
      </x:c>
      <x:c r="R117" s="37" t="str">
        <x:v>콘텐츠 데이터</x:v>
      </x:c>
      <x:c r="S117" s="37" t="str">
        <x:v>없음</x:v>
      </x:c>
      <x:c r="T117" s="37" t="str">
        <x:v>M</x:v>
      </x:c>
      <x:c r="U117" s="37" t="str">
        <x:v>미착수</x:v>
      </x:c>
      <x:c r="V117" s="42" t="n">
        <x:f>IF(U117="완료",1,IF(U117="QA 진행 중",0.8,IF(U117="코드 리뷰",0.65,IF(U117="구현 중",0.4,IF(U117="사양 확인 중",0.1,IF(U117="차단",0.4,0))))))</x:f>
        <x:v>0</x:v>
      </x:c>
      <x:c r="W117" s="37" t="str">
        <x:v>미정</x:v>
      </x:c>
      <x:c r="X117" s="40"/>
      <x:c r="Y117" s="37" t="str">
        <x:v>ONL-001,BED-018</x:v>
      </x:c>
      <x:c r="Z117" s="37" t="str">
        <x:v>중간</x:v>
      </x:c>
      <x:c r="AA117" s="37" t="str">
        <x:v>운영</x:v>
      </x:c>
      <x:c r="AB117" s="37" t="str">
        <x:v>TC-ONL-020-01, TC-ONL-020-02</x:v>
      </x:c>
      <x:c r="AC117" s="37"/>
      <x:c r="AD117" s="37" t="str">
        <x:v>게임 기획서</x:v>
      </x:c>
      <x:c r="AE117" s="37"/>
      <x:c r="AF117" s="40" t="str">
        <x:v>2026-07-10</x:v>
      </x:c>
      <x:c r="AG117" s="37"/>
      <x:c r="AH117" s="49"/>
      <x:c r="AI117" s="49"/>
      <x:c r="AJ117" s="48" t="str">
        <x:v>착수 전</x:v>
      </x:c>
    </x:row>
    <x:row r="118" ht="42" customHeight="1">
      <x:c r="A118" s="37" t="str">
        <x:v>ONL-021</x:v>
      </x:c>
      <x:c r="B118" s="37" t="str">
        <x:v>온라인·로비·매치메이킹</x:v>
      </x:c>
      <x:c r="C118" s="37" t="str">
        <x:v>복원력</x:v>
      </x:c>
      <x:c r="D118" s="37" t="str">
        <x:v>호스트 장애</x:v>
      </x:c>
      <x:c r="E118" s="37" t="str">
        <x:v>호스트 이탈·서버 장애 정책</x:v>
      </x:c>
      <x:c r="F118" s="37" t="str">
        <x:v>게임 규칙, 운영 요구사항과 대상 플랫폼 제약을 충족하도록 호스트 이탈·서버 장애 정책 기능을 구현하고 검증한다.</x:v>
      </x:c>
      <x:c r="G118" s="37" t="str">
        <x:v>전용 서버 구성에서는 호스트 이탈과 무관하게 매치를 계속하고 서버 장애 시 재접속 또는 무효 매치를 결정한다. P2P 적용 시 별도의 이전 사양을 정의한다.</x:v>
      </x:c>
      <x:c r="H118" s="37" t="str">
        <x:v>구현, 코드 리뷰, 사양 갱신, 대상 QA 케이스 실행, 로그·텔레메트리 확인과 관련 플랫폼 검증을 완료하고 미해결 P0·P1 결함이 없다.</x:v>
      </x:c>
      <x:c r="I118" s="37" t="str">
        <x:v>알파</x:v>
      </x:c>
      <x:c r="J118" s="37" t="str">
        <x:v>P0</x:v>
      </x:c>
      <x:c r="K118" s="37" t="str">
        <x:v>필수</x:v>
      </x:c>
      <x:c r="L118" s="37" t="str">
        <x:v>안정성</x:v>
      </x:c>
      <x:c r="M118" s="37" t="str">
        <x:v>알파</x:v>
      </x:c>
      <x:c r="N118" s="37" t="str">
        <x:v>온라인 엔지니어링</x:v>
      </x:c>
      <x:c r="O118" s="37" t="str">
        <x:v>미정</x:v>
      </x:c>
      <x:c r="P118" s="37" t="str">
        <x:v>미정</x:v>
      </x:c>
      <x:c r="Q118" s="37" t="str">
        <x:v>전체</x:v>
      </x:c>
      <x:c r="R118" s="37" t="str">
        <x:v>백엔드 권한</x:v>
      </x:c>
      <x:c r="S118" s="37" t="str">
        <x:v>세션</x:v>
      </x:c>
      <x:c r="T118" s="37" t="str">
        <x:v>XL</x:v>
      </x:c>
      <x:c r="U118" s="37" t="str">
        <x:v>미착수</x:v>
      </x:c>
      <x:c r="V118" s="42" t="n">
        <x:f>IF(U118="완료",1,IF(U118="QA 진행 중",0.8,IF(U118="코드 리뷰",0.65,IF(U118="구현 중",0.4,IF(U118="사양 확인 중",0.1,IF(U118="차단",0.4,0))))))</x:f>
        <x:v>0</x:v>
      </x:c>
      <x:c r="W118" s="37" t="str">
        <x:v>미정</x:v>
      </x:c>
      <x:c r="X118" s="40"/>
      <x:c r="Y118" s="37" t="str">
        <x:v>ONL-008,NET-020</x:v>
      </x:c>
      <x:c r="Z118" s="37" t="str">
        <x:v>중간</x:v>
      </x:c>
      <x:c r="AA118" s="37" t="str">
        <x:v>네트워크</x:v>
      </x:c>
      <x:c r="AB118" s="37" t="str">
        <x:v>TC-ONL-021-01, TC-ONL-021-02</x:v>
      </x:c>
      <x:c r="AC118" s="37"/>
      <x:c r="AD118" s="37" t="str">
        <x:v>게임 기획서</x:v>
      </x:c>
      <x:c r="AE118" s="37"/>
      <x:c r="AF118" s="40" t="str">
        <x:v>2026-07-10</x:v>
      </x:c>
      <x:c r="AG118" s="37"/>
      <x:c r="AH118" s="49"/>
      <x:c r="AI118" s="49"/>
      <x:c r="AJ118" s="48" t="str">
        <x:v>착수 전</x:v>
      </x:c>
    </x:row>
    <x:row r="119" ht="42" customHeight="1">
      <x:c r="A119" s="37" t="str">
        <x:v>ONL-022</x:v>
      </x:c>
      <x:c r="B119" s="37" t="str">
        <x:v>온라인·로비·매치메이킹</x:v>
      </x:c>
      <x:c r="C119" s="37" t="str">
        <x:v>호환성</x:v>
      </x:c>
      <x:c r="D119" s="37" t="str">
        <x:v>크로스플레이</x:v>
      </x:c>
      <x:c r="E119" s="37" t="str">
        <x:v>크로스플레이·입력·지역 제한</x:v>
      </x:c>
      <x:c r="F119" s="37" t="str">
        <x:v>게임 규칙, 운영 요구사항과 대상 플랫폼 제약을 충족하도록 크로스플레이·입력·지역 제한 기능을 구현하고 검증한다.</x:v>
      </x:c>
      <x:c r="G119" s="37" t="str">
        <x:v>플랫폼, 크로스플레이 허용, 연령 제한, 지역 규제를 매칭 조건에 반영하고 지원하지 않는 조합은 대기열 등록 전에 거부한다.</x:v>
      </x:c>
      <x:c r="H119" s="37" t="str">
        <x:v>구현, 코드 리뷰, 사양 갱신, 대상 QA 케이스 실행, 로그·텔레메트리 확인과 관련 플랫폼 검증을 완료하고 미해결 P0·P1 결함이 없다.</x:v>
      </x:c>
      <x:c r="I119" s="37" t="str">
        <x:v>베타</x:v>
      </x:c>
      <x:c r="J119" s="37" t="str">
        <x:v>P1</x:v>
      </x:c>
      <x:c r="K119" s="37" t="str">
        <x:v>필수</x:v>
      </x:c>
      <x:c r="L119" s="37" t="str">
        <x:v>호환성</x:v>
      </x:c>
      <x:c r="M119" s="37" t="str">
        <x:v>베타</x:v>
      </x:c>
      <x:c r="N119" s="37" t="str">
        <x:v>온라인 엔지니어링</x:v>
      </x:c>
      <x:c r="O119" s="37" t="str">
        <x:v>미정</x:v>
      </x:c>
      <x:c r="P119" s="37" t="str">
        <x:v>미정</x:v>
      </x:c>
      <x:c r="Q119" s="37" t="str">
        <x:v>전체</x:v>
      </x:c>
      <x:c r="R119" s="37" t="str">
        <x:v>백엔드 권한</x:v>
      </x:c>
      <x:c r="S119" s="37" t="str">
        <x:v>계정</x:v>
      </x:c>
      <x:c r="T119" s="37" t="str">
        <x:v>XL</x:v>
      </x:c>
      <x:c r="U119" s="37" t="str">
        <x:v>미착수</x:v>
      </x:c>
      <x:c r="V119" s="42" t="n">
        <x:f>IF(U119="완료",1,IF(U119="QA 진행 중",0.8,IF(U119="코드 리뷰",0.65,IF(U119="구현 중",0.4,IF(U119="사양 확인 중",0.1,IF(U119="차단",0.4,0))))))</x:f>
        <x:v>0</x:v>
      </x:c>
      <x:c r="W119" s="37" t="str">
        <x:v>미정</x:v>
      </x:c>
      <x:c r="X119" s="40"/>
      <x:c r="Y119" s="37" t="str">
        <x:v>SET-026,BED-013</x:v>
      </x:c>
      <x:c r="Z119" s="37" t="str">
        <x:v>중간</x:v>
      </x:c>
      <x:c r="AA119" s="37" t="str">
        <x:v>호환성</x:v>
      </x:c>
      <x:c r="AB119" s="37" t="str">
        <x:v>TC-ONL-022-01</x:v>
      </x:c>
      <x:c r="AC119" s="37"/>
      <x:c r="AD119" s="37" t="str">
        <x:v>게임 기획서</x:v>
      </x:c>
      <x:c r="AE119" s="37"/>
      <x:c r="AF119" s="40" t="str">
        <x:v>2026-07-10</x:v>
      </x:c>
      <x:c r="AG119" s="37"/>
      <x:c r="AH119" s="49"/>
      <x:c r="AI119" s="49"/>
      <x:c r="AJ119" s="48" t="str">
        <x:v>착수 전</x:v>
      </x:c>
    </x:row>
    <x:row r="120" ht="42" customHeight="1">
      <x:c r="A120" s="37" t="str">
        <x:v>ONL-023</x:v>
      </x:c>
      <x:c r="B120" s="37" t="str">
        <x:v>온라인·로비·매치메이킹</x:v>
      </x:c>
      <x:c r="C120" s="37" t="str">
        <x:v>악용 방어</x:v>
      </x:c>
      <x:c r="D120" s="37" t="str">
        <x:v>요청 제한</x:v>
      </x:c>
      <x:c r="E120" s="37" t="str">
        <x:v>룸 생성·참가·초대 요청 제한</x:v>
      </x:c>
      <x:c r="F120" s="37" t="str">
        <x:v>게임 규칙, 운영 요구사항과 대상 플랫폼 제약을 충족하도록 룸 생성·참가·초대 요청 제한 기능을 구현하고 검증한다.</x:v>
      </x:c>
      <x:c r="G120" s="37" t="str">
        <x:v>IP, 계정, 기기 단위의 요청 제한과 점진적 대기 시간을 적용하되 정상 사용자의 재시도를 과도하게 방해하지 않는다.</x:v>
      </x:c>
      <x:c r="H120" s="37" t="str">
        <x:v>구현, 코드 리뷰, 사양 갱신, 대상 QA 케이스 실행, 로그·텔레메트리 확인과 관련 플랫폼 검증을 완료하고 미해결 P0·P1 결함이 없다.</x:v>
      </x:c>
      <x:c r="I120" s="37" t="str">
        <x:v>출시</x:v>
      </x:c>
      <x:c r="J120" s="37" t="str">
        <x:v>P0</x:v>
      </x:c>
      <x:c r="K120" s="37" t="str">
        <x:v>필수</x:v>
      </x:c>
      <x:c r="L120" s="37" t="str">
        <x:v>보안</x:v>
      </x:c>
      <x:c r="M120" s="37" t="str">
        <x:v>출시</x:v>
      </x:c>
      <x:c r="N120" s="37" t="str">
        <x:v>온라인 엔지니어링</x:v>
      </x:c>
      <x:c r="O120" s="37" t="str">
        <x:v>미정</x:v>
      </x:c>
      <x:c r="P120" s="37" t="str">
        <x:v>미정</x:v>
      </x:c>
      <x:c r="Q120" s="37" t="str">
        <x:v>전체</x:v>
      </x:c>
      <x:c r="R120" s="37" t="str">
        <x:v>백엔드 권한</x:v>
      </x:c>
      <x:c r="S120" s="37" t="str">
        <x:v>감사 로그</x:v>
      </x:c>
      <x:c r="T120" s="37" t="str">
        <x:v>L</x:v>
      </x:c>
      <x:c r="U120" s="37" t="str">
        <x:v>미착수</x:v>
      </x:c>
      <x:c r="V120" s="42" t="n">
        <x:f>IF(U120="완료",1,IF(U120="QA 진행 중",0.8,IF(U120="코드 리뷰",0.65,IF(U120="구현 중",0.4,IF(U120="사양 확인 중",0.1,IF(U120="차단",0.4,0))))))</x:f>
        <x:v>0</x:v>
      </x:c>
      <x:c r="W120" s="37" t="str">
        <x:v>미정</x:v>
      </x:c>
      <x:c r="X120" s="40"/>
      <x:c r="Y120" s="37" t="str">
        <x:v>BED-017,BED-018</x:v>
      </x:c>
      <x:c r="Z120" s="37" t="str">
        <x:v>중간</x:v>
      </x:c>
      <x:c r="AA120" s="37" t="str">
        <x:v>보안</x:v>
      </x:c>
      <x:c r="AB120" s="37" t="str">
        <x:v>TC-ONL-023-01, TC-ONL-023-02</x:v>
      </x:c>
      <x:c r="AC120" s="37"/>
      <x:c r="AD120" s="37" t="str">
        <x:v>게임 기획서</x:v>
      </x:c>
      <x:c r="AE120" s="37"/>
      <x:c r="AF120" s="40" t="str">
        <x:v>2026-07-10</x:v>
      </x:c>
      <x:c r="AG120" s="37"/>
      <x:c r="AH120" s="49"/>
      <x:c r="AI120" s="49"/>
      <x:c r="AJ120" s="48" t="str">
        <x:v>착수 전</x:v>
      </x:c>
    </x:row>
    <x:row r="121" ht="42" customHeight="1">
      <x:c r="A121" s="37" t="str">
        <x:v>ONL-024</x:v>
      </x:c>
      <x:c r="B121" s="37" t="str">
        <x:v>온라인·로비·매치메이킹</x:v>
      </x:c>
      <x:c r="C121" s="37" t="str">
        <x:v>매치메이킹</x:v>
      </x:c>
      <x:c r="D121" s="37" t="str">
        <x:v>품질</x:v>
      </x:c>
      <x:c r="E121" s="37" t="str">
        <x:v>매치 품질 지표</x:v>
      </x:c>
      <x:c r="F121" s="37" t="str">
        <x:v>게임 규칙, 운영 요구사항과 대상 플랫폼 제약을 충족하도록 매치 품질 지표 기능을 구현하고 검증한다.</x:v>
      </x:c>
      <x:c r="G121" s="37" t="str">
        <x:v>검색 시간, 매칭 성립률, 예상·실측 핑, 이탈률, 재접속률을 익명화해 수집하고 지역과 버전별로 모니터링할 수 있다.</x:v>
      </x:c>
      <x:c r="H121" s="37" t="str">
        <x:v>구현, 코드 리뷰, 사양 갱신, 대상 QA 케이스 실행, 로그·텔레메트리 확인과 관련 플랫폼 검증을 완료하고 미해결 P0·P1 결함이 없다.</x:v>
      </x:c>
      <x:c r="I121" s="37" t="str">
        <x:v>베타</x:v>
      </x:c>
      <x:c r="J121" s="37" t="str">
        <x:v>P1</x:v>
      </x:c>
      <x:c r="K121" s="37" t="str">
        <x:v>필수</x:v>
      </x:c>
      <x:c r="L121" s="37" t="str">
        <x:v>운영</x:v>
      </x:c>
      <x:c r="M121" s="37" t="str">
        <x:v>베타</x:v>
      </x:c>
      <x:c r="N121" s="37" t="str">
        <x:v>온라인 엔지니어링</x:v>
      </x:c>
      <x:c r="O121" s="37" t="str">
        <x:v>미정</x:v>
      </x:c>
      <x:c r="P121" s="37" t="str">
        <x:v>미정</x:v>
      </x:c>
      <x:c r="Q121" s="37" t="str">
        <x:v>전체</x:v>
      </x:c>
      <x:c r="R121" s="37" t="str">
        <x:v>백엔드 권한</x:v>
      </x:c>
      <x:c r="S121" s="37" t="str">
        <x:v>백엔드</x:v>
      </x:c>
      <x:c r="T121" s="37" t="str">
        <x:v>L</x:v>
      </x:c>
      <x:c r="U121" s="37" t="str">
        <x:v>미착수</x:v>
      </x:c>
      <x:c r="V121" s="42" t="n">
        <x:f>IF(U121="완료",1,IF(U121="QA 진행 중",0.8,IF(U121="코드 리뷰",0.65,IF(U121="구현 중",0.4,IF(U121="사양 확인 중",0.1,IF(U121="차단",0.4,0))))))</x:f>
        <x:v>0</x:v>
      </x:c>
      <x:c r="W121" s="37" t="str">
        <x:v>미정</x:v>
      </x:c>
      <x:c r="X121" s="40"/>
      <x:c r="Y121" s="37" t="str">
        <x:v>ONL-013,BED-008</x:v>
      </x:c>
      <x:c r="Z121" s="37" t="str">
        <x:v>중간</x:v>
      </x:c>
      <x:c r="AA121" s="37" t="str">
        <x:v>운영</x:v>
      </x:c>
      <x:c r="AB121" s="37" t="str">
        <x:v>TC-ONL-024-01</x:v>
      </x:c>
      <x:c r="AC121" s="37"/>
      <x:c r="AD121" s="37" t="str">
        <x:v>게임 기획서</x:v>
      </x:c>
      <x:c r="AE121" s="37"/>
      <x:c r="AF121" s="40" t="str">
        <x:v>2026-07-10</x:v>
      </x:c>
      <x:c r="AG121" s="37"/>
      <x:c r="AH121" s="49"/>
      <x:c r="AI121" s="49"/>
      <x:c r="AJ121" s="48" t="str">
        <x:v>착수 전</x:v>
      </x:c>
    </x:row>
    <x:row r="122" ht="42" customHeight="1">
      <x:c r="A122" s="37" t="str">
        <x:v>ONL-025</x:v>
      </x:c>
      <x:c r="B122" s="37" t="str">
        <x:v>온라인·로비·매치메이킹</x:v>
      </x:c>
      <x:c r="C122" s="37" t="str">
        <x:v>서비스 운영</x:v>
      </x:c>
      <x:c r="D122" s="37" t="str">
        <x:v>점검</x:v>
      </x:c>
      <x:c r="E122" s="37" t="str">
        <x:v>점검·축소 운영·상태 공지</x:v>
      </x:c>
      <x:c r="F122" s="37" t="str">
        <x:v>게임 규칙, 운영 요구사항과 대상 플랫폼 제약을 충족하도록 점검·축소 운영·상태 공지 기능을 구현하고 검증한다.</x:v>
      </x:c>
      <x:c r="G122" s="37" t="str">
        <x:v>계획 점검, 부분 장애, 신규 매치 시작 중지, 기존 매치 지속 여부를 원격 제어하고 클라이언트에 일관된 안내 문구를 표시한다.</x:v>
      </x:c>
      <x:c r="H122" s="37" t="str">
        <x:v>구현, 코드 리뷰, 사양 갱신, 대상 QA 케이스 실행, 로그·텔레메트리 확인과 관련 플랫폼 검증을 완료하고 미해결 P0·P1 결함이 없다.</x:v>
      </x:c>
      <x:c r="I122" s="37" t="str">
        <x:v>출시</x:v>
      </x:c>
      <x:c r="J122" s="37" t="str">
        <x:v>P0</x:v>
      </x:c>
      <x:c r="K122" s="37" t="str">
        <x:v>필수</x:v>
      </x:c>
      <x:c r="L122" s="37" t="str">
        <x:v>운영</x:v>
      </x:c>
      <x:c r="M122" s="37" t="str">
        <x:v>출시</x:v>
      </x:c>
      <x:c r="N122" s="37" t="str">
        <x:v>온라인 엔지니어링</x:v>
      </x:c>
      <x:c r="O122" s="37" t="str">
        <x:v>미정</x:v>
      </x:c>
      <x:c r="P122" s="37" t="str">
        <x:v>미정</x:v>
      </x:c>
      <x:c r="Q122" s="37" t="str">
        <x:v>전체</x:v>
      </x:c>
      <x:c r="R122" s="37" t="str">
        <x:v>백엔드 권한</x:v>
      </x:c>
      <x:c r="S122" s="37" t="str">
        <x:v>백엔드</x:v>
      </x:c>
      <x:c r="T122" s="37" t="str">
        <x:v>L</x:v>
      </x:c>
      <x:c r="U122" s="37" t="str">
        <x:v>미착수</x:v>
      </x:c>
      <x:c r="V122" s="42" t="n">
        <x:f>IF(U122="완료",1,IF(U122="QA 진행 중",0.8,IF(U122="코드 리뷰",0.65,IF(U122="구현 중",0.4,IF(U122="사양 확인 중",0.1,IF(U122="차단",0.4,0))))))</x:f>
        <x:v>0</x:v>
      </x:c>
      <x:c r="W122" s="37" t="str">
        <x:v>미정</x:v>
      </x:c>
      <x:c r="X122" s="40"/>
      <x:c r="Y122" s="37" t="str">
        <x:v>BED-016,BED-019,UIX-026</x:v>
      </x:c>
      <x:c r="Z122" s="37" t="str">
        <x:v>중간</x:v>
      </x:c>
      <x:c r="AA122" s="37" t="str">
        <x:v>운영</x:v>
      </x:c>
      <x:c r="AB122" s="37" t="str">
        <x:v>TC-ONL-025-01, TC-ONL-025-02</x:v>
      </x:c>
      <x:c r="AC122" s="37"/>
      <x:c r="AD122" s="37" t="str">
        <x:v>게임 기획서</x:v>
      </x:c>
      <x:c r="AE122" s="37"/>
      <x:c r="AF122" s="40" t="str">
        <x:v>2026-07-10</x:v>
      </x:c>
      <x:c r="AG122" s="37"/>
      <x:c r="AH122" s="49"/>
      <x:c r="AI122" s="49"/>
      <x:c r="AJ122" s="48" t="str">
        <x:v>착수 전</x:v>
      </x:c>
    </x:row>
    <x:row r="123" ht="42" customHeight="1">
      <x:c r="A123" s="37" t="str">
        <x:v>NET-001</x:v>
      </x:c>
      <x:c r="B123" s="37" t="str">
        <x:v>네트워크 동기화·보안</x:v>
      </x:c>
      <x:c r="C123" s="37" t="str">
        <x:v>네트워크 아키텍처</x:v>
      </x:c>
      <x:c r="D123" s="37" t="str">
        <x:v>권한</x:v>
      </x:c>
      <x:c r="E123" s="37" t="str">
        <x:v>전용 서버 권한 모델</x:v>
      </x:c>
      <x:c r="F123" s="37" t="str">
        <x:v>게임 규칙, 운영 요구사항과 대상 플랫폼 제약을 충족하도록 전용 서버 권한 모델 기능을 구현하고 검증한다.</x:v>
      </x:c>
      <x:c r="G123" s="37" t="str">
        <x:v>역할, 규칙, 메모, 투표, 승패는 전용 서버를 기준 데이터로 삼고 클라이언트는 표시와 예측만 수행한다. P2P 예외는 두지 않는다.</x:v>
      </x:c>
      <x:c r="H123" s="37" t="str">
        <x:v>구현, 코드 리뷰, 사양 갱신, 대상 QA 케이스 실행, 로그·텔레메트리 확인과 관련 플랫폼 검증을 완료하고 미해결 P0·P1 결함이 없다.</x:v>
      </x:c>
      <x:c r="I123" s="37" t="str">
        <x:v>MVP</x:v>
      </x:c>
      <x:c r="J123" s="37" t="str">
        <x:v>P0</x:v>
      </x:c>
      <x:c r="K123" s="37" t="str">
        <x:v>필수</x:v>
      </x:c>
      <x:c r="L123" s="37" t="str">
        <x:v>네트워크 기반</x:v>
      </x:c>
      <x:c r="M123" s="37" t="str">
        <x:v>MVP</x:v>
      </x:c>
      <x:c r="N123" s="37" t="str">
        <x:v>네트워크 엔지니어링</x:v>
      </x:c>
      <x:c r="O123" s="37" t="str">
        <x:v>미정</x:v>
      </x:c>
      <x:c r="P123" s="37" t="str">
        <x:v>미정</x:v>
      </x:c>
      <x:c r="Q123" s="37" t="str">
        <x:v>서버</x:v>
      </x:c>
      <x:c r="R123" s="37" t="str">
        <x:v>서버 권한</x:v>
      </x:c>
      <x:c r="S123" s="37" t="str">
        <x:v>세션</x:v>
      </x:c>
      <x:c r="T123" s="37" t="str">
        <x:v>XL</x:v>
      </x:c>
      <x:c r="U123" s="37" t="str">
        <x:v>미착수</x:v>
      </x:c>
      <x:c r="V123" s="42" t="n">
        <x:f>IF(U123="완료",1,IF(U123="QA 진행 중",0.8,IF(U123="코드 리뷰",0.65,IF(U123="구현 중",0.4,IF(U123="사양 확인 중",0.1,IF(U123="차단",0.4,0))))))</x:f>
        <x:v>0</x:v>
      </x:c>
      <x:c r="W123" s="37" t="str">
        <x:v>미정</x:v>
      </x:c>
      <x:c r="X123" s="40"/>
      <x:c r="Y123" s="37"/>
      <x:c r="Z123" s="37" t="str">
        <x:v>중간</x:v>
      </x:c>
      <x:c r="AA123" s="37" t="str">
        <x:v>보안</x:v>
      </x:c>
      <x:c r="AB123" s="37" t="str">
        <x:v>TC-NET-001-01, TC-NET-001-02</x:v>
      </x:c>
      <x:c r="AC123" s="37"/>
      <x:c r="AD123" s="37" t="str">
        <x:v>게임 기획서</x:v>
      </x:c>
      <x:c r="AE123" s="37"/>
      <x:c r="AF123" s="40" t="str">
        <x:v>2026-07-10</x:v>
      </x:c>
      <x:c r="AG123" s="37"/>
      <x:c r="AH123" s="49"/>
      <x:c r="AI123" s="49"/>
      <x:c r="AJ123" s="48" t="str">
        <x:v>착수 전</x:v>
      </x:c>
    </x:row>
    <x:row r="124" ht="42" customHeight="1">
      <x:c r="A124" s="37" t="str">
        <x:v>NET-002</x:v>
      </x:c>
      <x:c r="B124" s="37" t="str">
        <x:v>네트워크 동기화·보안</x:v>
      </x:c>
      <x:c r="C124" s="37" t="str">
        <x:v>네트워크 아키텍처</x:v>
      </x:c>
      <x:c r="D124" s="37" t="str">
        <x:v>프로토콜 버전</x:v>
      </x:c>
      <x:c r="E124" s="37" t="str">
        <x:v>프로토콜·메시지 스키마 버전 관리</x:v>
      </x:c>
      <x:c r="F124" s="37" t="str">
        <x:v>게임 규칙, 운영 요구사항과 대상 플랫폼 제약을 충족하도록 프로토콜·메시지 스키마 버전 관리 기능을 구현하고 검증한다.</x:v>
      </x:c>
      <x:c r="G124" s="37" t="str">
        <x:v>연결 시 프로토콜 버전과 호환 범위를 교환하고 필수 필드가 없거나 호환되지 않는 버전은 매치 참가 전에 거부한다.</x:v>
      </x:c>
      <x:c r="H124" s="37" t="str">
        <x:v>구현, 코드 리뷰, 사양 갱신, 대상 QA 케이스 실행, 로그·텔레메트리 확인과 관련 플랫폼 검증을 완료하고 미해결 P0·P1 결함이 없다.</x:v>
      </x:c>
      <x:c r="I124" s="37" t="str">
        <x:v>MVP</x:v>
      </x:c>
      <x:c r="J124" s="37" t="str">
        <x:v>P0</x:v>
      </x:c>
      <x:c r="K124" s="37" t="str">
        <x:v>필수</x:v>
      </x:c>
      <x:c r="L124" s="37" t="str">
        <x:v>호환성</x:v>
      </x:c>
      <x:c r="M124" s="37" t="str">
        <x:v>MVP</x:v>
      </x:c>
      <x:c r="N124" s="37" t="str">
        <x:v>네트워크 엔지니어링</x:v>
      </x:c>
      <x:c r="O124" s="37" t="str">
        <x:v>미정</x:v>
      </x:c>
      <x:c r="P124" s="37" t="str">
        <x:v>미정</x:v>
      </x:c>
      <x:c r="Q124" s="37" t="str">
        <x:v>전체</x:v>
      </x:c>
      <x:c r="R124" s="37" t="str">
        <x:v>서버 권한</x:v>
      </x:c>
      <x:c r="S124" s="37" t="str">
        <x:v>없음</x:v>
      </x:c>
      <x:c r="T124" s="37" t="str">
        <x:v>M</x:v>
      </x:c>
      <x:c r="U124" s="37" t="str">
        <x:v>미착수</x:v>
      </x:c>
      <x:c r="V124" s="42" t="n">
        <x:f>IF(U124="완료",1,IF(U124="QA 진행 중",0.8,IF(U124="코드 리뷰",0.65,IF(U124="구현 중",0.4,IF(U124="사양 확인 중",0.1,IF(U124="차단",0.4,0))))))</x:f>
        <x:v>0</x:v>
      </x:c>
      <x:c r="W124" s="37" t="str">
        <x:v>미정</x:v>
      </x:c>
      <x:c r="X124" s="40"/>
      <x:c r="Y124" s="37" t="str">
        <x:v>NET-001</x:v>
      </x:c>
      <x:c r="Z124" s="37" t="str">
        <x:v>중간</x:v>
      </x:c>
      <x:c r="AA124" s="37" t="str">
        <x:v>호환성</x:v>
      </x:c>
      <x:c r="AB124" s="37" t="str">
        <x:v>TC-NET-002-01, TC-NET-002-02</x:v>
      </x:c>
      <x:c r="AC124" s="37"/>
      <x:c r="AD124" s="37" t="str">
        <x:v>게임 기획서</x:v>
      </x:c>
      <x:c r="AE124" s="37"/>
      <x:c r="AF124" s="40" t="str">
        <x:v>2026-07-10</x:v>
      </x:c>
      <x:c r="AG124" s="37"/>
      <x:c r="AH124" s="49"/>
      <x:c r="AI124" s="49"/>
      <x:c r="AJ124" s="48" t="str">
        <x:v>착수 전</x:v>
      </x:c>
    </x:row>
    <x:row r="125" ht="42" customHeight="1">
      <x:c r="A125" s="37" t="str">
        <x:v>NET-003</x:v>
      </x:c>
      <x:c r="B125" s="37" t="str">
        <x:v>네트워크 동기화·보안</x:v>
      </x:c>
      <x:c r="C125" s="37" t="str">
        <x:v>네트워크 아키텍처</x:v>
      </x:c>
      <x:c r="D125" s="37" t="str">
        <x:v>틱 모델</x:v>
      </x:c>
      <x:c r="E125" s="37" t="str">
        <x:v>고정 틱·시뮬레이션 처리 순서</x:v>
      </x:c>
      <x:c r="F125" s="37" t="str">
        <x:v>게임 규칙, 운영 요구사항과 대상 플랫폼 제약을 충족하도록 고정 틱·시뮬레이션 처리 순서 기능을 구현하고 검증한다.</x:v>
      </x:c>
      <x:c r="G125" s="37" t="str">
        <x:v>서버 틱, 입력 처리, 상태 전환, 이벤트 확정 순서를 정의하고 같은 입력에서 결정론적인 메모 순서와 투표 결과를 얻는다.</x:v>
      </x:c>
      <x:c r="H125" s="37" t="str">
        <x:v>구현, 코드 리뷰, 사양 갱신, 대상 QA 케이스 실행, 로그·텔레메트리 확인과 관련 플랫폼 검증을 완료하고 미해결 P0·P1 결함이 없다.</x:v>
      </x:c>
      <x:c r="I125" s="37" t="str">
        <x:v>MVP</x:v>
      </x:c>
      <x:c r="J125" s="37" t="str">
        <x:v>P0</x:v>
      </x:c>
      <x:c r="K125" s="37" t="str">
        <x:v>필수</x:v>
      </x:c>
      <x:c r="L125" s="37" t="str">
        <x:v>네트워크 기반</x:v>
      </x:c>
      <x:c r="M125" s="37" t="str">
        <x:v>MVP</x:v>
      </x:c>
      <x:c r="N125" s="37" t="str">
        <x:v>네트워크 엔지니어링</x:v>
      </x:c>
      <x:c r="O125" s="37" t="str">
        <x:v>미정</x:v>
      </x:c>
      <x:c r="P125" s="37" t="str">
        <x:v>미정</x:v>
      </x:c>
      <x:c r="Q125" s="37" t="str">
        <x:v>서버</x:v>
      </x:c>
      <x:c r="R125" s="37" t="str">
        <x:v>서버 권한</x:v>
      </x:c>
      <x:c r="S125" s="37" t="str">
        <x:v>없음</x:v>
      </x:c>
      <x:c r="T125" s="37" t="str">
        <x:v>L</x:v>
      </x:c>
      <x:c r="U125" s="37" t="str">
        <x:v>미착수</x:v>
      </x:c>
      <x:c r="V125" s="42" t="n">
        <x:f>IF(U125="완료",1,IF(U125="QA 진행 중",0.8,IF(U125="코드 리뷰",0.65,IF(U125="구현 중",0.4,IF(U125="사양 확인 중",0.1,IF(U125="차단",0.4,0))))))</x:f>
        <x:v>0</x:v>
      </x:c>
      <x:c r="W125" s="37" t="str">
        <x:v>미정</x:v>
      </x:c>
      <x:c r="X125" s="40"/>
      <x:c r="Y125" s="37" t="str">
        <x:v>NET-001</x:v>
      </x:c>
      <x:c r="Z125" s="37" t="str">
        <x:v>중간</x:v>
      </x:c>
      <x:c r="AA125" s="37" t="str">
        <x:v>네트워크</x:v>
      </x:c>
      <x:c r="AB125" s="37" t="str">
        <x:v>TC-NET-003-01, TC-NET-003-02</x:v>
      </x:c>
      <x:c r="AC125" s="37"/>
      <x:c r="AD125" s="37" t="str">
        <x:v>게임 기획서</x:v>
      </x:c>
      <x:c r="AE125" s="37"/>
      <x:c r="AF125" s="40" t="str">
        <x:v>2026-07-10</x:v>
      </x:c>
      <x:c r="AG125" s="37"/>
      <x:c r="AH125" s="49"/>
      <x:c r="AI125" s="49"/>
      <x:c r="AJ125" s="48" t="str">
        <x:v>착수 전</x:v>
      </x:c>
    </x:row>
    <x:row r="126" ht="42" customHeight="1">
      <x:c r="A126" s="37" t="str">
        <x:v>NET-004</x:v>
      </x:c>
      <x:c r="B126" s="37" t="str">
        <x:v>네트워크 동기화·보안</x:v>
      </x:c>
      <x:c r="C126" s="37" t="str">
        <x:v>연결</x:v>
      </x:c>
      <x:c r="D126" s="37" t="str">
        <x:v>핸드셰이크</x:v>
      </x:c>
      <x:c r="E126" s="37" t="str">
        <x:v>연결 핸드셰이크·인증 토큰 검증</x:v>
      </x:c>
      <x:c r="F126" s="37" t="str">
        <x:v>게임 규칙, 운영 요구사항과 대상 플랫폼 제약을 충족하도록 연결 핸드셰이크·인증 토큰 검증 기능을 구현하고 검증한다.</x:v>
      </x:c>
      <x:c r="G126" s="37" t="str">
        <x:v>토큰의 만료, 서명, 대상, 세션 ID, 재사용 여부를 검증하고 성공하기 전에는 게임 상태나 비공개 정보를 전송하지 않는다.</x:v>
      </x:c>
      <x:c r="H126" s="37" t="str">
        <x:v>구현, 코드 리뷰, 사양 갱신, 대상 QA 케이스 실행, 로그·텔레메트리 확인과 관련 플랫폼 검증을 완료하고 미해결 P0·P1 결함이 없다.</x:v>
      </x:c>
      <x:c r="I126" s="37" t="str">
        <x:v>MVP</x:v>
      </x:c>
      <x:c r="J126" s="37" t="str">
        <x:v>P0</x:v>
      </x:c>
      <x:c r="K126" s="37" t="str">
        <x:v>필수</x:v>
      </x:c>
      <x:c r="L126" s="37" t="str">
        <x:v>보안</x:v>
      </x:c>
      <x:c r="M126" s="37" t="str">
        <x:v>MVP</x:v>
      </x:c>
      <x:c r="N126" s="37" t="str">
        <x:v>네트워크 엔지니어링</x:v>
      </x:c>
      <x:c r="O126" s="37" t="str">
        <x:v>미정</x:v>
      </x:c>
      <x:c r="P126" s="37" t="str">
        <x:v>미정</x:v>
      </x:c>
      <x:c r="Q126" s="37" t="str">
        <x:v>서버</x:v>
      </x:c>
      <x:c r="R126" s="37" t="str">
        <x:v>서버 권한</x:v>
      </x:c>
      <x:c r="S126" s="37" t="str">
        <x:v>감사 로그</x:v>
      </x:c>
      <x:c r="T126" s="37" t="str">
        <x:v>L</x:v>
      </x:c>
      <x:c r="U126" s="37" t="str">
        <x:v>미착수</x:v>
      </x:c>
      <x:c r="V126" s="42" t="n">
        <x:f>IF(U126="완료",1,IF(U126="QA 진행 중",0.8,IF(U126="코드 리뷰",0.65,IF(U126="구현 중",0.4,IF(U126="사양 확인 중",0.1,IF(U126="차단",0.4,0))))))</x:f>
        <x:v>0</x:v>
      </x:c>
      <x:c r="W126" s="37" t="str">
        <x:v>미정</x:v>
      </x:c>
      <x:c r="X126" s="40"/>
      <x:c r="Y126" s="37" t="str">
        <x:v>ONL-002,BED-001</x:v>
      </x:c>
      <x:c r="Z126" s="37" t="str">
        <x:v>중간</x:v>
      </x:c>
      <x:c r="AA126" s="37" t="str">
        <x:v>보안</x:v>
      </x:c>
      <x:c r="AB126" s="37" t="str">
        <x:v>TC-NET-004-01, TC-NET-004-02</x:v>
      </x:c>
      <x:c r="AC126" s="37"/>
      <x:c r="AD126" s="37" t="str">
        <x:v>게임 기획서</x:v>
      </x:c>
      <x:c r="AE126" s="37"/>
      <x:c r="AF126" s="40" t="str">
        <x:v>2026-07-10</x:v>
      </x:c>
      <x:c r="AG126" s="37"/>
      <x:c r="AH126" s="49"/>
      <x:c r="AI126" s="49"/>
      <x:c r="AJ126" s="48" t="str">
        <x:v>착수 전</x:v>
      </x:c>
    </x:row>
    <x:row r="127" ht="42" customHeight="1">
      <x:c r="A127" s="37" t="str">
        <x:v>NET-005</x:v>
      </x:c>
      <x:c r="B127" s="37" t="str">
        <x:v>네트워크 동기화·보안</x:v>
      </x:c>
      <x:c r="C127" s="37" t="str">
        <x:v>연결</x:v>
      </x:c>
      <x:c r="D127" s="37" t="str">
        <x:v>네트워크 식별</x:v>
      </x:c>
      <x:c r="E127" s="37" t="str">
        <x:v>네트워크 객체 ID·플레이어 소유권</x:v>
      </x:c>
      <x:c r="F127" s="37" t="str">
        <x:v>게임 규칙, 운영 요구사항과 대상 플랫폼 제약을 충족하도록 네트워크 객체 ID·플레이어 소유권 기능을 구현하고 검증한다.</x:v>
      </x:c>
      <x:c r="G127" s="37" t="str">
        <x:v>플레이어, 캐릭터, 미니게임, 메모, 투표 ID가 세션 안에서 고유하고 연결 끊김·재접속 시 다른 플레이어에게 잘못 귀속되지 않는다.</x:v>
      </x:c>
      <x:c r="H127" s="37" t="str">
        <x:v>구현, 코드 리뷰, 사양 갱신, 대상 QA 케이스 실행, 로그·텔레메트리 확인과 관련 플랫폼 검증을 완료하고 미해결 P0·P1 결함이 없다.</x:v>
      </x:c>
      <x:c r="I127" s="37" t="str">
        <x:v>MVP</x:v>
      </x:c>
      <x:c r="J127" s="37" t="str">
        <x:v>P0</x:v>
      </x:c>
      <x:c r="K127" s="37" t="str">
        <x:v>필수</x:v>
      </x:c>
      <x:c r="L127" s="37" t="str">
        <x:v>데이터 무결성</x:v>
      </x:c>
      <x:c r="M127" s="37" t="str">
        <x:v>MVP</x:v>
      </x:c>
      <x:c r="N127" s="37" t="str">
        <x:v>네트워크 엔지니어링</x:v>
      </x:c>
      <x:c r="O127" s="37" t="str">
        <x:v>미정</x:v>
      </x:c>
      <x:c r="P127" s="37" t="str">
        <x:v>미정</x:v>
      </x:c>
      <x:c r="Q127" s="37" t="str">
        <x:v>전체</x:v>
      </x:c>
      <x:c r="R127" s="37" t="str">
        <x:v>서버 권한</x:v>
      </x:c>
      <x:c r="S127" s="37" t="str">
        <x:v>세션</x:v>
      </x:c>
      <x:c r="T127" s="37" t="str">
        <x:v>L</x:v>
      </x:c>
      <x:c r="U127" s="37" t="str">
        <x:v>미착수</x:v>
      </x:c>
      <x:c r="V127" s="42" t="n">
        <x:f>IF(U127="완료",1,IF(U127="QA 진행 중",0.8,IF(U127="코드 리뷰",0.65,IF(U127="구현 중",0.4,IF(U127="사양 확인 중",0.1,IF(U127="차단",0.4,0))))))</x:f>
        <x:v>0</x:v>
      </x:c>
      <x:c r="W127" s="37" t="str">
        <x:v>미정</x:v>
      </x:c>
      <x:c r="X127" s="40"/>
      <x:c r="Y127" s="37" t="str">
        <x:v>NET-004</x:v>
      </x:c>
      <x:c r="Z127" s="37" t="str">
        <x:v>중간</x:v>
      </x:c>
      <x:c r="AA127" s="37" t="str">
        <x:v>통합</x:v>
      </x:c>
      <x:c r="AB127" s="37" t="str">
        <x:v>TC-NET-005-01, TC-NET-005-02</x:v>
      </x:c>
      <x:c r="AC127" s="37"/>
      <x:c r="AD127" s="37" t="str">
        <x:v>게임 기획서</x:v>
      </x:c>
      <x:c r="AE127" s="37"/>
      <x:c r="AF127" s="40" t="str">
        <x:v>2026-07-10</x:v>
      </x:c>
      <x:c r="AG127" s="37"/>
      <x:c r="AH127" s="49"/>
      <x:c r="AI127" s="49"/>
      <x:c r="AJ127" s="48" t="str">
        <x:v>착수 전</x:v>
      </x:c>
    </x:row>
    <x:row r="128" ht="42" customHeight="1">
      <x:c r="A128" s="37" t="str">
        <x:v>NET-006</x:v>
      </x:c>
      <x:c r="B128" s="37" t="str">
        <x:v>네트워크 동기화·보안</x:v>
      </x:c>
      <x:c r="C128" s="37" t="str">
        <x:v>복제</x:v>
      </x:c>
      <x:c r="D128" s="37" t="str">
        <x:v>로비 상태</x:v>
      </x:c>
      <x:c r="E128" s="37" t="str">
        <x:v>로비·참가자·준비 상태 차분 동기화</x:v>
      </x:c>
      <x:c r="F128" s="37" t="str">
        <x:v>게임 규칙, 운영 요구사항과 대상 플랫폼 제약을 충족하도록 로비·참가자·준비 상태 차분 동기화 기능을 구현하고 검증한다.</x:v>
      </x:c>
      <x:c r="G128" s="37" t="str">
        <x:v>입장, 이탈, 준비, 색상, 호스트 권한의 변경에 순번을 부여하고 누락 시 스냅샷을 다시 요청해 복구한다.</x:v>
      </x:c>
      <x:c r="H128" s="37" t="str">
        <x:v>구현, 코드 리뷰, 사양 갱신, 대상 QA 케이스 실행, 로그·텔레메트리 확인과 관련 플랫폼 검증을 완료하고 미해결 P0·P1 결함이 없다.</x:v>
      </x:c>
      <x:c r="I128" s="37" t="str">
        <x:v>MVP</x:v>
      </x:c>
      <x:c r="J128" s="37" t="str">
        <x:v>P0</x:v>
      </x:c>
      <x:c r="K128" s="37" t="str">
        <x:v>필수</x:v>
      </x:c>
      <x:c r="L128" s="37" t="str">
        <x:v>동기화</x:v>
      </x:c>
      <x:c r="M128" s="37" t="str">
        <x:v>MVP</x:v>
      </x:c>
      <x:c r="N128" s="37" t="str">
        <x:v>네트워크 엔지니어링</x:v>
      </x:c>
      <x:c r="O128" s="37" t="str">
        <x:v>미정</x:v>
      </x:c>
      <x:c r="P128" s="37" t="str">
        <x:v>미정</x:v>
      </x:c>
      <x:c r="Q128" s="37" t="str">
        <x:v>전체</x:v>
      </x:c>
      <x:c r="R128" s="37" t="str">
        <x:v>서버 권한</x:v>
      </x:c>
      <x:c r="S128" s="37" t="str">
        <x:v>세션</x:v>
      </x:c>
      <x:c r="T128" s="37" t="str">
        <x:v>L</x:v>
      </x:c>
      <x:c r="U128" s="37" t="str">
        <x:v>미착수</x:v>
      </x:c>
      <x:c r="V128" s="42" t="n">
        <x:f>IF(U128="완료",1,IF(U128="QA 진행 중",0.8,IF(U128="코드 리뷰",0.65,IF(U128="구현 중",0.4,IF(U128="사양 확인 중",0.1,IF(U128="차단",0.4,0))))))</x:f>
        <x:v>0</x:v>
      </x:c>
      <x:c r="W128" s="37" t="str">
        <x:v>미정</x:v>
      </x:c>
      <x:c r="X128" s="40"/>
      <x:c r="Y128" s="37" t="str">
        <x:v>NET-005,ONL-007</x:v>
      </x:c>
      <x:c r="Z128" s="37" t="str">
        <x:v>중간</x:v>
      </x:c>
      <x:c r="AA128" s="37" t="str">
        <x:v>네트워크</x:v>
      </x:c>
      <x:c r="AB128" s="37" t="str">
        <x:v>TC-NET-006-01, TC-NET-006-02</x:v>
      </x:c>
      <x:c r="AC128" s="37"/>
      <x:c r="AD128" s="37" t="str">
        <x:v>게임 기획서</x:v>
      </x:c>
      <x:c r="AE128" s="37"/>
      <x:c r="AF128" s="40" t="str">
        <x:v>2026-07-10</x:v>
      </x:c>
      <x:c r="AG128" s="37"/>
      <x:c r="AH128" s="49"/>
      <x:c r="AI128" s="49"/>
      <x:c r="AJ128" s="48" t="str">
        <x:v>착수 전</x:v>
      </x:c>
    </x:row>
    <x:row r="129" ht="42" customHeight="1">
      <x:c r="A129" s="37" t="str">
        <x:v>NET-007</x:v>
      </x:c>
      <x:c r="B129" s="37" t="str">
        <x:v>네트워크 동기화·보안</x:v>
      </x:c>
      <x:c r="C129" s="37" t="str">
        <x:v>복제</x:v>
      </x:c>
      <x:c r="D129" s="37" t="str">
        <x:v>룸 설정</x:v>
      </x:c>
      <x:c r="E129" s="37" t="str">
        <x:v>확정 룸 설정 버전 동기화</x:v>
      </x:c>
      <x:c r="F129" s="37" t="str">
        <x:v>게임 규칙, 운영 요구사항과 대상 플랫폼 제약을 충족하도록 확정 룸 설정 버전 동기화 기능을 구현하고 검증한다.</x:v>
      </x:c>
      <x:c r="G129" s="37" t="str">
        <x:v>설정 변경에 단조 증가 버전을 부여하고 매치 시작 시 모든 참가자의 수신 확인을 받는다. 이전 버전의 차분은 적용하지 않는다.</x:v>
      </x:c>
      <x:c r="H129" s="37" t="str">
        <x:v>구현, 코드 리뷰, 사양 갱신, 대상 QA 케이스 실행, 로그·텔레메트리 확인과 관련 플랫폼 검증을 완료하고 미해결 P0·P1 결함이 없다.</x:v>
      </x:c>
      <x:c r="I129" s="37" t="str">
        <x:v>MVP</x:v>
      </x:c>
      <x:c r="J129" s="37" t="str">
        <x:v>P0</x:v>
      </x:c>
      <x:c r="K129" s="37" t="str">
        <x:v>필수</x:v>
      </x:c>
      <x:c r="L129" s="37" t="str">
        <x:v>동기화</x:v>
      </x:c>
      <x:c r="M129" s="37" t="str">
        <x:v>MVP</x:v>
      </x:c>
      <x:c r="N129" s="37" t="str">
        <x:v>네트워크 엔지니어링</x:v>
      </x:c>
      <x:c r="O129" s="37" t="str">
        <x:v>미정</x:v>
      </x:c>
      <x:c r="P129" s="37" t="str">
        <x:v>미정</x:v>
      </x:c>
      <x:c r="Q129" s="37" t="str">
        <x:v>전체</x:v>
      </x:c>
      <x:c r="R129" s="37" t="str">
        <x:v>서버 권한</x:v>
      </x:c>
      <x:c r="S129" s="37" t="str">
        <x:v>세션</x:v>
      </x:c>
      <x:c r="T129" s="37" t="str">
        <x:v>M</x:v>
      </x:c>
      <x:c r="U129" s="37" t="str">
        <x:v>미착수</x:v>
      </x:c>
      <x:c r="V129" s="42" t="n">
        <x:f>IF(U129="완료",1,IF(U129="QA 진행 중",0.8,IF(U129="코드 리뷰",0.65,IF(U129="구현 중",0.4,IF(U129="사양 확인 중",0.1,IF(U129="차단",0.4,0))))))</x:f>
        <x:v>0</x:v>
      </x:c>
      <x:c r="W129" s="37" t="str">
        <x:v>미정</x:v>
      </x:c>
      <x:c r="X129" s="40"/>
      <x:c r="Y129" s="37" t="str">
        <x:v>NET-006,SET-021</x:v>
      </x:c>
      <x:c r="Z129" s="37" t="str">
        <x:v>중간</x:v>
      </x:c>
      <x:c r="AA129" s="37" t="str">
        <x:v>네트워크</x:v>
      </x:c>
      <x:c r="AB129" s="37" t="str">
        <x:v>TC-NET-007-01, TC-NET-007-02</x:v>
      </x:c>
      <x:c r="AC129" s="37"/>
      <x:c r="AD129" s="37" t="str">
        <x:v>게임 기획서</x:v>
      </x:c>
      <x:c r="AE129" s="37"/>
      <x:c r="AF129" s="40" t="str">
        <x:v>2026-07-10</x:v>
      </x:c>
      <x:c r="AG129" s="37"/>
      <x:c r="AH129" s="49"/>
      <x:c r="AI129" s="49"/>
      <x:c r="AJ129" s="48" t="str">
        <x:v>착수 전</x:v>
      </x:c>
    </x:row>
    <x:row r="130" ht="42" customHeight="1">
      <x:c r="A130" s="37" t="str">
        <x:v>NET-008</x:v>
      </x:c>
      <x:c r="B130" s="37" t="str">
        <x:v>네트워크 동기화·보안</x:v>
      </x:c>
      <x:c r="C130" s="37" t="str">
        <x:v>시간 동기화</x:v>
      </x:c>
      <x:c r="D130" s="37" t="str">
        <x:v>서버 시계</x:v>
      </x:c>
      <x:c r="E130" s="37" t="str">
        <x:v>서버 시각 동기화·타이머 보정</x:v>
      </x:c>
      <x:c r="F130" s="37" t="str">
        <x:v>게임 규칙, 운영 요구사항과 대상 플랫폼 제약을 충족하도록 서버 시각 동기화·타이머 보정 기능을 구현하고 검증한다.</x:v>
      </x:c>
      <x:c r="G130" s="37" t="str">
        <x:v>왕복 지연을 고려해 시각 차이를 추정하고 페이즈 시작 시각과 마감 시각을 절대 시각으로 배포한다. UI 보정은 부드럽게 처리하되 서버 마감이 우선한다.</x:v>
      </x:c>
      <x:c r="H130" s="37" t="str">
        <x:v>구현, 코드 리뷰, 사양 갱신, 대상 QA 케이스 실행, 로그·텔레메트리 확인과 관련 플랫폼 검증을 완료하고 미해결 P0·P1 결함이 없다.</x:v>
      </x:c>
      <x:c r="I130" s="37" t="str">
        <x:v>MVP</x:v>
      </x:c>
      <x:c r="J130" s="37" t="str">
        <x:v>P0</x:v>
      </x:c>
      <x:c r="K130" s="37" t="str">
        <x:v>필수</x:v>
      </x:c>
      <x:c r="L130" s="37" t="str">
        <x:v>동기화</x:v>
      </x:c>
      <x:c r="M130" s="37" t="str">
        <x:v>MVP</x:v>
      </x:c>
      <x:c r="N130" s="37" t="str">
        <x:v>네트워크 엔지니어링</x:v>
      </x:c>
      <x:c r="O130" s="37" t="str">
        <x:v>미정</x:v>
      </x:c>
      <x:c r="P130" s="37" t="str">
        <x:v>미정</x:v>
      </x:c>
      <x:c r="Q130" s="37" t="str">
        <x:v>전체</x:v>
      </x:c>
      <x:c r="R130" s="37" t="str">
        <x:v>서버 권한</x:v>
      </x:c>
      <x:c r="S130" s="37" t="str">
        <x:v>없음</x:v>
      </x:c>
      <x:c r="T130" s="37" t="str">
        <x:v>L</x:v>
      </x:c>
      <x:c r="U130" s="37" t="str">
        <x:v>미착수</x:v>
      </x:c>
      <x:c r="V130" s="42" t="n">
        <x:f>IF(U130="완료",1,IF(U130="QA 진행 중",0.8,IF(U130="코드 리뷰",0.65,IF(U130="구현 중",0.4,IF(U130="사양 확인 중",0.1,IF(U130="차단",0.4,0))))))</x:f>
        <x:v>0</x:v>
      </x:c>
      <x:c r="W130" s="37" t="str">
        <x:v>미정</x:v>
      </x:c>
      <x:c r="X130" s="40"/>
      <x:c r="Y130" s="37" t="str">
        <x:v>NET-004</x:v>
      </x:c>
      <x:c r="Z130" s="37" t="str">
        <x:v>중간</x:v>
      </x:c>
      <x:c r="AA130" s="37" t="str">
        <x:v>네트워크</x:v>
      </x:c>
      <x:c r="AB130" s="37" t="str">
        <x:v>TC-NET-008-01, TC-NET-008-02</x:v>
      </x:c>
      <x:c r="AC130" s="37"/>
      <x:c r="AD130" s="37" t="str">
        <x:v>게임 기획서</x:v>
      </x:c>
      <x:c r="AE130" s="37"/>
      <x:c r="AF130" s="40" t="str">
        <x:v>2026-07-10</x:v>
      </x:c>
      <x:c r="AG130" s="37"/>
      <x:c r="AH130" s="49"/>
      <x:c r="AI130" s="49"/>
      <x:c r="AJ130" s="48" t="str">
        <x:v>착수 전</x:v>
      </x:c>
    </x:row>
    <x:row r="131" ht="42" customHeight="1">
      <x:c r="A131" s="37" t="str">
        <x:v>NET-009</x:v>
      </x:c>
      <x:c r="B131" s="37" t="str">
        <x:v>네트워크 동기화·보안</x:v>
      </x:c>
      <x:c r="C131" s="37" t="str">
        <x:v>복제</x:v>
      </x:c>
      <x:c r="D131" s="37" t="str">
        <x:v>이동</x:v>
      </x:c>
      <x:c r="E131" s="37" t="str">
        <x:v>이동 동기화·보간·텔레포트</x:v>
      </x:c>
      <x:c r="F131" s="37" t="str">
        <x:v>게임 규칙, 운영 요구사항과 대상 플랫폼 제약을 충족하도록 이동 동기화·보간·텔레포트 기능을 구현하고 검증한다.</x:v>
      </x:c>
      <x:c r="G131" s="37" t="str">
        <x:v>낮 이동을 대역폭 범위 안에서 부드럽게 보간하고 밤 집결은 명시적 텔레포트로 처리한다. 속도 변조와 범위 밖 좌표를 서버가 거부한다.</x:v>
      </x:c>
      <x:c r="H131" s="37" t="str">
        <x:v>구현, 코드 리뷰, 사양 갱신, 대상 QA 케이스 실행, 로그·텔레메트리 확인과 관련 플랫폼 검증을 완료하고 미해결 P0·P1 결함이 없다.</x:v>
      </x:c>
      <x:c r="I131" s="37" t="str">
        <x:v>MVP</x:v>
      </x:c>
      <x:c r="J131" s="37" t="str">
        <x:v>P0</x:v>
      </x:c>
      <x:c r="K131" s="37" t="str">
        <x:v>필수</x:v>
      </x:c>
      <x:c r="L131" s="37" t="str">
        <x:v>동기화</x:v>
      </x:c>
      <x:c r="M131" s="37" t="str">
        <x:v>MVP</x:v>
      </x:c>
      <x:c r="N131" s="37" t="str">
        <x:v>네트워크 엔지니어링</x:v>
      </x:c>
      <x:c r="O131" s="37" t="str">
        <x:v>미정</x:v>
      </x:c>
      <x:c r="P131" s="37" t="str">
        <x:v>미정</x:v>
      </x:c>
      <x:c r="Q131" s="37" t="str">
        <x:v>전체</x:v>
      </x:c>
      <x:c r="R131" s="37" t="str">
        <x:v>클라이언트 예측·서버 검증</x:v>
      </x:c>
      <x:c r="S131" s="37" t="str">
        <x:v>세션</x:v>
      </x:c>
      <x:c r="T131" s="37" t="str">
        <x:v>XL</x:v>
      </x:c>
      <x:c r="U131" s="37" t="str">
        <x:v>미착수</x:v>
      </x:c>
      <x:c r="V131" s="42" t="n">
        <x:f>IF(U131="완료",1,IF(U131="QA 진행 중",0.8,IF(U131="코드 리뷰",0.65,IF(U131="구현 중",0.4,IF(U131="사양 확인 중",0.1,IF(U131="차단",0.4,0))))))</x:f>
        <x:v>0</x:v>
      </x:c>
      <x:c r="W131" s="37" t="str">
        <x:v>미정</x:v>
      </x:c>
      <x:c r="X131" s="40"/>
      <x:c r="Y131" s="37" t="str">
        <x:v>NET-003,NET-005</x:v>
      </x:c>
      <x:c r="Z131" s="37" t="str">
        <x:v>중간</x:v>
      </x:c>
      <x:c r="AA131" s="37" t="str">
        <x:v>네트워크</x:v>
      </x:c>
      <x:c r="AB131" s="37" t="str">
        <x:v>TC-NET-009-01, TC-NET-009-02</x:v>
      </x:c>
      <x:c r="AC131" s="37"/>
      <x:c r="AD131" s="37" t="str">
        <x:v>게임 기획서</x:v>
      </x:c>
      <x:c r="AE131" s="37"/>
      <x:c r="AF131" s="40" t="str">
        <x:v>2026-07-10</x:v>
      </x:c>
      <x:c r="AG131" s="37"/>
      <x:c r="AH131" s="49"/>
      <x:c r="AI131" s="49"/>
      <x:c r="AJ131" s="48" t="str">
        <x:v>착수 전</x:v>
      </x:c>
    </x:row>
    <x:row r="132" ht="42" customHeight="1">
      <x:c r="A132" s="37" t="str">
        <x:v>NET-010</x:v>
      </x:c>
      <x:c r="B132" s="37" t="str">
        <x:v>네트워크 동기화·보안</x:v>
      </x:c>
      <x:c r="C132" s="37" t="str">
        <x:v>복제</x:v>
      </x:c>
      <x:c r="D132" s="37" t="str">
        <x:v>페이즈 이벤트</x:v>
      </x:c>
      <x:c r="E132" s="37" t="str">
        <x:v>페이즈 전환 이벤트 신뢰성 전송</x:v>
      </x:c>
      <x:c r="F132" s="37" t="str">
        <x:v>게임 규칙, 운영 요구사항과 대상 플랫폼 제약을 충족하도록 페이즈 전환 이벤트 신뢰성 전송 기능을 구현하고 검증한다.</x:v>
      </x:c>
      <x:c r="G132" s="37" t="str">
        <x:v>시작 시각, 상태 ID, 일차, 설정 버전을 신뢰성 채널로 전송하고 중복, 지연 도착, 재접속 상황에서도 한 번만 적용한다.</x:v>
      </x:c>
      <x:c r="H132" s="37" t="str">
        <x:v>구현, 코드 리뷰, 사양 갱신, 대상 QA 케이스 실행, 로그·텔레메트리 확인과 관련 플랫폼 검증을 완료하고 미해결 P0·P1 결함이 없다.</x:v>
      </x:c>
      <x:c r="I132" s="37" t="str">
        <x:v>MVP</x:v>
      </x:c>
      <x:c r="J132" s="37" t="str">
        <x:v>P0</x:v>
      </x:c>
      <x:c r="K132" s="37" t="str">
        <x:v>필수</x:v>
      </x:c>
      <x:c r="L132" s="37" t="str">
        <x:v>동기화</x:v>
      </x:c>
      <x:c r="M132" s="37" t="str">
        <x:v>MVP</x:v>
      </x:c>
      <x:c r="N132" s="37" t="str">
        <x:v>네트워크 엔지니어링</x:v>
      </x:c>
      <x:c r="O132" s="37" t="str">
        <x:v>미정</x:v>
      </x:c>
      <x:c r="P132" s="37" t="str">
        <x:v>미정</x:v>
      </x:c>
      <x:c r="Q132" s="37" t="str">
        <x:v>전체</x:v>
      </x:c>
      <x:c r="R132" s="37" t="str">
        <x:v>서버 권한</x:v>
      </x:c>
      <x:c r="S132" s="37" t="str">
        <x:v>매치</x:v>
      </x:c>
      <x:c r="T132" s="37" t="str">
        <x:v>M</x:v>
      </x:c>
      <x:c r="U132" s="37" t="str">
        <x:v>미착수</x:v>
      </x:c>
      <x:c r="V132" s="42" t="n">
        <x:f>IF(U132="완료",1,IF(U132="QA 진행 중",0.8,IF(U132="코드 리뷰",0.65,IF(U132="구현 중",0.4,IF(U132="사양 확인 중",0.1,IF(U132="차단",0.4,0))))))</x:f>
        <x:v>0</x:v>
      </x:c>
      <x:c r="W132" s="37" t="str">
        <x:v>미정</x:v>
      </x:c>
      <x:c r="X132" s="40"/>
      <x:c r="Y132" s="37" t="str">
        <x:v>NET-003,NET-008,IGM-001</x:v>
      </x:c>
      <x:c r="Z132" s="37" t="str">
        <x:v>중간</x:v>
      </x:c>
      <x:c r="AA132" s="37" t="str">
        <x:v>네트워크</x:v>
      </x:c>
      <x:c r="AB132" s="37" t="str">
        <x:v>TC-NET-010-01, TC-NET-010-02</x:v>
      </x:c>
      <x:c r="AC132" s="37"/>
      <x:c r="AD132" s="37" t="str">
        <x:v>게임 기획서</x:v>
      </x:c>
      <x:c r="AE132" s="37"/>
      <x:c r="AF132" s="40" t="str">
        <x:v>2026-07-10</x:v>
      </x:c>
      <x:c r="AG132" s="37"/>
      <x:c r="AH132" s="49"/>
      <x:c r="AI132" s="49"/>
      <x:c r="AJ132" s="48" t="str">
        <x:v>착수 전</x:v>
      </x:c>
    </x:row>
    <x:row r="133" ht="42" customHeight="1">
      <x:c r="A133" s="37" t="str">
        <x:v>NET-011</x:v>
      </x:c>
      <x:c r="B133" s="37" t="str">
        <x:v>네트워크 동기화·보안</x:v>
      </x:c>
      <x:c r="C133" s="37" t="str">
        <x:v>채널</x:v>
      </x:c>
      <x:c r="D133" s="37" t="str">
        <x:v>트래픽 등급</x:v>
      </x:c>
      <x:c r="E133" s="37" t="str">
        <x:v>신뢰성·비신뢰성 채널 설계</x:v>
      </x:c>
      <x:c r="F133" s="37" t="str">
        <x:v>게임 규칙, 운영 요구사항과 대상 플랫폼 제약을 충족하도록 신뢰성·비신뢰성 채널 설계 기능을 구현하고 검증한다.</x:v>
      </x:c>
      <x:c r="G133" s="37" t="str">
        <x:v>역할, 메모, 투표, 설정, 승패는 신뢰성 채널을 사용하고 이동·일시 연출은 적절한 비신뢰성 채널을 사용해 우선순위 역전을 방지한다.</x:v>
      </x:c>
      <x:c r="H133" s="37" t="str">
        <x:v>구현, 코드 리뷰, 사양 갱신, 대상 QA 케이스 실행, 로그·텔레메트리 확인과 관련 플랫폼 검증을 완료하고 미해결 P0·P1 결함이 없다.</x:v>
      </x:c>
      <x:c r="I133" s="37" t="str">
        <x:v>MVP</x:v>
      </x:c>
      <x:c r="J133" s="37" t="str">
        <x:v>P0</x:v>
      </x:c>
      <x:c r="K133" s="37" t="str">
        <x:v>필수</x:v>
      </x:c>
      <x:c r="L133" s="37" t="str">
        <x:v>성능</x:v>
      </x:c>
      <x:c r="M133" s="37" t="str">
        <x:v>MVP</x:v>
      </x:c>
      <x:c r="N133" s="37" t="str">
        <x:v>네트워크 엔지니어링</x:v>
      </x:c>
      <x:c r="O133" s="37" t="str">
        <x:v>미정</x:v>
      </x:c>
      <x:c r="P133" s="37" t="str">
        <x:v>미정</x:v>
      </x:c>
      <x:c r="Q133" s="37" t="str">
        <x:v>전체</x:v>
      </x:c>
      <x:c r="R133" s="37" t="str">
        <x:v>콘텐츠 데이터</x:v>
      </x:c>
      <x:c r="S133" s="37" t="str">
        <x:v>없음</x:v>
      </x:c>
      <x:c r="T133" s="37" t="str">
        <x:v>M</x:v>
      </x:c>
      <x:c r="U133" s="37" t="str">
        <x:v>미착수</x:v>
      </x:c>
      <x:c r="V133" s="42" t="n">
        <x:f>IF(U133="완료",1,IF(U133="QA 진행 중",0.8,IF(U133="코드 리뷰",0.65,IF(U133="구현 중",0.4,IF(U133="사양 확인 중",0.1,IF(U133="차단",0.4,0))))))</x:f>
        <x:v>0</x:v>
      </x:c>
      <x:c r="W133" s="37" t="str">
        <x:v>미정</x:v>
      </x:c>
      <x:c r="X133" s="40"/>
      <x:c r="Y133" s="37" t="str">
        <x:v>NET-001</x:v>
      </x:c>
      <x:c r="Z133" s="37" t="str">
        <x:v>중간</x:v>
      </x:c>
      <x:c r="AA133" s="37" t="str">
        <x:v>성능</x:v>
      </x:c>
      <x:c r="AB133" s="37" t="str">
        <x:v>TC-NET-011-01, TC-NET-011-02</x:v>
      </x:c>
      <x:c r="AC133" s="37"/>
      <x:c r="AD133" s="37" t="str">
        <x:v>게임 기획서</x:v>
      </x:c>
      <x:c r="AE133" s="37"/>
      <x:c r="AF133" s="40" t="str">
        <x:v>2026-07-10</x:v>
      </x:c>
      <x:c r="AG133" s="37"/>
      <x:c r="AH133" s="49"/>
      <x:c r="AI133" s="49"/>
      <x:c r="AJ133" s="48" t="str">
        <x:v>착수 전</x:v>
      </x:c>
    </x:row>
    <x:row r="134" ht="42" customHeight="1">
      <x:c r="A134" s="37" t="str">
        <x:v>NET-012</x:v>
      </x:c>
      <x:c r="B134" s="37" t="str">
        <x:v>네트워크 동기화·보안</x:v>
      </x:c>
      <x:c r="C134" s="37" t="str">
        <x:v>보안</x:v>
      </x:c>
      <x:c r="D134" s="37" t="str">
        <x:v>RPC 검증</x:v>
      </x:c>
      <x:c r="E134" s="37" t="str">
        <x:v>공통 RPC 권한·상태·요청률 검증</x:v>
      </x:c>
      <x:c r="F134" s="37" t="str">
        <x:v>게임 규칙, 운영 요구사항과 대상 플랫폼 제약을 충족하도록 공통 RPC 권한·상태·요청률 검증 기능을 구현하고 검증한다.</x:v>
      </x:c>
      <x:c r="G134" s="37" t="str">
        <x:v>메시지별로 송신자 ID, 역할, 페이즈, 대상, 횟수, 거리, 권한, 요청률을 검증하고 거부 사유와 감사 이벤트를 기록한다.</x:v>
      </x:c>
      <x:c r="H134" s="37" t="str">
        <x:v>구현, 코드 리뷰, 사양 갱신, 대상 QA 케이스 실행, 로그·텔레메트리 확인과 관련 플랫폼 검증을 완료하고 미해결 P0·P1 결함이 없다.</x:v>
      </x:c>
      <x:c r="I134" s="37" t="str">
        <x:v>MVP</x:v>
      </x:c>
      <x:c r="J134" s="37" t="str">
        <x:v>P0</x:v>
      </x:c>
      <x:c r="K134" s="37" t="str">
        <x:v>필수</x:v>
      </x:c>
      <x:c r="L134" s="37" t="str">
        <x:v>보안</x:v>
      </x:c>
      <x:c r="M134" s="37" t="str">
        <x:v>MVP</x:v>
      </x:c>
      <x:c r="N134" s="37" t="str">
        <x:v>네트워크 엔지니어링</x:v>
      </x:c>
      <x:c r="O134" s="37" t="str">
        <x:v>미정</x:v>
      </x:c>
      <x:c r="P134" s="37" t="str">
        <x:v>미정</x:v>
      </x:c>
      <x:c r="Q134" s="37" t="str">
        <x:v>서버</x:v>
      </x:c>
      <x:c r="R134" s="37" t="str">
        <x:v>서버 권한</x:v>
      </x:c>
      <x:c r="S134" s="37" t="str">
        <x:v>감사 로그</x:v>
      </x:c>
      <x:c r="T134" s="37" t="str">
        <x:v>XL</x:v>
      </x:c>
      <x:c r="U134" s="37" t="str">
        <x:v>미착수</x:v>
      </x:c>
      <x:c r="V134" s="42" t="n">
        <x:f>IF(U134="완료",1,IF(U134="QA 진행 중",0.8,IF(U134="코드 리뷰",0.65,IF(U134="구현 중",0.4,IF(U134="사양 확인 중",0.1,IF(U134="차단",0.4,0))))))</x:f>
        <x:v>0</x:v>
      </x:c>
      <x:c r="W134" s="37" t="str">
        <x:v>미정</x:v>
      </x:c>
      <x:c r="X134" s="40"/>
      <x:c r="Y134" s="37" t="str">
        <x:v>NET-004,NET-005</x:v>
      </x:c>
      <x:c r="Z134" s="37" t="str">
        <x:v>중간</x:v>
      </x:c>
      <x:c r="AA134" s="37" t="str">
        <x:v>보안</x:v>
      </x:c>
      <x:c r="AB134" s="37" t="str">
        <x:v>TC-NET-012-01, TC-NET-012-02</x:v>
      </x:c>
      <x:c r="AC134" s="37"/>
      <x:c r="AD134" s="37" t="str">
        <x:v>게임 기획서</x:v>
      </x:c>
      <x:c r="AE134" s="37"/>
      <x:c r="AF134" s="40" t="str">
        <x:v>2026-07-10</x:v>
      </x:c>
      <x:c r="AG134" s="37"/>
      <x:c r="AH134" s="49"/>
      <x:c r="AI134" s="49"/>
      <x:c r="AJ134" s="48" t="str">
        <x:v>착수 전</x:v>
      </x:c>
    </x:row>
    <x:row r="135" ht="42" customHeight="1">
      <x:c r="A135" s="37" t="str">
        <x:v>NET-013</x:v>
      </x:c>
      <x:c r="B135" s="37" t="str">
        <x:v>네트워크 동기화·보안</x:v>
      </x:c>
      <x:c r="C135" s="37" t="str">
        <x:v>게임 메시지</x:v>
      </x:c>
      <x:c r="D135" s="37" t="str">
        <x:v>메모 부착 요청</x:v>
      </x:c>
      <x:c r="E135" s="37" t="str">
        <x:v>메모 부착 요청 메시지</x:v>
      </x:c>
      <x:c r="F135" s="37" t="str">
        <x:v>게임 규칙, 운영 요구사항과 대상 플랫폼 제약을 충족하도록 메모 부착 요청 메시지 기능을 구현하고 검증한다.</x:v>
      </x:c>
      <x:c r="G135" s="37" t="str">
        <x:v>메모 ID, 대상 ID, 클라이언트 시작 틱을 수신하고 서버상의 위치, 등 뒤 각도, 페이즈, 소유권을 다시 검증한다.</x:v>
      </x:c>
      <x:c r="H135" s="37" t="str">
        <x:v>구현, 코드 리뷰, 사양 갱신, 대상 QA 케이스 실행, 로그·텔레메트리 확인과 관련 플랫폼 검증을 완료하고 미해결 P0·P1 결함이 없다.</x:v>
      </x:c>
      <x:c r="I135" s="37" t="str">
        <x:v>MVP</x:v>
      </x:c>
      <x:c r="J135" s="37" t="str">
        <x:v>P0</x:v>
      </x:c>
      <x:c r="K135" s="37" t="str">
        <x:v>필수</x:v>
      </x:c>
      <x:c r="L135" s="37" t="str">
        <x:v>메모</x:v>
      </x:c>
      <x:c r="M135" s="37" t="str">
        <x:v>MVP</x:v>
      </x:c>
      <x:c r="N135" s="37" t="str">
        <x:v>네트워크 엔지니어링</x:v>
      </x:c>
      <x:c r="O135" s="37" t="str">
        <x:v>미정</x:v>
      </x:c>
      <x:c r="P135" s="37" t="str">
        <x:v>미정</x:v>
      </x:c>
      <x:c r="Q135" s="37" t="str">
        <x:v>전체</x:v>
      </x:c>
      <x:c r="R135" s="37" t="str">
        <x:v>서버 권한</x:v>
      </x:c>
      <x:c r="S135" s="37" t="str">
        <x:v>매치</x:v>
      </x:c>
      <x:c r="T135" s="37" t="str">
        <x:v>L</x:v>
      </x:c>
      <x:c r="U135" s="37" t="str">
        <x:v>미착수</x:v>
      </x:c>
      <x:c r="V135" s="42" t="n">
        <x:f>IF(U135="완료",1,IF(U135="QA 진행 중",0.8,IF(U135="코드 리뷰",0.65,IF(U135="구현 중",0.4,IF(U135="사양 확인 중",0.1,IF(U135="차단",0.4,0))))))</x:f>
        <x:v>0</x:v>
      </x:c>
      <x:c r="W135" s="37" t="str">
        <x:v>미정</x:v>
      </x:c>
      <x:c r="X135" s="40"/>
      <x:c r="Y135" s="37" t="str">
        <x:v>NET-012,IGM-016</x:v>
      </x:c>
      <x:c r="Z135" s="37" t="str">
        <x:v>중간</x:v>
      </x:c>
      <x:c r="AA135" s="37" t="str">
        <x:v>보안</x:v>
      </x:c>
      <x:c r="AB135" s="37" t="str">
        <x:v>TC-NET-013-01, TC-NET-013-02</x:v>
      </x:c>
      <x:c r="AC135" s="37"/>
      <x:c r="AD135" s="37" t="str">
        <x:v>게임 기획서</x:v>
      </x:c>
      <x:c r="AE135" s="37"/>
      <x:c r="AF135" s="40" t="str">
        <x:v>2026-07-10</x:v>
      </x:c>
      <x:c r="AG135" s="37"/>
      <x:c r="AH135" s="49"/>
      <x:c r="AI135" s="49"/>
      <x:c r="AJ135" s="48" t="str">
        <x:v>착수 전</x:v>
      </x:c>
    </x:row>
    <x:row r="136" ht="42" customHeight="1">
      <x:c r="A136" s="37" t="str">
        <x:v>NET-014</x:v>
      </x:c>
      <x:c r="B136" s="37" t="str">
        <x:v>네트워크 동기화·보안</x:v>
      </x:c>
      <x:c r="C136" s="37" t="str">
        <x:v>게임 메시지</x:v>
      </x:c>
      <x:c r="D136" s="37" t="str">
        <x:v>메모 확정</x:v>
      </x:c>
      <x:c r="E136" s="37" t="str">
        <x:v>메모 확정·순서·멱등성</x:v>
      </x:c>
      <x:c r="F136" s="37" t="str">
        <x:v>게임 규칙, 운영 요구사항과 대상 플랫폼 제약을 충족하도록 메모 확정·순서·멱등성 기능을 구현하고 검증한다.</x:v>
      </x:c>
      <x:c r="G136" s="37" t="str">
        <x:v>고유 작업 ID로 재전송을 흡수하고 서버 순번을 부여해 대상 메모를 볼 수 있는 클라이언트에 공개 모델만 배포한다.</x:v>
      </x:c>
      <x:c r="H136" s="37" t="str">
        <x:v>구현, 코드 리뷰, 사양 갱신, 대상 QA 케이스 실행, 로그·텔레메트리 확인과 관련 플랫폼 검증을 완료하고 미해결 P0·P1 결함이 없다.</x:v>
      </x:c>
      <x:c r="I136" s="37" t="str">
        <x:v>MVP</x:v>
      </x:c>
      <x:c r="J136" s="37" t="str">
        <x:v>P0</x:v>
      </x:c>
      <x:c r="K136" s="37" t="str">
        <x:v>필수</x:v>
      </x:c>
      <x:c r="L136" s="37" t="str">
        <x:v>데이터 무결성</x:v>
      </x:c>
      <x:c r="M136" s="37" t="str">
        <x:v>MVP</x:v>
      </x:c>
      <x:c r="N136" s="37" t="str">
        <x:v>네트워크 엔지니어링</x:v>
      </x:c>
      <x:c r="O136" s="37" t="str">
        <x:v>미정</x:v>
      </x:c>
      <x:c r="P136" s="37" t="str">
        <x:v>미정</x:v>
      </x:c>
      <x:c r="Q136" s="37" t="str">
        <x:v>전체</x:v>
      </x:c>
      <x:c r="R136" s="37" t="str">
        <x:v>서버 권한</x:v>
      </x:c>
      <x:c r="S136" s="37" t="str">
        <x:v>매치</x:v>
      </x:c>
      <x:c r="T136" s="37" t="str">
        <x:v>XL</x:v>
      </x:c>
      <x:c r="U136" s="37" t="str">
        <x:v>미착수</x:v>
      </x:c>
      <x:c r="V136" s="42" t="n">
        <x:f>IF(U136="완료",1,IF(U136="QA 진행 중",0.8,IF(U136="코드 리뷰",0.65,IF(U136="구현 중",0.4,IF(U136="사양 확인 중",0.1,IF(U136="차단",0.4,0))))))</x:f>
        <x:v>0</x:v>
      </x:c>
      <x:c r="W136" s="37" t="str">
        <x:v>미정</x:v>
      </x:c>
      <x:c r="X136" s="40"/>
      <x:c r="Y136" s="37" t="str">
        <x:v>NET-013,IGM-018</x:v>
      </x:c>
      <x:c r="Z136" s="37" t="str">
        <x:v>중간</x:v>
      </x:c>
      <x:c r="AA136" s="37" t="str">
        <x:v>네트워크</x:v>
      </x:c>
      <x:c r="AB136" s="37" t="str">
        <x:v>TC-NET-014-01, TC-NET-014-02</x:v>
      </x:c>
      <x:c r="AC136" s="37"/>
      <x:c r="AD136" s="37" t="str">
        <x:v>게임 기획서</x:v>
      </x:c>
      <x:c r="AE136" s="37"/>
      <x:c r="AF136" s="40" t="str">
        <x:v>2026-07-10</x:v>
      </x:c>
      <x:c r="AG136" s="37"/>
      <x:c r="AH136" s="49"/>
      <x:c r="AI136" s="49"/>
      <x:c r="AJ136" s="48" t="str">
        <x:v>착수 전</x:v>
      </x:c>
    </x:row>
    <x:row r="137" ht="42" customHeight="1">
      <x:c r="A137" s="37" t="str">
        <x:v>NET-015</x:v>
      </x:c>
      <x:c r="B137" s="37" t="str">
        <x:v>네트워크 동기화·보안</x:v>
      </x:c>
      <x:c r="C137" s="37" t="str">
        <x:v>게임 메시지</x:v>
      </x:c>
      <x:c r="D137" s="37" t="str">
        <x:v>미니게임 완료</x:v>
      </x:c>
      <x:c r="E137" s="37" t="str">
        <x:v>미니게임 완료·보상 멱등성</x:v>
      </x:c>
      <x:c r="F137" s="37" t="str">
        <x:v>게임 규칙, 운영 요구사항과 대상 플랫폼 제약을 충족하도록 미니게임 완료·보상 멱등성 기능을 구현하고 검증한다.</x:v>
      </x:c>
      <x:c r="G137" s="37" t="str">
        <x:v>서버가 발급한 인스턴스 ID와 완료 Nonce를 검증하고 동일 완료 이벤트에 대한 보상은 한 번만 지급한다.</x:v>
      </x:c>
      <x:c r="H137" s="37" t="str">
        <x:v>구현, 코드 리뷰, 사양 갱신, 대상 QA 케이스 실행, 로그·텔레메트리 확인과 관련 플랫폼 검증을 완료하고 미해결 P0·P1 결함이 없다.</x:v>
      </x:c>
      <x:c r="I137" s="37" t="str">
        <x:v>MVP</x:v>
      </x:c>
      <x:c r="J137" s="37" t="str">
        <x:v>P0</x:v>
      </x:c>
      <x:c r="K137" s="37" t="str">
        <x:v>필수</x:v>
      </x:c>
      <x:c r="L137" s="37" t="str">
        <x:v>데이터 무결성</x:v>
      </x:c>
      <x:c r="M137" s="37" t="str">
        <x:v>MVP</x:v>
      </x:c>
      <x:c r="N137" s="37" t="str">
        <x:v>네트워크 엔지니어링</x:v>
      </x:c>
      <x:c r="O137" s="37" t="str">
        <x:v>미정</x:v>
      </x:c>
      <x:c r="P137" s="37" t="str">
        <x:v>미정</x:v>
      </x:c>
      <x:c r="Q137" s="37" t="str">
        <x:v>전체</x:v>
      </x:c>
      <x:c r="R137" s="37" t="str">
        <x:v>서버 권한</x:v>
      </x:c>
      <x:c r="S137" s="37" t="str">
        <x:v>매치</x:v>
      </x:c>
      <x:c r="T137" s="37" t="str">
        <x:v>L</x:v>
      </x:c>
      <x:c r="U137" s="37" t="str">
        <x:v>미착수</x:v>
      </x:c>
      <x:c r="V137" s="42" t="n">
        <x:f>IF(U137="완료",1,IF(U137="QA 진행 중",0.8,IF(U137="코드 리뷰",0.65,IF(U137="구현 중",0.4,IF(U137="사양 확인 중",0.1,IF(U137="차단",0.4,0))))))</x:f>
        <x:v>0</x:v>
      </x:c>
      <x:c r="W137" s="37" t="str">
        <x:v>미정</x:v>
      </x:c>
      <x:c r="X137" s="40"/>
      <x:c r="Y137" s="37" t="str">
        <x:v>NET-012,CNT-020,IGM-010</x:v>
      </x:c>
      <x:c r="Z137" s="37" t="str">
        <x:v>중간</x:v>
      </x:c>
      <x:c r="AA137" s="37" t="str">
        <x:v>보안</x:v>
      </x:c>
      <x:c r="AB137" s="37" t="str">
        <x:v>TC-NET-015-01, TC-NET-015-02</x:v>
      </x:c>
      <x:c r="AC137" s="37"/>
      <x:c r="AD137" s="37" t="str">
        <x:v>게임 기획서</x:v>
      </x:c>
      <x:c r="AE137" s="37"/>
      <x:c r="AF137" s="40" t="str">
        <x:v>2026-07-10</x:v>
      </x:c>
      <x:c r="AG137" s="37"/>
      <x:c r="AH137" s="49"/>
      <x:c r="AI137" s="49"/>
      <x:c r="AJ137" s="48" t="str">
        <x:v>착수 전</x:v>
      </x:c>
    </x:row>
    <x:row r="138" ht="42" customHeight="1">
      <x:c r="A138" s="37" t="str">
        <x:v>NET-016</x:v>
      </x:c>
      <x:c r="B138" s="37" t="str">
        <x:v>네트워크 동기화·보안</x:v>
      </x:c>
      <x:c r="C138" s="37" t="str">
        <x:v>게임 메시지</x:v>
      </x:c>
      <x:c r="D138" s="37" t="str">
        <x:v>투표 제출</x:v>
      </x:c>
      <x:c r="E138" s="37" t="str">
        <x:v>투표 전송·비공개·마감 처리</x:v>
      </x:c>
      <x:c r="F138" s="37" t="str">
        <x:v>게임 규칙, 운영 요구사항과 대상 플랫폼 제약을 충족하도록 투표 전송·비공개·마감 처리 기능을 구현하고 검증한다.</x:v>
      </x:c>
      <x:c r="G138" s="37" t="str">
        <x:v>투표자와 대상을 인증하고 1회성, 마감, 대상 생존 여부를 검증한다. 집계 완료 전에는 다른 클라이언트에 투표 대상과 중간 득표 수를 전송하지 않는다.</x:v>
      </x:c>
      <x:c r="H138" s="37" t="str">
        <x:v>구현, 코드 리뷰, 사양 갱신, 대상 QA 케이스 실행, 로그·텔레메트리 확인과 관련 플랫폼 검증을 완료하고 미해결 P0·P1 결함이 없다.</x:v>
      </x:c>
      <x:c r="I138" s="37" t="str">
        <x:v>MVP</x:v>
      </x:c>
      <x:c r="J138" s="37" t="str">
        <x:v>P0</x:v>
      </x:c>
      <x:c r="K138" s="37" t="str">
        <x:v>필수</x:v>
      </x:c>
      <x:c r="L138" s="37" t="str">
        <x:v>정보 비공개</x:v>
      </x:c>
      <x:c r="M138" s="37" t="str">
        <x:v>MVP</x:v>
      </x:c>
      <x:c r="N138" s="37" t="str">
        <x:v>네트워크 엔지니어링</x:v>
      </x:c>
      <x:c r="O138" s="37" t="str">
        <x:v>미정</x:v>
      </x:c>
      <x:c r="P138" s="37" t="str">
        <x:v>미정</x:v>
      </x:c>
      <x:c r="Q138" s="37" t="str">
        <x:v>전체</x:v>
      </x:c>
      <x:c r="R138" s="37" t="str">
        <x:v>서버 권한</x:v>
      </x:c>
      <x:c r="S138" s="37" t="str">
        <x:v>매치</x:v>
      </x:c>
      <x:c r="T138" s="37" t="str">
        <x:v>L</x:v>
      </x:c>
      <x:c r="U138" s="37" t="str">
        <x:v>미착수</x:v>
      </x:c>
      <x:c r="V138" s="42" t="n">
        <x:f>IF(U138="완료",1,IF(U138="QA 진행 중",0.8,IF(U138="코드 리뷰",0.65,IF(U138="구현 중",0.4,IF(U138="사양 확인 중",0.1,IF(U138="차단",0.4,0))))))</x:f>
        <x:v>0</x:v>
      </x:c>
      <x:c r="W138" s="37" t="str">
        <x:v>미정</x:v>
      </x:c>
      <x:c r="X138" s="40"/>
      <x:c r="Y138" s="37" t="str">
        <x:v>NET-012,IGM-023</x:v>
      </x:c>
      <x:c r="Z138" s="37" t="str">
        <x:v>중간</x:v>
      </x:c>
      <x:c r="AA138" s="37" t="str">
        <x:v>보안</x:v>
      </x:c>
      <x:c r="AB138" s="37" t="str">
        <x:v>TC-NET-016-01, TC-NET-016-02</x:v>
      </x:c>
      <x:c r="AC138" s="37"/>
      <x:c r="AD138" s="37" t="str">
        <x:v>게임 기획서</x:v>
      </x:c>
      <x:c r="AE138" s="37"/>
      <x:c r="AF138" s="40" t="str">
        <x:v>2026-07-10</x:v>
      </x:c>
      <x:c r="AG138" s="37"/>
      <x:c r="AH138" s="49"/>
      <x:c r="AI138" s="49"/>
      <x:c r="AJ138" s="48" t="str">
        <x:v>착수 전</x:v>
      </x:c>
    </x:row>
    <x:row r="139" ht="42" customHeight="1">
      <x:c r="A139" s="37" t="str">
        <x:v>NET-017</x:v>
      </x:c>
      <x:c r="B139" s="37" t="str">
        <x:v>네트워크 동기화·보안</x:v>
      </x:c>
      <x:c r="C139" s="37" t="str">
        <x:v>정보 보안</x:v>
      </x:c>
      <x:c r="D139" s="37" t="str">
        <x:v>역할 비공개</x:v>
      </x:c>
      <x:c r="E139" s="37" t="str">
        <x:v>역할 정보 개인 전송·최소 배포</x:v>
      </x:c>
      <x:c r="F139" s="37" t="str">
        <x:v>게임 규칙, 운영 요구사항과 대상 플랫폼 제약을 충족하도록 역할 정보 개인 전송·최소 배포 기능을 구현하고 검증한다.</x:v>
      </x:c>
      <x:c r="G139" s="37" t="str">
        <x:v>각 플레이어에게 본인 역할만 개인 전송하고 공통 스냅샷, 관전 데이터, 로그, 크래시 덤프에 다른 플레이어의 역할을 포함하지 않는다.</x:v>
      </x:c>
      <x:c r="H139" s="37" t="str">
        <x:v>구현, 코드 리뷰, 사양 갱신, 대상 QA 케이스 실행, 로그·텔레메트리 확인과 관련 플랫폼 검증을 완료하고 미해결 P0·P1 결함이 없다.</x:v>
      </x:c>
      <x:c r="I139" s="37" t="str">
        <x:v>MVP</x:v>
      </x:c>
      <x:c r="J139" s="37" t="str">
        <x:v>P0</x:v>
      </x:c>
      <x:c r="K139" s="37" t="str">
        <x:v>필수</x:v>
      </x:c>
      <x:c r="L139" s="37" t="str">
        <x:v>정보 비공개</x:v>
      </x:c>
      <x:c r="M139" s="37" t="str">
        <x:v>MVP</x:v>
      </x:c>
      <x:c r="N139" s="37" t="str">
        <x:v>네트워크 엔지니어링</x:v>
      </x:c>
      <x:c r="O139" s="37" t="str">
        <x:v>미정</x:v>
      </x:c>
      <x:c r="P139" s="37" t="str">
        <x:v>미정</x:v>
      </x:c>
      <x:c r="Q139" s="37" t="str">
        <x:v>전체</x:v>
      </x:c>
      <x:c r="R139" s="37" t="str">
        <x:v>서버 권한</x:v>
      </x:c>
      <x:c r="S139" s="37" t="str">
        <x:v>매치</x:v>
      </x:c>
      <x:c r="T139" s="37" t="str">
        <x:v>L</x:v>
      </x:c>
      <x:c r="U139" s="37" t="str">
        <x:v>미착수</x:v>
      </x:c>
      <x:c r="V139" s="42" t="n">
        <x:f>IF(U139="완료",1,IF(U139="QA 진행 중",0.8,IF(U139="코드 리뷰",0.65,IF(U139="구현 중",0.4,IF(U139="사양 확인 중",0.1,IF(U139="차단",0.4,0))))))</x:f>
        <x:v>0</x:v>
      </x:c>
      <x:c r="W139" s="37" t="str">
        <x:v>미정</x:v>
      </x:c>
      <x:c r="X139" s="40"/>
      <x:c r="Y139" s="37" t="str">
        <x:v>NET-004,IGM-002</x:v>
      </x:c>
      <x:c r="Z139" s="37" t="str">
        <x:v>중간</x:v>
      </x:c>
      <x:c r="AA139" s="37" t="str">
        <x:v>보안</x:v>
      </x:c>
      <x:c r="AB139" s="37" t="str">
        <x:v>TC-NET-017-01, TC-NET-017-02</x:v>
      </x:c>
      <x:c r="AC139" s="37"/>
      <x:c r="AD139" s="37" t="str">
        <x:v>게임 기획서</x:v>
      </x:c>
      <x:c r="AE139" s="37"/>
      <x:c r="AF139" s="40" t="str">
        <x:v>2026-07-10</x:v>
      </x:c>
      <x:c r="AG139" s="37"/>
      <x:c r="AH139" s="49"/>
      <x:c r="AI139" s="49"/>
      <x:c r="AJ139" s="48" t="str">
        <x:v>착수 전</x:v>
      </x:c>
    </x:row>
    <x:row r="140" ht="42" customHeight="1">
      <x:c r="A140" s="37" t="str">
        <x:v>NET-018</x:v>
      </x:c>
      <x:c r="B140" s="37" t="str">
        <x:v>네트워크 동기화·보안</x:v>
      </x:c>
      <x:c r="C140" s="37" t="str">
        <x:v>정보 보안</x:v>
      </x:c>
      <x:c r="D140" s="37" t="str">
        <x:v>가시성 필터</x:v>
      </x:c>
      <x:c r="E140" s="37" t="str">
        <x:v>수신자별 정보 공개 필터</x:v>
      </x:c>
      <x:c r="F140" s="37" t="str">
        <x:v>게임 규칙, 운영 요구사항과 대상 플랫폼 제약을 충족하도록 수신자별 정보 공개 필터 기능을 구현하고 검증한다.</x:v>
      </x:c>
      <x:c r="G140" s="37" t="str">
        <x:v>본인 등 메모, 실제 작성자, 실제 부착자, 위조 여부, 중간 투표 결과를 수신자별 공개 모델에서 제외하고 재접속 스냅샷에도 같은 규칙을 적용한다.</x:v>
      </x:c>
      <x:c r="H140" s="37" t="str">
        <x:v>구현, 코드 리뷰, 사양 갱신, 대상 QA 케이스 실행, 로그·텔레메트리 확인과 관련 플랫폼 검증을 완료하고 미해결 P0·P1 결함이 없다.</x:v>
      </x:c>
      <x:c r="I140" s="37" t="str">
        <x:v>MVP</x:v>
      </x:c>
      <x:c r="J140" s="37" t="str">
        <x:v>P0</x:v>
      </x:c>
      <x:c r="K140" s="37" t="str">
        <x:v>필수</x:v>
      </x:c>
      <x:c r="L140" s="37" t="str">
        <x:v>정보 비공개</x:v>
      </x:c>
      <x:c r="M140" s="37" t="str">
        <x:v>MVP</x:v>
      </x:c>
      <x:c r="N140" s="37" t="str">
        <x:v>네트워크 엔지니어링</x:v>
      </x:c>
      <x:c r="O140" s="37" t="str">
        <x:v>미정</x:v>
      </x:c>
      <x:c r="P140" s="37" t="str">
        <x:v>미정</x:v>
      </x:c>
      <x:c r="Q140" s="37" t="str">
        <x:v>전체</x:v>
      </x:c>
      <x:c r="R140" s="37" t="str">
        <x:v>서버 권한</x:v>
      </x:c>
      <x:c r="S140" s="37" t="str">
        <x:v>매치</x:v>
      </x:c>
      <x:c r="T140" s="37" t="str">
        <x:v>XL</x:v>
      </x:c>
      <x:c r="U140" s="37" t="str">
        <x:v>미착수</x:v>
      </x:c>
      <x:c r="V140" s="42" t="n">
        <x:f>IF(U140="완료",1,IF(U140="QA 진행 중",0.8,IF(U140="코드 리뷰",0.65,IF(U140="구현 중",0.4,IF(U140="사양 확인 중",0.1,IF(U140="차단",0.4,0))))))</x:f>
        <x:v>0</x:v>
      </x:c>
      <x:c r="W140" s="37" t="str">
        <x:v>미정</x:v>
      </x:c>
      <x:c r="X140" s="40"/>
      <x:c r="Y140" s="37" t="str">
        <x:v>NET-017,IGM-019,IGM-029</x:v>
      </x:c>
      <x:c r="Z140" s="37" t="str">
        <x:v>중간</x:v>
      </x:c>
      <x:c r="AA140" s="37" t="str">
        <x:v>보안</x:v>
      </x:c>
      <x:c r="AB140" s="37" t="str">
        <x:v>TC-NET-018-01, TC-NET-018-02</x:v>
      </x:c>
      <x:c r="AC140" s="37"/>
      <x:c r="AD140" s="37" t="str">
        <x:v>게임 기획서</x:v>
      </x:c>
      <x:c r="AE140" s="37"/>
      <x:c r="AF140" s="40" t="str">
        <x:v>2026-07-10</x:v>
      </x:c>
      <x:c r="AG140" s="37"/>
      <x:c r="AH140" s="49"/>
      <x:c r="AI140" s="49"/>
      <x:c r="AJ140" s="48" t="str">
        <x:v>착수 전</x:v>
      </x:c>
    </x:row>
    <x:row r="141" ht="42" customHeight="1">
      <x:c r="A141" s="37" t="str">
        <x:v>NET-019</x:v>
      </x:c>
      <x:c r="B141" s="37" t="str">
        <x:v>네트워크 동기화·보안</x:v>
      </x:c>
      <x:c r="C141" s="37" t="str">
        <x:v>복원력</x:v>
      </x:c>
      <x:c r="D141" s="37" t="str">
        <x:v>재접속 스냅샷</x:v>
      </x:c>
      <x:c r="E141" s="37" t="str">
        <x:v>재접속 스냅샷·차분 스트림 재개</x:v>
      </x:c>
      <x:c r="F141" s="37" t="str">
        <x:v>게임 규칙, 운영 요구사항과 대상 플랫폼 제약을 충족하도록 재접속 스냅샷·차분 스트림 재개 기능을 구현하고 검증한다.</x:v>
      </x:c>
      <x:c r="G141" s="37" t="str">
        <x:v>스냅샷 버전, 마지막 이벤트 순번, 정보 공개 필터를 사용해 전체 상태를 복원하고 수신 완료 후 차분 스트림으로 전환한다.</x:v>
      </x:c>
      <x:c r="H141" s="37" t="str">
        <x:v>구현, 코드 리뷰, 사양 갱신, 대상 QA 케이스 실행, 로그·텔레메트리 확인과 관련 플랫폼 검증을 완료하고 미해결 P0·P1 결함이 없다.</x:v>
      </x:c>
      <x:c r="I141" s="37" t="str">
        <x:v>알파</x:v>
      </x:c>
      <x:c r="J141" s="37" t="str">
        <x:v>P0</x:v>
      </x:c>
      <x:c r="K141" s="37" t="str">
        <x:v>필수</x:v>
      </x:c>
      <x:c r="L141" s="37" t="str">
        <x:v>안정성</x:v>
      </x:c>
      <x:c r="M141" s="37" t="str">
        <x:v>알파</x:v>
      </x:c>
      <x:c r="N141" s="37" t="str">
        <x:v>네트워크 엔지니어링</x:v>
      </x:c>
      <x:c r="O141" s="37" t="str">
        <x:v>미정</x:v>
      </x:c>
      <x:c r="P141" s="37" t="str">
        <x:v>미정</x:v>
      </x:c>
      <x:c r="Q141" s="37" t="str">
        <x:v>전체</x:v>
      </x:c>
      <x:c r="R141" s="37" t="str">
        <x:v>서버 권한</x:v>
      </x:c>
      <x:c r="S141" s="37" t="str">
        <x:v>세션</x:v>
      </x:c>
      <x:c r="T141" s="37" t="str">
        <x:v>XL</x:v>
      </x:c>
      <x:c r="U141" s="37" t="str">
        <x:v>미착수</x:v>
      </x:c>
      <x:c r="V141" s="42" t="n">
        <x:f>IF(U141="완료",1,IF(U141="QA 진행 중",0.8,IF(U141="코드 리뷰",0.65,IF(U141="구현 중",0.4,IF(U141="사양 확인 중",0.1,IF(U141="차단",0.4,0))))))</x:f>
        <x:v>0</x:v>
      </x:c>
      <x:c r="W141" s="37" t="str">
        <x:v>미정</x:v>
      </x:c>
      <x:c r="X141" s="40"/>
      <x:c r="Y141" s="37" t="str">
        <x:v>NET-006,NET-007,NET-010,NET-018,ONL-017</x:v>
      </x:c>
      <x:c r="Z141" s="37" t="str">
        <x:v>중간</x:v>
      </x:c>
      <x:c r="AA141" s="37" t="str">
        <x:v>네트워크</x:v>
      </x:c>
      <x:c r="AB141" s="37" t="str">
        <x:v>TC-NET-019-01, TC-NET-019-02</x:v>
      </x:c>
      <x:c r="AC141" s="37"/>
      <x:c r="AD141" s="37" t="str">
        <x:v>게임 기획서</x:v>
      </x:c>
      <x:c r="AE141" s="37"/>
      <x:c r="AF141" s="40" t="str">
        <x:v>2026-07-10</x:v>
      </x:c>
      <x:c r="AG141" s="37"/>
      <x:c r="AH141" s="49"/>
      <x:c r="AI141" s="49"/>
      <x:c r="AJ141" s="48" t="str">
        <x:v>착수 전</x:v>
      </x:c>
    </x:row>
    <x:row r="142" ht="42" customHeight="1">
      <x:c r="A142" s="37" t="str">
        <x:v>NET-020</x:v>
      </x:c>
      <x:c r="B142" s="37" t="str">
        <x:v>네트워크 동기화·보안</x:v>
      </x:c>
      <x:c r="C142" s="37" t="str">
        <x:v>복원력</x:v>
      </x:c>
      <x:c r="D142" s="37" t="str">
        <x:v>하트비트·장애</x:v>
      </x:c>
      <x:c r="E142" s="37" t="str">
        <x:v>하트비트·서버 장애 감지</x:v>
      </x:c>
      <x:c r="F142" s="37" t="str">
        <x:v>게임 규칙, 운영 요구사항과 대상 플랫폼 제약을 충족하도록 하트비트·서버 장애 감지 기능을 구현하고 검증한다.</x:v>
      </x:c>
      <x:c r="G142" s="37" t="str">
        <x:v>클라이언트와 서버 양쪽에서 시간 초과를 감지하고 일시 단절, 서버 종료, 인증 만료를 구분해 재접속 또는 무효 매치로 전환한다.</x:v>
      </x:c>
      <x:c r="H142" s="37" t="str">
        <x:v>구현, 코드 리뷰, 사양 갱신, 대상 QA 케이스 실행, 로그·텔레메트리 확인과 관련 플랫폼 검증을 완료하고 미해결 P0·P1 결함이 없다.</x:v>
      </x:c>
      <x:c r="I142" s="37" t="str">
        <x:v>알파</x:v>
      </x:c>
      <x:c r="J142" s="37" t="str">
        <x:v>P0</x:v>
      </x:c>
      <x:c r="K142" s="37" t="str">
        <x:v>필수</x:v>
      </x:c>
      <x:c r="L142" s="37" t="str">
        <x:v>안정성</x:v>
      </x:c>
      <x:c r="M142" s="37" t="str">
        <x:v>알파</x:v>
      </x:c>
      <x:c r="N142" s="37" t="str">
        <x:v>네트워크 엔지니어링</x:v>
      </x:c>
      <x:c r="O142" s="37" t="str">
        <x:v>미정</x:v>
      </x:c>
      <x:c r="P142" s="37" t="str">
        <x:v>미정</x:v>
      </x:c>
      <x:c r="Q142" s="37" t="str">
        <x:v>전체</x:v>
      </x:c>
      <x:c r="R142" s="37" t="str">
        <x:v>서버 권한</x:v>
      </x:c>
      <x:c r="S142" s="37" t="str">
        <x:v>감사 로그</x:v>
      </x:c>
      <x:c r="T142" s="37" t="str">
        <x:v>L</x:v>
      </x:c>
      <x:c r="U142" s="37" t="str">
        <x:v>미착수</x:v>
      </x:c>
      <x:c r="V142" s="42" t="n">
        <x:f>IF(U142="완료",1,IF(U142="QA 진행 중",0.8,IF(U142="코드 리뷰",0.65,IF(U142="구현 중",0.4,IF(U142="사양 확인 중",0.1,IF(U142="차단",0.4,0))))))</x:f>
        <x:v>0</x:v>
      </x:c>
      <x:c r="W142" s="37" t="str">
        <x:v>미정</x:v>
      </x:c>
      <x:c r="X142" s="40"/>
      <x:c r="Y142" s="37" t="str">
        <x:v>NET-004,ONL-021</x:v>
      </x:c>
      <x:c r="Z142" s="37" t="str">
        <x:v>중간</x:v>
      </x:c>
      <x:c r="AA142" s="37" t="str">
        <x:v>네트워크</x:v>
      </x:c>
      <x:c r="AB142" s="37" t="str">
        <x:v>TC-NET-020-01, TC-NET-020-02</x:v>
      </x:c>
      <x:c r="AC142" s="37"/>
      <x:c r="AD142" s="37" t="str">
        <x:v>게임 기획서</x:v>
      </x:c>
      <x:c r="AE142" s="37"/>
      <x:c r="AF142" s="40" t="str">
        <x:v>2026-07-10</x:v>
      </x:c>
      <x:c r="AG142" s="37"/>
      <x:c r="AH142" s="49"/>
      <x:c r="AI142" s="49"/>
      <x:c r="AJ142" s="48" t="str">
        <x:v>착수 전</x:v>
      </x:c>
    </x:row>
    <x:row r="143" ht="42" customHeight="1">
      <x:c r="A143" s="37" t="str">
        <x:v>NET-021</x:v>
      </x:c>
      <x:c r="B143" s="37" t="str">
        <x:v>네트워크 동기화·보안</x:v>
      </x:c>
      <x:c r="C143" s="37" t="str">
        <x:v>복원력</x:v>
      </x:c>
      <x:c r="D143" s="37" t="str">
        <x:v>재시도·백오프</x:v>
      </x:c>
      <x:c r="E143" s="37" t="str">
        <x:v>재전송·재시도·지수 백오프</x:v>
      </x:c>
      <x:c r="F143" s="37" t="str">
        <x:v>게임 규칙, 운영 요구사항과 대상 플랫폼 제약을 충족하도록 재전송·재시도·지수 백오프 기능을 구현하고 검증한다.</x:v>
      </x:c>
      <x:c r="G143" s="37" t="str">
        <x:v>연결, 스냅샷, 중요 API에 상한이 있는 지수 백오프와 지터를 적용해 서비스 장애 중 재시도 폭주를 방지한다.</x:v>
      </x:c>
      <x:c r="H143" s="37" t="str">
        <x:v>구현, 코드 리뷰, 사양 갱신, 대상 QA 케이스 실행, 로그·텔레메트리 확인과 관련 플랫폼 검증을 완료하고 미해결 P0·P1 결함이 없다.</x:v>
      </x:c>
      <x:c r="I143" s="37" t="str">
        <x:v>알파</x:v>
      </x:c>
      <x:c r="J143" s="37" t="str">
        <x:v>P1</x:v>
      </x:c>
      <x:c r="K143" s="37" t="str">
        <x:v>필수</x:v>
      </x:c>
      <x:c r="L143" s="37" t="str">
        <x:v>안정성</x:v>
      </x:c>
      <x:c r="M143" s="37" t="str">
        <x:v>알파</x:v>
      </x:c>
      <x:c r="N143" s="37" t="str">
        <x:v>네트워크 엔지니어링</x:v>
      </x:c>
      <x:c r="O143" s="37" t="str">
        <x:v>미정</x:v>
      </x:c>
      <x:c r="P143" s="37" t="str">
        <x:v>미정</x:v>
      </x:c>
      <x:c r="Q143" s="37" t="str">
        <x:v>전체</x:v>
      </x:c>
      <x:c r="R143" s="37" t="str">
        <x:v>클라이언트 로컬</x:v>
      </x:c>
      <x:c r="S143" s="37" t="str">
        <x:v>없음</x:v>
      </x:c>
      <x:c r="T143" s="37" t="str">
        <x:v>M</x:v>
      </x:c>
      <x:c r="U143" s="37" t="str">
        <x:v>미착수</x:v>
      </x:c>
      <x:c r="V143" s="42" t="n">
        <x:f>IF(U143="완료",1,IF(U143="QA 진행 중",0.8,IF(U143="코드 리뷰",0.65,IF(U143="구현 중",0.4,IF(U143="사양 확인 중",0.1,IF(U143="차단",0.4,0))))))</x:f>
        <x:v>0</x:v>
      </x:c>
      <x:c r="W143" s="37" t="str">
        <x:v>미정</x:v>
      </x:c>
      <x:c r="X143" s="40"/>
      <x:c r="Y143" s="37" t="str">
        <x:v>NET-020</x:v>
      </x:c>
      <x:c r="Z143" s="37" t="str">
        <x:v>중간</x:v>
      </x:c>
      <x:c r="AA143" s="37" t="str">
        <x:v>부하</x:v>
      </x:c>
      <x:c r="AB143" s="37" t="str">
        <x:v>TC-NET-021-01</x:v>
      </x:c>
      <x:c r="AC143" s="37"/>
      <x:c r="AD143" s="37" t="str">
        <x:v>게임 기획서</x:v>
      </x:c>
      <x:c r="AE143" s="37"/>
      <x:c r="AF143" s="40" t="str">
        <x:v>2026-07-10</x:v>
      </x:c>
      <x:c r="AG143" s="37"/>
      <x:c r="AH143" s="49"/>
      <x:c r="AI143" s="49"/>
      <x:c r="AJ143" s="48" t="str">
        <x:v>착수 전</x:v>
      </x:c>
    </x:row>
    <x:row r="144" ht="42" customHeight="1">
      <x:c r="A144" s="37" t="str">
        <x:v>NET-022</x:v>
      </x:c>
      <x:c r="B144" s="37" t="str">
        <x:v>네트워크 동기화·보안</x:v>
      </x:c>
      <x:c r="C144" s="37" t="str">
        <x:v>성능</x:v>
      </x:c>
      <x:c r="D144" s="37" t="str">
        <x:v>관심 범위·대역폭 예산</x:v>
      </x:c>
      <x:c r="E144" s="37" t="str">
        <x:v>관심 영역·대역폭 예산·갱신 주기</x:v>
      </x:c>
      <x:c r="F144" s="37" t="str">
        <x:v>게임 규칙, 운영 요구사항과 대상 플랫폼 제약을 충족하도록 관심 영역·대역폭 예산·갱신 주기 기능을 구현하고 검증한다.</x:v>
      </x:c>
      <x:c r="G144" s="37" t="str">
        <x:v>6명, 등 메모 최대 수, 모든 미니게임 동작 시 업로드·다운로드 예산을 정의하고 원거리 문구나 불필요한 이벤트를 전송하지 않는다.</x:v>
      </x:c>
      <x:c r="H144" s="37" t="str">
        <x:v>구현, 코드 리뷰, 사양 갱신, 대상 QA 케이스 실행, 로그·텔레메트리 확인과 관련 플랫폼 검증을 완료하고 미해결 P0·P1 결함이 없다.</x:v>
      </x:c>
      <x:c r="I144" s="37" t="str">
        <x:v>알파</x:v>
      </x:c>
      <x:c r="J144" s="37" t="str">
        <x:v>P0</x:v>
      </x:c>
      <x:c r="K144" s="37" t="str">
        <x:v>필수</x:v>
      </x:c>
      <x:c r="L144" s="37" t="str">
        <x:v>성능</x:v>
      </x:c>
      <x:c r="M144" s="37" t="str">
        <x:v>알파</x:v>
      </x:c>
      <x:c r="N144" s="37" t="str">
        <x:v>네트워크 엔지니어링</x:v>
      </x:c>
      <x:c r="O144" s="37" t="str">
        <x:v>미정</x:v>
      </x:c>
      <x:c r="P144" s="37" t="str">
        <x:v>미정</x:v>
      </x:c>
      <x:c r="Q144" s="37" t="str">
        <x:v>전체</x:v>
      </x:c>
      <x:c r="R144" s="37" t="str">
        <x:v>서버 권한</x:v>
      </x:c>
      <x:c r="S144" s="37" t="str">
        <x:v>없음</x:v>
      </x:c>
      <x:c r="T144" s="37" t="str">
        <x:v>L</x:v>
      </x:c>
      <x:c r="U144" s="37" t="str">
        <x:v>미착수</x:v>
      </x:c>
      <x:c r="V144" s="42" t="n">
        <x:f>IF(U144="완료",1,IF(U144="QA 진행 중",0.8,IF(U144="코드 리뷰",0.65,IF(U144="구현 중",0.4,IF(U144="사양 확인 중",0.1,IF(U144="차단",0.4,0))))))</x:f>
        <x:v>0</x:v>
      </x:c>
      <x:c r="W144" s="37" t="str">
        <x:v>미정</x:v>
      </x:c>
      <x:c r="X144" s="40"/>
      <x:c r="Y144" s="37" t="str">
        <x:v>NET-011,NET-014</x:v>
      </x:c>
      <x:c r="Z144" s="37" t="str">
        <x:v>중간</x:v>
      </x:c>
      <x:c r="AA144" s="37" t="str">
        <x:v>성능</x:v>
      </x:c>
      <x:c r="AB144" s="37" t="str">
        <x:v>TC-NET-022-01, TC-NET-022-02</x:v>
      </x:c>
      <x:c r="AC144" s="37"/>
      <x:c r="AD144" s="37" t="str">
        <x:v>게임 기획서</x:v>
      </x:c>
      <x:c r="AE144" s="37"/>
      <x:c r="AF144" s="40" t="str">
        <x:v>2026-07-10</x:v>
      </x:c>
      <x:c r="AG144" s="37"/>
      <x:c r="AH144" s="49"/>
      <x:c r="AI144" s="49"/>
      <x:c r="AJ144" s="48" t="str">
        <x:v>착수 전</x:v>
      </x:c>
    </x:row>
    <x:row r="145" ht="42" customHeight="1">
      <x:c r="A145" s="37" t="str">
        <x:v>NET-023</x:v>
      </x:c>
      <x:c r="B145" s="37" t="str">
        <x:v>네트워크 동기화·보안</x:v>
      </x:c>
      <x:c r="C145" s="37" t="str">
        <x:v>관측성</x:v>
      </x:c>
      <x:c r="D145" s="37" t="str">
        <x:v>지표</x:v>
      </x:c>
      <x:c r="E145" s="37" t="str">
        <x:v>핑·손실·지터·대역폭·재전송 계측</x:v>
      </x:c>
      <x:c r="F145" s="37" t="str">
        <x:v>게임 규칙, 운영 요구사항과 대상 플랫폼 제약을 충족하도록 핑·손실·지터·대역폭·재전송 계측 기능을 구현하고 검증한다.</x:v>
      </x:c>
      <x:c r="G145" s="37" t="str">
        <x:v>세션 단위 네트워크 품질 지표를 수집해 지역, 빌드, 플랫폼별로 집계할 수 있으며 개인 정보는 포함하지 않는다.</x:v>
      </x:c>
      <x:c r="H145" s="37" t="str">
        <x:v>구현, 코드 리뷰, 사양 갱신, 대상 QA 케이스 실행, 로그·텔레메트리 확인과 관련 플랫폼 검증을 완료하고 미해결 P0·P1 결함이 없다.</x:v>
      </x:c>
      <x:c r="I145" s="37" t="str">
        <x:v>알파</x:v>
      </x:c>
      <x:c r="J145" s="37" t="str">
        <x:v>P0</x:v>
      </x:c>
      <x:c r="K145" s="37" t="str">
        <x:v>필수</x:v>
      </x:c>
      <x:c r="L145" s="37" t="str">
        <x:v>운영</x:v>
      </x:c>
      <x:c r="M145" s="37" t="str">
        <x:v>알파</x:v>
      </x:c>
      <x:c r="N145" s="37" t="str">
        <x:v>네트워크 엔지니어링</x:v>
      </x:c>
      <x:c r="O145" s="37" t="str">
        <x:v>미정</x:v>
      </x:c>
      <x:c r="P145" s="37" t="str">
        <x:v>미정</x:v>
      </x:c>
      <x:c r="Q145" s="37" t="str">
        <x:v>전체</x:v>
      </x:c>
      <x:c r="R145" s="37" t="str">
        <x:v>서버 권한</x:v>
      </x:c>
      <x:c r="S145" s="37" t="str">
        <x:v>백엔드</x:v>
      </x:c>
      <x:c r="T145" s="37" t="str">
        <x:v>L</x:v>
      </x:c>
      <x:c r="U145" s="37" t="str">
        <x:v>미착수</x:v>
      </x:c>
      <x:c r="V145" s="42" t="n">
        <x:f>IF(U145="완료",1,IF(U145="QA 진행 중",0.8,IF(U145="코드 리뷰",0.65,IF(U145="구현 중",0.4,IF(U145="사양 확인 중",0.1,IF(U145="차단",0.4,0))))))</x:f>
        <x:v>0</x:v>
      </x:c>
      <x:c r="W145" s="37" t="str">
        <x:v>미정</x:v>
      </x:c>
      <x:c r="X145" s="40"/>
      <x:c r="Y145" s="37" t="str">
        <x:v>BED-008</x:v>
      </x:c>
      <x:c r="Z145" s="37" t="str">
        <x:v>중간</x:v>
      </x:c>
      <x:c r="AA145" s="37" t="str">
        <x:v>운영</x:v>
      </x:c>
      <x:c r="AB145" s="37" t="str">
        <x:v>TC-NET-023-01, TC-NET-023-02</x:v>
      </x:c>
      <x:c r="AC145" s="37"/>
      <x:c r="AD145" s="37" t="str">
        <x:v>게임 기획서</x:v>
      </x:c>
      <x:c r="AE145" s="37"/>
      <x:c r="AF145" s="40" t="str">
        <x:v>2026-07-10</x:v>
      </x:c>
      <x:c r="AG145" s="37"/>
      <x:c r="AH145" s="49"/>
      <x:c r="AI145" s="49"/>
      <x:c r="AJ145" s="48" t="str">
        <x:v>착수 전</x:v>
      </x:c>
    </x:row>
    <x:row r="146" ht="42" customHeight="1">
      <x:c r="A146" s="37" t="str">
        <x:v>NET-024</x:v>
      </x:c>
      <x:c r="B146" s="37" t="str">
        <x:v>네트워크 동기화·보안</x:v>
      </x:c>
      <x:c r="C146" s="37" t="str">
        <x:v>테스트 용이성</x:v>
      </x:c>
      <x:c r="D146" s="37" t="str">
        <x:v>시뮬레이션 프로파일</x:v>
      </x:c>
      <x:c r="E146" s="37" t="str">
        <x:v>네트워크 열화 시험 프로파일</x:v>
      </x:c>
      <x:c r="F146" s="37" t="str">
        <x:v>게임 규칙, 운영 요구사항과 대상 플랫폼 제약을 충족하도록 네트워크 열화 시험 프로파일 기능을 구현하고 검증한다.</x:v>
      </x:c>
      <x:c r="G146" s="37" t="str">
        <x:v>50·100·200·350ms RTT, 0·1·3·5% 손실, 지터, 대역폭 제한, 단시간 단절을 재현하고 CI와 수동 시험에서 선택할 수 있다.</x:v>
      </x:c>
      <x:c r="H146" s="37" t="str">
        <x:v>구현, 코드 리뷰, 사양 갱신, 대상 QA 케이스 실행, 로그·텔레메트리 확인과 관련 플랫폼 검증을 완료하고 미해결 P0·P1 결함이 없다.</x:v>
      </x:c>
      <x:c r="I146" s="37" t="str">
        <x:v>알파</x:v>
      </x:c>
      <x:c r="J146" s="37" t="str">
        <x:v>P0</x:v>
      </x:c>
      <x:c r="K146" s="37" t="str">
        <x:v>필수</x:v>
      </x:c>
      <x:c r="L146" s="37" t="str">
        <x:v>테스트</x:v>
      </x:c>
      <x:c r="M146" s="37" t="str">
        <x:v>알파</x:v>
      </x:c>
      <x:c r="N146" s="37" t="str">
        <x:v>네트워크 엔지니어링</x:v>
      </x:c>
      <x:c r="O146" s="37" t="str">
        <x:v>미정</x:v>
      </x:c>
      <x:c r="P146" s="37" t="str">
        <x:v>미정</x:v>
      </x:c>
      <x:c r="Q146" s="37" t="str">
        <x:v>도구</x:v>
      </x:c>
      <x:c r="R146" s="37" t="str">
        <x:v>해당 없음</x:v>
      </x:c>
      <x:c r="S146" s="37" t="str">
        <x:v>없음</x:v>
      </x:c>
      <x:c r="T146" s="37" t="str">
        <x:v>M</x:v>
      </x:c>
      <x:c r="U146" s="37" t="str">
        <x:v>미착수</x:v>
      </x:c>
      <x:c r="V146" s="42" t="n">
        <x:f>IF(U146="완료",1,IF(U146="QA 진행 중",0.8,IF(U146="코드 리뷰",0.65,IF(U146="구현 중",0.4,IF(U146="사양 확인 중",0.1,IF(U146="차단",0.4,0))))))</x:f>
        <x:v>0</x:v>
      </x:c>
      <x:c r="W146" s="37" t="str">
        <x:v>미정</x:v>
      </x:c>
      <x:c r="X146" s="40"/>
      <x:c r="Y146" s="37" t="str">
        <x:v>NET-003</x:v>
      </x:c>
      <x:c r="Z146" s="37" t="str">
        <x:v>중간</x:v>
      </x:c>
      <x:c r="AA146" s="37" t="str">
        <x:v>네트워크</x:v>
      </x:c>
      <x:c r="AB146" s="37" t="str">
        <x:v>TC-NET-024-01, TC-NET-024-02</x:v>
      </x:c>
      <x:c r="AC146" s="37"/>
      <x:c r="AD146" s="37" t="str">
        <x:v>게임 기획서</x:v>
      </x:c>
      <x:c r="AE146" s="37"/>
      <x:c r="AF146" s="40" t="str">
        <x:v>2026-07-10</x:v>
      </x:c>
      <x:c r="AG146" s="37"/>
      <x:c r="AH146" s="49"/>
      <x:c r="AI146" s="49"/>
      <x:c r="AJ146" s="48" t="str">
        <x:v>착수 전</x:v>
      </x:c>
    </x:row>
    <x:row r="147" ht="42" customHeight="1">
      <x:c r="A147" s="37" t="str">
        <x:v>NET-025</x:v>
      </x:c>
      <x:c r="B147" s="37" t="str">
        <x:v>네트워크 동기화·보안</x:v>
      </x:c>
      <x:c r="C147" s="37" t="str">
        <x:v>오류 처리</x:v>
      </x:c>
      <x:c r="D147" s="37" t="str">
        <x:v>매핑</x:v>
      </x:c>
      <x:c r="E147" s="37" t="str">
        <x:v>네트워크 오류·연결 종료 사유 정규화</x:v>
      </x:c>
      <x:c r="F147" s="37" t="str">
        <x:v>게임 규칙, 운영 요구사항과 대상 플랫폼 제약을 충족하도록 네트워크 오류·연결 종료 사유 정규화 기능을 구현하고 검증한다.</x:v>
      </x:c>
      <x:c r="G147" s="37" t="str">
        <x:v>저수준 SDK 오류를 제품 오류 코드로 변환하고 사용자 표시, 로그, 텔레메트리에서 동일한 상관관계 ID를 사용한다.</x:v>
      </x:c>
      <x:c r="H147" s="37" t="str">
        <x:v>구현, 코드 리뷰, 사양 갱신, 대상 QA 케이스 실행, 로그·텔레메트리 확인과 관련 플랫폼 검증을 완료하고 미해결 P0·P1 결함이 없다.</x:v>
      </x:c>
      <x:c r="I147" s="37" t="str">
        <x:v>알파</x:v>
      </x:c>
      <x:c r="J147" s="37" t="str">
        <x:v>P0</x:v>
      </x:c>
      <x:c r="K147" s="37" t="str">
        <x:v>필수</x:v>
      </x:c>
      <x:c r="L147" s="37" t="str">
        <x:v>운영</x:v>
      </x:c>
      <x:c r="M147" s="37" t="str">
        <x:v>알파</x:v>
      </x:c>
      <x:c r="N147" s="37" t="str">
        <x:v>네트워크 엔지니어링</x:v>
      </x:c>
      <x:c r="O147" s="37" t="str">
        <x:v>미정</x:v>
      </x:c>
      <x:c r="P147" s="37" t="str">
        <x:v>미정</x:v>
      </x:c>
      <x:c r="Q147" s="37" t="str">
        <x:v>전체</x:v>
      </x:c>
      <x:c r="R147" s="37" t="str">
        <x:v>클라이언트 로컬</x:v>
      </x:c>
      <x:c r="S147" s="37" t="str">
        <x:v>감사 로그</x:v>
      </x:c>
      <x:c r="T147" s="37" t="str">
        <x:v>M</x:v>
      </x:c>
      <x:c r="U147" s="37" t="str">
        <x:v>미착수</x:v>
      </x:c>
      <x:c r="V147" s="42" t="n">
        <x:f>IF(U147="완료",1,IF(U147="QA 진행 중",0.8,IF(U147="코드 리뷰",0.65,IF(U147="구현 중",0.4,IF(U147="사양 확인 중",0.1,IF(U147="차단",0.4,0))))))</x:f>
        <x:v>0</x:v>
      </x:c>
      <x:c r="W147" s="37" t="str">
        <x:v>미정</x:v>
      </x:c>
      <x:c r="X147" s="40"/>
      <x:c r="Y147" s="37" t="str">
        <x:v>ONL-020,BED-018</x:v>
      </x:c>
      <x:c r="Z147" s="37" t="str">
        <x:v>중간</x:v>
      </x:c>
      <x:c r="AA147" s="37" t="str">
        <x:v>운영</x:v>
      </x:c>
      <x:c r="AB147" s="37" t="str">
        <x:v>TC-NET-025-01, TC-NET-025-02</x:v>
      </x:c>
      <x:c r="AC147" s="37"/>
      <x:c r="AD147" s="37" t="str">
        <x:v>게임 기획서</x:v>
      </x:c>
      <x:c r="AE147" s="37"/>
      <x:c r="AF147" s="40" t="str">
        <x:v>2026-07-10</x:v>
      </x:c>
      <x:c r="AG147" s="37"/>
      <x:c r="AH147" s="49"/>
      <x:c r="AI147" s="49"/>
      <x:c r="AJ147" s="48" t="str">
        <x:v>착수 전</x:v>
      </x:c>
    </x:row>
    <x:row r="148" ht="42" customHeight="1">
      <x:c r="A148" s="37" t="str">
        <x:v>NET-026</x:v>
      </x:c>
      <x:c r="B148" s="37" t="str">
        <x:v>네트워크 동기화·보안</x:v>
      </x:c>
      <x:c r="C148" s="37" t="str">
        <x:v>보안</x:v>
      </x:c>
      <x:c r="D148" s="37" t="str">
        <x:v>이상 탐지</x:v>
      </x:c>
      <x:c r="E148" s="37" t="str">
        <x:v>비정상 요청·속도·연속 입력 탐지</x:v>
      </x:c>
      <x:c r="F148" s="37" t="str">
        <x:v>게임 규칙, 운영 요구사항과 대상 플랫폼 제약을 충족하도록 비정상 요청·속도·연속 입력 탐지 기능을 구현하고 검증한다.</x:v>
      </x:c>
      <x:c r="G148" s="37" t="str">
        <x:v>거리 밖 부착, 위조 횟수 초과, 보상 연속 요청, 중복 투표, 속도 초과를 탐지하고 단계적으로 거부, 연결 종료, 감사 기록을 수행한다.</x:v>
      </x:c>
      <x:c r="H148" s="37" t="str">
        <x:v>구현, 코드 리뷰, 사양 갱신, 대상 QA 케이스 실행, 로그·텔레메트리 확인과 관련 플랫폼 검증을 완료하고 미해결 P0·P1 결함이 없다.</x:v>
      </x:c>
      <x:c r="I148" s="37" t="str">
        <x:v>알파</x:v>
      </x:c>
      <x:c r="J148" s="37" t="str">
        <x:v>P0</x:v>
      </x:c>
      <x:c r="K148" s="37" t="str">
        <x:v>필수</x:v>
      </x:c>
      <x:c r="L148" s="37" t="str">
        <x:v>보안</x:v>
      </x:c>
      <x:c r="M148" s="37" t="str">
        <x:v>알파</x:v>
      </x:c>
      <x:c r="N148" s="37" t="str">
        <x:v>네트워크 엔지니어링</x:v>
      </x:c>
      <x:c r="O148" s="37" t="str">
        <x:v>미정</x:v>
      </x:c>
      <x:c r="P148" s="37" t="str">
        <x:v>미정</x:v>
      </x:c>
      <x:c r="Q148" s="37" t="str">
        <x:v>서버</x:v>
      </x:c>
      <x:c r="R148" s="37" t="str">
        <x:v>서버 권한</x:v>
      </x:c>
      <x:c r="S148" s="37" t="str">
        <x:v>감사 로그</x:v>
      </x:c>
      <x:c r="T148" s="37" t="str">
        <x:v>XL</x:v>
      </x:c>
      <x:c r="U148" s="37" t="str">
        <x:v>미착수</x:v>
      </x:c>
      <x:c r="V148" s="42" t="n">
        <x:f>IF(U148="완료",1,IF(U148="QA 진행 중",0.8,IF(U148="코드 리뷰",0.65,IF(U148="구현 중",0.4,IF(U148="사양 확인 중",0.1,IF(U148="차단",0.4,0))))))</x:f>
        <x:v>0</x:v>
      </x:c>
      <x:c r="W148" s="37" t="str">
        <x:v>미정</x:v>
      </x:c>
      <x:c r="X148" s="40"/>
      <x:c r="Y148" s="37" t="str">
        <x:v>NET-012,NET-013,NET-015,NET-016</x:v>
      </x:c>
      <x:c r="Z148" s="37" t="str">
        <x:v>중간</x:v>
      </x:c>
      <x:c r="AA148" s="37" t="str">
        <x:v>보안</x:v>
      </x:c>
      <x:c r="AB148" s="37" t="str">
        <x:v>TC-NET-026-01, TC-NET-026-02</x:v>
      </x:c>
      <x:c r="AC148" s="37"/>
      <x:c r="AD148" s="37" t="str">
        <x:v>게임 기획서</x:v>
      </x:c>
      <x:c r="AE148" s="37"/>
      <x:c r="AF148" s="40" t="str">
        <x:v>2026-07-10</x:v>
      </x:c>
      <x:c r="AG148" s="37"/>
      <x:c r="AH148" s="49"/>
      <x:c r="AI148" s="49"/>
      <x:c r="AJ148" s="48" t="str">
        <x:v>착수 전</x:v>
      </x:c>
    </x:row>
    <x:row r="149" ht="42" customHeight="1">
      <x:c r="A149" s="37" t="str">
        <x:v>NET-027</x:v>
      </x:c>
      <x:c r="B149" s="37" t="str">
        <x:v>네트워크 동기화·보안</x:v>
      </x:c>
      <x:c r="C149" s="37" t="str">
        <x:v>보안</x:v>
      </x:c>
      <x:c r="D149" s="37" t="str">
        <x:v>전송</x:v>
      </x:c>
      <x:c r="E149" s="37" t="str">
        <x:v>통신 암호화·토큰 재사용 방지</x:v>
      </x:c>
      <x:c r="F149" s="37" t="str">
        <x:v>게임 규칙, 운영 요구사항과 대상 플랫폼 제약을 충족하도록 통신 암호화·토큰 재사용 방지 기능을 구현하고 검증한다.</x:v>
      </x:c>
      <x:c r="G149" s="37" t="str">
        <x:v>통신 경로를 암호화하고 짧은 수명의 토큰, Nonce, 세션 바인딩으로 재생 공격을 방지한다. 인증서와 키 교체 절차를 정의한다.</x:v>
      </x:c>
      <x:c r="H149" s="37" t="str">
        <x:v>구현, 코드 리뷰, 사양 갱신, 대상 QA 케이스 실행, 로그·텔레메트리 확인과 관련 플랫폼 검증을 완료하고 미해결 P0·P1 결함이 없다.</x:v>
      </x:c>
      <x:c r="I149" s="37" t="str">
        <x:v>출시</x:v>
      </x:c>
      <x:c r="J149" s="37" t="str">
        <x:v>P0</x:v>
      </x:c>
      <x:c r="K149" s="37" t="str">
        <x:v>필수</x:v>
      </x:c>
      <x:c r="L149" s="37" t="str">
        <x:v>보안</x:v>
      </x:c>
      <x:c r="M149" s="37" t="str">
        <x:v>출시</x:v>
      </x:c>
      <x:c r="N149" s="37" t="str">
        <x:v>네트워크 엔지니어링</x:v>
      </x:c>
      <x:c r="O149" s="37" t="str">
        <x:v>미정</x:v>
      </x:c>
      <x:c r="P149" s="37" t="str">
        <x:v>미정</x:v>
      </x:c>
      <x:c r="Q149" s="37" t="str">
        <x:v>전체</x:v>
      </x:c>
      <x:c r="R149" s="37" t="str">
        <x:v>백엔드 권한</x:v>
      </x:c>
      <x:c r="S149" s="37" t="str">
        <x:v>감사 로그</x:v>
      </x:c>
      <x:c r="T149" s="37" t="str">
        <x:v>L</x:v>
      </x:c>
      <x:c r="U149" s="37" t="str">
        <x:v>미착수</x:v>
      </x:c>
      <x:c r="V149" s="42" t="n">
        <x:f>IF(U149="완료",1,IF(U149="QA 진행 중",0.8,IF(U149="코드 리뷰",0.65,IF(U149="구현 중",0.4,IF(U149="사양 확인 중",0.1,IF(U149="차단",0.4,0))))))</x:f>
        <x:v>0</x:v>
      </x:c>
      <x:c r="W149" s="37" t="str">
        <x:v>미정</x:v>
      </x:c>
      <x:c r="X149" s="40"/>
      <x:c r="Y149" s="37" t="str">
        <x:v>NET-004,BED-001</x:v>
      </x:c>
      <x:c r="Z149" s="37" t="str">
        <x:v>중간</x:v>
      </x:c>
      <x:c r="AA149" s="37" t="str">
        <x:v>보안</x:v>
      </x:c>
      <x:c r="AB149" s="37" t="str">
        <x:v>TC-NET-027-01, TC-NET-027-02</x:v>
      </x:c>
      <x:c r="AC149" s="37"/>
      <x:c r="AD149" s="37" t="str">
        <x:v>게임 기획서</x:v>
      </x:c>
      <x:c r="AE149" s="37"/>
      <x:c r="AF149" s="40" t="str">
        <x:v>2026-07-10</x:v>
      </x:c>
      <x:c r="AG149" s="37"/>
      <x:c r="AH149" s="49"/>
      <x:c r="AI149" s="49"/>
      <x:c r="AJ149" s="48" t="str">
        <x:v>착수 전</x:v>
      </x:c>
    </x:row>
    <x:row r="150" ht="42" customHeight="1">
      <x:c r="A150" s="37" t="str">
        <x:v>NET-028</x:v>
      </x:c>
      <x:c r="B150" s="37" t="str">
        <x:v>네트워크 동기화·보안</x:v>
      </x:c>
      <x:c r="C150" s="37" t="str">
        <x:v>개발자 도구</x:v>
      </x:c>
      <x:c r="D150" s="37" t="str">
        <x:v>패킷 디버그</x:v>
      </x:c>
      <x:c r="E150" s="37" t="str">
        <x:v>개발용 패킷 가시화·비공개 정보 마스킹</x:v>
      </x:c>
      <x:c r="F150" s="37" t="str">
        <x:v>게임 규칙, 운영 요구사항과 대상 플랫폼 제약을 충족하도록 개발용 패킷 가시화·비공개 정보 마스킹 기능을 구현하고 검증한다.</x:v>
      </x:c>
      <x:c r="G150" s="37" t="str">
        <x:v>메시지 유형, 크기, 빈도, 순번을 확인할 수 있지만 역할, 실제 작성자, 음성, 개인 정보는 권한과 빌드 유형에 따라 마스킹한다.</x:v>
      </x:c>
      <x:c r="H150" s="37" t="str">
        <x:v>구현, 코드 리뷰, 사양 갱신, 대상 QA 케이스 실행, 로그·텔레메트리 확인과 관련 플랫폼 검증을 완료하고 미해결 P0·P1 결함이 없다.</x:v>
      </x:c>
      <x:c r="I150" s="37" t="str">
        <x:v>알파</x:v>
      </x:c>
      <x:c r="J150" s="37" t="str">
        <x:v>P1</x:v>
      </x:c>
      <x:c r="K150" s="37" t="str">
        <x:v>필수</x:v>
      </x:c>
      <x:c r="L150" s="37" t="str">
        <x:v>개발 효율</x:v>
      </x:c>
      <x:c r="M150" s="37" t="str">
        <x:v>알파</x:v>
      </x:c>
      <x:c r="N150" s="37" t="str">
        <x:v>네트워크 엔지니어링</x:v>
      </x:c>
      <x:c r="O150" s="37" t="str">
        <x:v>미정</x:v>
      </x:c>
      <x:c r="P150" s="37" t="str">
        <x:v>미정</x:v>
      </x:c>
      <x:c r="Q150" s="37" t="str">
        <x:v>도구</x:v>
      </x:c>
      <x:c r="R150" s="37" t="str">
        <x:v>해당 없음</x:v>
      </x:c>
      <x:c r="S150" s="37" t="str">
        <x:v>없음</x:v>
      </x:c>
      <x:c r="T150" s="37" t="str">
        <x:v>L</x:v>
      </x:c>
      <x:c r="U150" s="37" t="str">
        <x:v>미착수</x:v>
      </x:c>
      <x:c r="V150" s="42" t="n">
        <x:f>IF(U150="완료",1,IF(U150="QA 진행 중",0.8,IF(U150="코드 리뷰",0.65,IF(U150="구현 중",0.4,IF(U150="사양 확인 중",0.1,IF(U150="차단",0.4,0))))))</x:f>
        <x:v>0</x:v>
      </x:c>
      <x:c r="W150" s="37" t="str">
        <x:v>미정</x:v>
      </x:c>
      <x:c r="X150" s="40"/>
      <x:c r="Y150" s="37" t="str">
        <x:v>NET-011,NET-018</x:v>
      </x:c>
      <x:c r="Z150" s="37" t="str">
        <x:v>중간</x:v>
      </x:c>
      <x:c r="AA150" s="37" t="str">
        <x:v>보안</x:v>
      </x:c>
      <x:c r="AB150" s="37" t="str">
        <x:v>TC-NET-028-01</x:v>
      </x:c>
      <x:c r="AC150" s="37"/>
      <x:c r="AD150" s="37" t="str">
        <x:v>게임 기획서</x:v>
      </x:c>
      <x:c r="AE150" s="37"/>
      <x:c r="AF150" s="40" t="str">
        <x:v>2026-07-10</x:v>
      </x:c>
      <x:c r="AG150" s="37"/>
      <x:c r="AH150" s="49"/>
      <x:c r="AI150" s="49"/>
      <x:c r="AJ150" s="48" t="str">
        <x:v>착수 전</x:v>
      </x:c>
    </x:row>
    <x:row r="151" ht="42" customHeight="1">
      <x:c r="A151" s="37" t="str">
        <x:v>NET-029</x:v>
      </x:c>
      <x:c r="B151" s="37" t="str">
        <x:v>네트워크 동기화·보안</x:v>
      </x:c>
      <x:c r="C151" s="37" t="str">
        <x:v>성능</x:v>
      </x:c>
      <x:c r="D151" s="37" t="str">
        <x:v>장시간·부하</x:v>
      </x:c>
      <x:c r="E151" s="37" t="str">
        <x:v>다중 세션 부하·장시간 안정성 시험</x:v>
      </x:c>
      <x:c r="F151" s="37" t="str">
        <x:v>게임 규칙, 운영 요구사항과 대상 플랫폼 제약을 충족하도록 다중 세션 부하·장시간 안정성 시험 기능을 구현하고 검증한다.</x:v>
      </x:c>
      <x:c r="G151" s="37" t="str">
        <x:v>목표 동시 접속 수와 24시간 상당 연속 시험에서 메모리 증가, 틱 지연, 연결 종료율, 상태 불일치가 기준 안에 들어온다.</x:v>
      </x:c>
      <x:c r="H151" s="37" t="str">
        <x:v>구현, 코드 리뷰, 사양 갱신, 대상 QA 케이스 실행, 로그·텔레메트리 확인과 관련 플랫폼 검증을 완료하고 미해결 P0·P1 결함이 없다.</x:v>
      </x:c>
      <x:c r="I151" s="37" t="str">
        <x:v>릴리스 후보</x:v>
      </x:c>
      <x:c r="J151" s="37" t="str">
        <x:v>P0</x:v>
      </x:c>
      <x:c r="K151" s="37" t="str">
        <x:v>필수</x:v>
      </x:c>
      <x:c r="L151" s="37" t="str">
        <x:v>성능</x:v>
      </x:c>
      <x:c r="M151" s="37" t="str">
        <x:v>릴리스 후보</x:v>
      </x:c>
      <x:c r="N151" s="37" t="str">
        <x:v>네트워크 엔지니어링</x:v>
      </x:c>
      <x:c r="O151" s="37" t="str">
        <x:v>미정</x:v>
      </x:c>
      <x:c r="P151" s="37" t="str">
        <x:v>미정</x:v>
      </x:c>
      <x:c r="Q151" s="37" t="str">
        <x:v>서버</x:v>
      </x:c>
      <x:c r="R151" s="37" t="str">
        <x:v>해당 없음</x:v>
      </x:c>
      <x:c r="S151" s="37" t="str">
        <x:v>백엔드</x:v>
      </x:c>
      <x:c r="T151" s="37" t="str">
        <x:v>XL</x:v>
      </x:c>
      <x:c r="U151" s="37" t="str">
        <x:v>미착수</x:v>
      </x:c>
      <x:c r="V151" s="42" t="n">
        <x:f>IF(U151="완료",1,IF(U151="QA 진행 중",0.8,IF(U151="코드 리뷰",0.65,IF(U151="구현 중",0.4,IF(U151="사양 확인 중",0.1,IF(U151="차단",0.4,0))))))</x:f>
        <x:v>0</x:v>
      </x:c>
      <x:c r="W151" s="37" t="str">
        <x:v>미정</x:v>
      </x:c>
      <x:c r="X151" s="40"/>
      <x:c r="Y151" s="37" t="str">
        <x:v>NET-022,NET-023,QAR-020</x:v>
      </x:c>
      <x:c r="Z151" s="37" t="str">
        <x:v>중간</x:v>
      </x:c>
      <x:c r="AA151" s="37" t="str">
        <x:v>성능</x:v>
      </x:c>
      <x:c r="AB151" s="37" t="str">
        <x:v>TC-NET-029-01, TC-NET-029-02</x:v>
      </x:c>
      <x:c r="AC151" s="37"/>
      <x:c r="AD151" s="37" t="str">
        <x:v>게임 기획서</x:v>
      </x:c>
      <x:c r="AE151" s="37"/>
      <x:c r="AF151" s="40" t="str">
        <x:v>2026-07-10</x:v>
      </x:c>
      <x:c r="AG151" s="37"/>
      <x:c r="AH151" s="49"/>
      <x:c r="AI151" s="49"/>
      <x:c r="AJ151" s="48" t="str">
        <x:v>착수 전</x:v>
      </x:c>
    </x:row>
    <x:row r="152" ht="42" customHeight="1">
      <x:c r="A152" s="37" t="str">
        <x:v>NET-030</x:v>
      </x:c>
      <x:c r="B152" s="37" t="str">
        <x:v>네트워크 동기화·보안</x:v>
      </x:c>
      <x:c r="C152" s="37" t="str">
        <x:v>호환성</x:v>
      </x:c>
      <x:c r="D152" s="37" t="str">
        <x:v>직렬화</x:v>
      </x:c>
      <x:c r="E152" s="37" t="str">
        <x:v>크로스플랫폼 직렬화·엔디언 검증</x:v>
      </x:c>
      <x:c r="F152" s="37" t="str">
        <x:v>게임 규칙, 운영 요구사항과 대상 플랫폼 제약을 충족하도록 크로스플랫폼 직렬화·엔디언 검증 기능을 구현하고 검증한다.</x:v>
      </x:c>
      <x:c r="G152" s="37" t="str">
        <x:v>지원 플랫폼 간 숫자, 열거형, 문자열, 시각, 선택 필드가 동일하게 해석되고 알 수 없는 필드 추가에도 전방 호환성을 유지한다.</x:v>
      </x:c>
      <x:c r="H152" s="37" t="str">
        <x:v>구현, 코드 리뷰, 사양 갱신, 대상 QA 케이스 실행, 로그·텔레메트리 확인과 관련 플랫폼 검증을 완료하고 미해결 P0·P1 결함이 없다.</x:v>
      </x:c>
      <x:c r="I152" s="37" t="str">
        <x:v>베타</x:v>
      </x:c>
      <x:c r="J152" s="37" t="str">
        <x:v>P0</x:v>
      </x:c>
      <x:c r="K152" s="37" t="str">
        <x:v>필수</x:v>
      </x:c>
      <x:c r="L152" s="37" t="str">
        <x:v>호환성</x:v>
      </x:c>
      <x:c r="M152" s="37" t="str">
        <x:v>베타</x:v>
      </x:c>
      <x:c r="N152" s="37" t="str">
        <x:v>네트워크 엔지니어링</x:v>
      </x:c>
      <x:c r="O152" s="37" t="str">
        <x:v>미정</x:v>
      </x:c>
      <x:c r="P152" s="37" t="str">
        <x:v>미정</x:v>
      </x:c>
      <x:c r="Q152" s="37" t="str">
        <x:v>전체</x:v>
      </x:c>
      <x:c r="R152" s="37" t="str">
        <x:v>해당 없음</x:v>
      </x:c>
      <x:c r="S152" s="37" t="str">
        <x:v>없음</x:v>
      </x:c>
      <x:c r="T152" s="37" t="str">
        <x:v>L</x:v>
      </x:c>
      <x:c r="U152" s="37" t="str">
        <x:v>미착수</x:v>
      </x:c>
      <x:c r="V152" s="42" t="n">
        <x:f>IF(U152="완료",1,IF(U152="QA 진행 중",0.8,IF(U152="코드 리뷰",0.65,IF(U152="구현 중",0.4,IF(U152="사양 확인 중",0.1,IF(U152="차단",0.4,0))))))</x:f>
        <x:v>0</x:v>
      </x:c>
      <x:c r="W152" s="37" t="str">
        <x:v>미정</x:v>
      </x:c>
      <x:c r="X152" s="40"/>
      <x:c r="Y152" s="37" t="str">
        <x:v>NET-002</x:v>
      </x:c>
      <x:c r="Z152" s="37" t="str">
        <x:v>중간</x:v>
      </x:c>
      <x:c r="AA152" s="37" t="str">
        <x:v>호환성</x:v>
      </x:c>
      <x:c r="AB152" s="37" t="str">
        <x:v>TC-NET-030-01, TC-NET-030-02</x:v>
      </x:c>
      <x:c r="AC152" s="37"/>
      <x:c r="AD152" s="37" t="str">
        <x:v>게임 기획서</x:v>
      </x:c>
      <x:c r="AE152" s="37"/>
      <x:c r="AF152" s="40" t="str">
        <x:v>2026-07-10</x:v>
      </x:c>
      <x:c r="AG152" s="37"/>
      <x:c r="AH152" s="49"/>
      <x:c r="AI152" s="49"/>
      <x:c r="AJ152" s="48" t="str">
        <x:v>착수 전</x:v>
      </x:c>
    </x:row>
    <x:row r="153" ht="42" customHeight="1">
      <x:c r="A153" s="37" t="str">
        <x:v>BED-001</x:v>
      </x:c>
      <x:c r="B153" s="37" t="str">
        <x:v>백엔드·데이터·모더레이션</x:v>
      </x:c>
      <x:c r="C153" s="37" t="str">
        <x:v>식별</x:v>
      </x:c>
      <x:c r="D153" s="37" t="str">
        <x:v>인증</x:v>
      </x:c>
      <x:c r="E153" s="37" t="str">
        <x:v>플랫폼 인증·게임 세션 토큰</x:v>
      </x:c>
      <x:c r="F153" s="37" t="str">
        <x:v>게임 규칙, 운영 요구사항과 대상 플랫폼 제약을 충족하도록 플랫폼 인증·게임 세션 토큰 기능을 구현하고 검증한다.</x:v>
      </x:c>
      <x:c r="G153" s="37" t="str">
        <x:v>지원 플랫폼의 인증 결과를 검증하고 짧은 수명의 게임 토큰을 발급한다. 무효, 만료, 차단된 계정은 거부한다.</x:v>
      </x:c>
      <x:c r="H153" s="37" t="str">
        <x:v>구현, 코드 리뷰, 사양 갱신, 대상 QA 케이스 실행, 로그·텔레메트리 확인과 관련 플랫폼 검증을 완료하고 미해결 P0·P1 결함이 없다.</x:v>
      </x:c>
      <x:c r="I153" s="37" t="str">
        <x:v>MVP</x:v>
      </x:c>
      <x:c r="J153" s="37" t="str">
        <x:v>P0</x:v>
      </x:c>
      <x:c r="K153" s="37" t="str">
        <x:v>필수</x:v>
      </x:c>
      <x:c r="L153" s="37" t="str">
        <x:v>인증</x:v>
      </x:c>
      <x:c r="M153" s="37" t="str">
        <x:v>MVP</x:v>
      </x:c>
      <x:c r="N153" s="37" t="str">
        <x:v>백엔드·라이브 운영</x:v>
      </x:c>
      <x:c r="O153" s="37" t="str">
        <x:v>미정</x:v>
      </x:c>
      <x:c r="P153" s="37" t="str">
        <x:v>미정</x:v>
      </x:c>
      <x:c r="Q153" s="37" t="str">
        <x:v>백엔드</x:v>
      </x:c>
      <x:c r="R153" s="37" t="str">
        <x:v>백엔드 권한</x:v>
      </x:c>
      <x:c r="S153" s="37" t="str">
        <x:v>감사 로그</x:v>
      </x:c>
      <x:c r="T153" s="37" t="str">
        <x:v>XL</x:v>
      </x:c>
      <x:c r="U153" s="37" t="str">
        <x:v>미착수</x:v>
      </x:c>
      <x:c r="V153" s="42" t="n">
        <x:f>IF(U153="완료",1,IF(U153="QA 진행 중",0.8,IF(U153="코드 리뷰",0.65,IF(U153="구현 중",0.4,IF(U153="사양 확인 중",0.1,IF(U153="차단",0.4,0))))))</x:f>
        <x:v>0</x:v>
      </x:c>
      <x:c r="W153" s="37" t="str">
        <x:v>미정</x:v>
      </x:c>
      <x:c r="X153" s="40"/>
      <x:c r="Y153" s="37"/>
      <x:c r="Z153" s="37" t="str">
        <x:v>중간</x:v>
      </x:c>
      <x:c r="AA153" s="37" t="str">
        <x:v>보안</x:v>
      </x:c>
      <x:c r="AB153" s="37" t="str">
        <x:v>TC-BED-001-01, TC-BED-001-02</x:v>
      </x:c>
      <x:c r="AC153" s="37"/>
      <x:c r="AD153" s="37" t="str">
        <x:v>게임 기획서</x:v>
      </x:c>
      <x:c r="AE153" s="37"/>
      <x:c r="AF153" s="40" t="str">
        <x:v>2026-07-10</x:v>
      </x:c>
      <x:c r="AG153" s="37"/>
      <x:c r="AH153" s="49"/>
      <x:c r="AI153" s="49"/>
      <x:c r="AJ153" s="48" t="str">
        <x:v>착수 전</x:v>
      </x:c>
    </x:row>
    <x:row r="154" ht="42" customHeight="1">
      <x:c r="A154" s="37" t="str">
        <x:v>BED-002</x:v>
      </x:c>
      <x:c r="B154" s="37" t="str">
        <x:v>백엔드·데이터·모더레이션</x:v>
      </x:c>
      <x:c r="C154" s="37" t="str">
        <x:v>식별</x:v>
      </x:c>
      <x:c r="D154" s="37" t="str">
        <x:v>계정 연동</x:v>
      </x:c>
      <x:c r="E154" s="37" t="str">
        <x:v>내부 플레이어 ID·플랫폼 ID 연동</x:v>
      </x:c>
      <x:c r="F154" s="37" t="str">
        <x:v>게임 규칙, 운영 요구사항과 대상 플랫폼 제약을 충족하도록 내부 플레이어 ID·플랫폼 ID 연동 기능을 구현하고 검증한다.</x:v>
      </x:c>
      <x:c r="G154" s="37" t="str">
        <x:v>내부 ID를 고유하게 발급하고 복수 플랫폼 연동, 표시 이름 변경, 연동 해제, 계정 충돌을 감사 가능한 방식으로 처리한다.</x:v>
      </x:c>
      <x:c r="H154" s="37" t="str">
        <x:v>구현, 코드 리뷰, 사양 갱신, 대상 QA 케이스 실행, 로그·텔레메트리 확인과 관련 플랫폼 검증을 완료하고 미해결 P0·P1 결함이 없다.</x:v>
      </x:c>
      <x:c r="I154" s="37" t="str">
        <x:v>알파</x:v>
      </x:c>
      <x:c r="J154" s="37" t="str">
        <x:v>P0</x:v>
      </x:c>
      <x:c r="K154" s="37" t="str">
        <x:v>필수</x:v>
      </x:c>
      <x:c r="L154" s="37" t="str">
        <x:v>인증</x:v>
      </x:c>
      <x:c r="M154" s="37" t="str">
        <x:v>알파</x:v>
      </x:c>
      <x:c r="N154" s="37" t="str">
        <x:v>백엔드·라이브 운영</x:v>
      </x:c>
      <x:c r="O154" s="37" t="str">
        <x:v>미정</x:v>
      </x:c>
      <x:c r="P154" s="37" t="str">
        <x:v>미정</x:v>
      </x:c>
      <x:c r="Q154" s="37" t="str">
        <x:v>백엔드</x:v>
      </x:c>
      <x:c r="R154" s="37" t="str">
        <x:v>백엔드 권한</x:v>
      </x:c>
      <x:c r="S154" s="37" t="str">
        <x:v>계정</x:v>
      </x:c>
      <x:c r="T154" s="37" t="str">
        <x:v>XL</x:v>
      </x:c>
      <x:c r="U154" s="37" t="str">
        <x:v>미착수</x:v>
      </x:c>
      <x:c r="V154" s="42" t="n">
        <x:f>IF(U154="완료",1,IF(U154="QA 진행 중",0.8,IF(U154="코드 리뷰",0.65,IF(U154="구현 중",0.4,IF(U154="사양 확인 중",0.1,IF(U154="차단",0.4,0))))))</x:f>
        <x:v>0</x:v>
      </x:c>
      <x:c r="W154" s="37" t="str">
        <x:v>미정</x:v>
      </x:c>
      <x:c r="X154" s="40"/>
      <x:c r="Y154" s="37" t="str">
        <x:v>BED-001</x:v>
      </x:c>
      <x:c r="Z154" s="37" t="str">
        <x:v>중간</x:v>
      </x:c>
      <x:c r="AA154" s="37" t="str">
        <x:v>보안</x:v>
      </x:c>
      <x:c r="AB154" s="37" t="str">
        <x:v>TC-BED-002-01, TC-BED-002-02</x:v>
      </x:c>
      <x:c r="AC154" s="37"/>
      <x:c r="AD154" s="37" t="str">
        <x:v>게임 기획서</x:v>
      </x:c>
      <x:c r="AE154" s="37"/>
      <x:c r="AF154" s="40" t="str">
        <x:v>2026-07-10</x:v>
      </x:c>
      <x:c r="AG154" s="37"/>
      <x:c r="AH154" s="49"/>
      <x:c r="AI154" s="49"/>
      <x:c r="AJ154" s="48" t="str">
        <x:v>착수 전</x:v>
      </x:c>
    </x:row>
    <x:row r="155" ht="42" customHeight="1">
      <x:c r="A155" s="37" t="str">
        <x:v>BED-003</x:v>
      </x:c>
      <x:c r="B155" s="37" t="str">
        <x:v>백엔드·데이터·모더레이션</x:v>
      </x:c>
      <x:c r="C155" s="37" t="str">
        <x:v>플레이어 데이터</x:v>
      </x:c>
      <x:c r="D155" s="37" t="str">
        <x:v>프로필·환경설정</x:v>
      </x:c>
      <x:c r="E155" s="37" t="str">
        <x:v>프로필·설정·튜토리얼 상태 저장</x:v>
      </x:c>
      <x:c r="F155" s="37" t="str">
        <x:v>게임 규칙, 운영 요구사항과 대상 플랫폼 제약을 충족하도록 프로필·설정·튜토리얼 상태 저장 기능을 구현하고 검증한다.</x:v>
      </x:c>
      <x:c r="G155" s="37" t="str">
        <x:v>언어, 접근성, 튜토리얼 완료, 기본 프로필을 버전 관리해 저장하고 기기 설정과 계정 설정의 우선순위를 정의한다.</x:v>
      </x:c>
      <x:c r="H155" s="37" t="str">
        <x:v>구현, 코드 리뷰, 사양 갱신, 대상 QA 케이스 실행, 로그·텔레메트리 확인과 관련 플랫폼 검증을 완료하고 미해결 P0·P1 결함이 없다.</x:v>
      </x:c>
      <x:c r="I155" s="37" t="str">
        <x:v>알파</x:v>
      </x:c>
      <x:c r="J155" s="37" t="str">
        <x:v>P1</x:v>
      </x:c>
      <x:c r="K155" s="37" t="str">
        <x:v>필수</x:v>
      </x:c>
      <x:c r="L155" s="37" t="str">
        <x:v>데이터</x:v>
      </x:c>
      <x:c r="M155" s="37" t="str">
        <x:v>알파</x:v>
      </x:c>
      <x:c r="N155" s="37" t="str">
        <x:v>백엔드·라이브 운영</x:v>
      </x:c>
      <x:c r="O155" s="37" t="str">
        <x:v>미정</x:v>
      </x:c>
      <x:c r="P155" s="37" t="str">
        <x:v>미정</x:v>
      </x:c>
      <x:c r="Q155" s="37" t="str">
        <x:v>백엔드</x:v>
      </x:c>
      <x:c r="R155" s="37" t="str">
        <x:v>백엔드 권한</x:v>
      </x:c>
      <x:c r="S155" s="37" t="str">
        <x:v>계정</x:v>
      </x:c>
      <x:c r="T155" s="37" t="str">
        <x:v>L</x:v>
      </x:c>
      <x:c r="U155" s="37" t="str">
        <x:v>미착수</x:v>
      </x:c>
      <x:c r="V155" s="42" t="n">
        <x:f>IF(U155="완료",1,IF(U155="QA 진행 중",0.8,IF(U155="코드 리뷰",0.65,IF(U155="구현 중",0.4,IF(U155="사양 확인 중",0.1,IF(U155="차단",0.4,0))))))</x:f>
        <x:v>0</x:v>
      </x:c>
      <x:c r="W155" s="37" t="str">
        <x:v>미정</x:v>
      </x:c>
      <x:c r="X155" s="40"/>
      <x:c r="Y155" s="37" t="str">
        <x:v>BED-001,SET-002</x:v>
      </x:c>
      <x:c r="Z155" s="37" t="str">
        <x:v>중간</x:v>
      </x:c>
      <x:c r="AA155" s="37" t="str">
        <x:v>호환성</x:v>
      </x:c>
      <x:c r="AB155" s="37" t="str">
        <x:v>TC-BED-003-01</x:v>
      </x:c>
      <x:c r="AC155" s="37"/>
      <x:c r="AD155" s="37" t="str">
        <x:v>게임 기획서</x:v>
      </x:c>
      <x:c r="AE155" s="37"/>
      <x:c r="AF155" s="40" t="str">
        <x:v>2026-07-10</x:v>
      </x:c>
      <x:c r="AG155" s="37"/>
      <x:c r="AH155" s="49"/>
      <x:c r="AI155" s="49"/>
      <x:c r="AJ155" s="48" t="str">
        <x:v>착수 전</x:v>
      </x:c>
    </x:row>
    <x:row r="156" ht="42" customHeight="1">
      <x:c r="A156" s="37" t="str">
        <x:v>BED-004</x:v>
      </x:c>
      <x:c r="B156" s="37" t="str">
        <x:v>백엔드·데이터·모더레이션</x:v>
      </x:c>
      <x:c r="C156" s="37" t="str">
        <x:v>플레이어 데이터</x:v>
      </x:c>
      <x:c r="D156" s="37" t="str">
        <x:v>외형 인벤토리</x:v>
      </x:c>
      <x:c r="E156" s="37" t="str">
        <x:v>외형 아이템 보유·장착 데이터</x:v>
      </x:c>
      <x:c r="F156" s="37" t="str">
        <x:v>게임 규칙, 운영 요구사항과 대상 플랫폼 제약을 충족하도록 외형 아이템 보유·장착 데이터 기능을 구현하고 검증한다.</x:v>
      </x:c>
      <x:c r="G156" s="37" t="str">
        <x:v>아이템 보유, 장착, 획득 경로, 중복 변환, 만료를 서버에서 관리하고 보유하지 않은 아이템의 장착 요청을 거부한다.</x:v>
      </x:c>
      <x:c r="H156" s="37" t="str">
        <x:v>구현, 코드 리뷰, 사양 갱신, 대상 QA 케이스 실행, 로그·텔레메트리 확인과 관련 플랫폼 검증을 완료하고 미해결 P0·P1 결함이 없다.</x:v>
      </x:c>
      <x:c r="I156" s="37" t="str">
        <x:v>출시 후</x:v>
      </x:c>
      <x:c r="J156" s="37" t="str">
        <x:v>P2</x:v>
      </x:c>
      <x:c r="K156" s="37" t="str">
        <x:v>조건부</x:v>
      </x:c>
      <x:c r="L156" s="37" t="str">
        <x:v>커머스</x:v>
      </x:c>
      <x:c r="M156" s="37" t="str">
        <x:v>출시 후</x:v>
      </x:c>
      <x:c r="N156" s="37" t="str">
        <x:v>백엔드·라이브 운영</x:v>
      </x:c>
      <x:c r="O156" s="37" t="str">
        <x:v>미정</x:v>
      </x:c>
      <x:c r="P156" s="37" t="str">
        <x:v>미정</x:v>
      </x:c>
      <x:c r="Q156" s="37" t="str">
        <x:v>백엔드</x:v>
      </x:c>
      <x:c r="R156" s="37" t="str">
        <x:v>백엔드 권한</x:v>
      </x:c>
      <x:c r="S156" s="37" t="str">
        <x:v>계정</x:v>
      </x:c>
      <x:c r="T156" s="37" t="str">
        <x:v>XL</x:v>
      </x:c>
      <x:c r="U156" s="37" t="str">
        <x:v>미착수</x:v>
      </x:c>
      <x:c r="V156" s="42" t="n">
        <x:f>IF(U156="완료",1,IF(U156="QA 진행 중",0.8,IF(U156="코드 리뷰",0.65,IF(U156="구현 중",0.4,IF(U156="사양 확인 중",0.1,IF(U156="차단",0.4,0))))))</x:f>
        <x:v>0</x:v>
      </x:c>
      <x:c r="W156" s="37" t="str">
        <x:v>미정</x:v>
      </x:c>
      <x:c r="X156" s="40"/>
      <x:c r="Y156" s="37" t="str">
        <x:v>CHR-020</x:v>
      </x:c>
      <x:c r="Z156" s="37" t="str">
        <x:v>중간</x:v>
      </x:c>
      <x:c r="AA156" s="37" t="str">
        <x:v>보안</x:v>
      </x:c>
      <x:c r="AB156" s="37" t="str">
        <x:v>TC-BED-004-01</x:v>
      </x:c>
      <x:c r="AC156" s="37"/>
      <x:c r="AD156" s="37" t="str">
        <x:v>게임 기획서</x:v>
      </x:c>
      <x:c r="AE156" s="37"/>
      <x:c r="AF156" s="40" t="str">
        <x:v>2026-07-10</x:v>
      </x:c>
      <x:c r="AG156" s="37"/>
      <x:c r="AH156" s="49"/>
      <x:c r="AI156" s="49"/>
      <x:c r="AJ156" s="48" t="str">
        <x:v>착수 전</x:v>
      </x:c>
    </x:row>
    <x:row r="157" ht="42" customHeight="1">
      <x:c r="A157" s="37" t="str">
        <x:v>BED-005</x:v>
      </x:c>
      <x:c r="B157" s="37" t="str">
        <x:v>백엔드·데이터·모더레이션</x:v>
      </x:c>
      <x:c r="C157" s="37" t="str">
        <x:v>플레이어 데이터</x:v>
      </x:c>
      <x:c r="D157" s="37" t="str">
        <x:v>권리</x:v>
      </x:c>
      <x:c r="E157" s="37" t="str">
        <x:v>제품·DLC·플랫폼 권리 확인</x:v>
      </x:c>
      <x:c r="F157" s="37" t="str">
        <x:v>게임 규칙, 운영 요구사항과 대상 플랫폼 제약을 충족하도록 제품·DLC·플랫폼 권리 확인 기능을 구현하고 검증한다.</x:v>
      </x:c>
      <x:c r="G157" s="37" t="str">
        <x:v>상품 권리를 플랫폼에서 검증하고 캐시 만료, 환불, 오프라인, 복수 기기 사용을 일관되게 처리한다.</x:v>
      </x:c>
      <x:c r="H157" s="37" t="str">
        <x:v>구현, 코드 리뷰, 사양 갱신, 대상 QA 케이스 실행, 로그·텔레메트리 확인과 관련 플랫폼 검증을 완료하고 미해결 P0·P1 결함이 없다.</x:v>
      </x:c>
      <x:c r="I157" s="37" t="str">
        <x:v>출시</x:v>
      </x:c>
      <x:c r="J157" s="37" t="str">
        <x:v>P0</x:v>
      </x:c>
      <x:c r="K157" s="37" t="str">
        <x:v>필수</x:v>
      </x:c>
      <x:c r="L157" s="37" t="str">
        <x:v>커머스</x:v>
      </x:c>
      <x:c r="M157" s="37" t="str">
        <x:v>출시</x:v>
      </x:c>
      <x:c r="N157" s="37" t="str">
        <x:v>백엔드·라이브 운영</x:v>
      </x:c>
      <x:c r="O157" s="37" t="str">
        <x:v>미정</x:v>
      </x:c>
      <x:c r="P157" s="37" t="str">
        <x:v>미정</x:v>
      </x:c>
      <x:c r="Q157" s="37" t="str">
        <x:v>백엔드</x:v>
      </x:c>
      <x:c r="R157" s="37" t="str">
        <x:v>백엔드 권한</x:v>
      </x:c>
      <x:c r="S157" s="37" t="str">
        <x:v>계정</x:v>
      </x:c>
      <x:c r="T157" s="37" t="str">
        <x:v>L</x:v>
      </x:c>
      <x:c r="U157" s="37" t="str">
        <x:v>미착수</x:v>
      </x:c>
      <x:c r="V157" s="42" t="n">
        <x:f>IF(U157="완료",1,IF(U157="QA 진행 중",0.8,IF(U157="코드 리뷰",0.65,IF(U157="구현 중",0.4,IF(U157="사양 확인 중",0.1,IF(U157="차단",0.4,0))))))</x:f>
        <x:v>0</x:v>
      </x:c>
      <x:c r="W157" s="37" t="str">
        <x:v>미정</x:v>
      </x:c>
      <x:c r="X157" s="40"/>
      <x:c r="Y157" s="37" t="str">
        <x:v>BED-001</x:v>
      </x:c>
      <x:c r="Z157" s="37" t="str">
        <x:v>중간</x:v>
      </x:c>
      <x:c r="AA157" s="37" t="str">
        <x:v>보안</x:v>
      </x:c>
      <x:c r="AB157" s="37" t="str">
        <x:v>TC-BED-005-01, TC-BED-005-02</x:v>
      </x:c>
      <x:c r="AC157" s="37"/>
      <x:c r="AD157" s="37" t="str">
        <x:v>게임 기획서</x:v>
      </x:c>
      <x:c r="AE157" s="37"/>
      <x:c r="AF157" s="40" t="str">
        <x:v>2026-07-10</x:v>
      </x:c>
      <x:c r="AG157" s="37"/>
      <x:c r="AH157" s="49"/>
      <x:c r="AI157" s="49"/>
      <x:c r="AJ157" s="48" t="str">
        <x:v>착수 전</x:v>
      </x:c>
    </x:row>
    <x:row r="158" ht="42" customHeight="1">
      <x:c r="A158" s="37" t="str">
        <x:v>BED-006</x:v>
      </x:c>
      <x:c r="B158" s="37" t="str">
        <x:v>백엔드·데이터·모더레이션</x:v>
      </x:c>
      <x:c r="C158" s="37" t="str">
        <x:v>매치 데이터</x:v>
      </x:c>
      <x:c r="D158" s="37" t="str">
        <x:v>매치 기록</x:v>
      </x:c>
      <x:c r="E158" s="37" t="str">
        <x:v>매치 결과·역할·투표 이력 저장</x:v>
      </x:c>
      <x:c r="F158" s="37" t="str">
        <x:v>게임 규칙, 운영 요구사항과 대상 플랫폼 제약을 충족하도록 매치 결과·역할·투표 이력 저장 기능을 구현하고 검증한다.</x:v>
      </x:c>
      <x:c r="G158" s="37" t="str">
        <x:v>매치 ID, 참가자, 버전, 역할, 승패, 일차, 투표, 종료 사유를 저장하고 공개용 데이터와 내부 운영 데이터를 분리한다.</x:v>
      </x:c>
      <x:c r="H158" s="37" t="str">
        <x:v>구현, 코드 리뷰, 사양 갱신, 대상 QA 케이스 실행, 로그·텔레메트리 확인과 관련 플랫폼 검증을 완료하고 미해결 P0·P1 결함이 없다.</x:v>
      </x:c>
      <x:c r="I158" s="37" t="str">
        <x:v>MVP</x:v>
      </x:c>
      <x:c r="J158" s="37" t="str">
        <x:v>P0</x:v>
      </x:c>
      <x:c r="K158" s="37" t="str">
        <x:v>필수</x:v>
      </x:c>
      <x:c r="L158" s="37" t="str">
        <x:v>데이터 무결성</x:v>
      </x:c>
      <x:c r="M158" s="37" t="str">
        <x:v>MVP</x:v>
      </x:c>
      <x:c r="N158" s="37" t="str">
        <x:v>백엔드·라이브 운영</x:v>
      </x:c>
      <x:c r="O158" s="37" t="str">
        <x:v>미정</x:v>
      </x:c>
      <x:c r="P158" s="37" t="str">
        <x:v>미정</x:v>
      </x:c>
      <x:c r="Q158" s="37" t="str">
        <x:v>백엔드</x:v>
      </x:c>
      <x:c r="R158" s="37" t="str">
        <x:v>백엔드 권한</x:v>
      </x:c>
      <x:c r="S158" s="37" t="str">
        <x:v>백엔드</x:v>
      </x:c>
      <x:c r="T158" s="37" t="str">
        <x:v>L</x:v>
      </x:c>
      <x:c r="U158" s="37" t="str">
        <x:v>미착수</x:v>
      </x:c>
      <x:c r="V158" s="42" t="n">
        <x:f>IF(U158="완료",1,IF(U158="QA 진행 중",0.8,IF(U158="코드 리뷰",0.65,IF(U158="구현 중",0.4,IF(U158="사양 확인 중",0.1,IF(U158="차단",0.4,0))))))</x:f>
        <x:v>0</x:v>
      </x:c>
      <x:c r="W158" s="37" t="str">
        <x:v>미정</x:v>
      </x:c>
      <x:c r="X158" s="40"/>
      <x:c r="Y158" s="37" t="str">
        <x:v>IGM-026,IGM-027,IGM-031,NET-018</x:v>
      </x:c>
      <x:c r="Z158" s="37" t="str">
        <x:v>중간</x:v>
      </x:c>
      <x:c r="AA158" s="37" t="str">
        <x:v>통합</x:v>
      </x:c>
      <x:c r="AB158" s="37" t="str">
        <x:v>TC-BED-006-01, TC-BED-006-02</x:v>
      </x:c>
      <x:c r="AC158" s="37"/>
      <x:c r="AD158" s="37" t="str">
        <x:v>게임 기획서</x:v>
      </x:c>
      <x:c r="AE158" s="37"/>
      <x:c r="AF158" s="40" t="str">
        <x:v>2026-07-10</x:v>
      </x:c>
      <x:c r="AG158" s="37"/>
      <x:c r="AH158" s="49"/>
      <x:c r="AI158" s="49"/>
      <x:c r="AJ158" s="48" t="str">
        <x:v>착수 전</x:v>
      </x:c>
    </x:row>
    <x:row r="159" ht="42" customHeight="1">
      <x:c r="A159" s="37" t="str">
        <x:v>BED-007</x:v>
      </x:c>
      <x:c r="B159" s="37" t="str">
        <x:v>백엔드·데이터·모더레이션</x:v>
      </x:c>
      <x:c r="C159" s="37" t="str">
        <x:v>매치 데이터</x:v>
      </x:c>
      <x:c r="D159" s="37" t="str">
        <x:v>보상 트랜잭션</x:v>
      </x:c>
      <x:c r="E159" s="37" t="str">
        <x:v>보상·진행도 멱등 트랜잭션</x:v>
      </x:c>
      <x:c r="F159" s="37" t="str">
        <x:v>게임 규칙, 운영 요구사항과 대상 플랫폼 제약을 충족하도록 보상·진행도 멱등 트랜잭션 기능을 구현하고 검증한다.</x:v>
      </x:c>
      <x:c r="G159" s="37" t="str">
        <x:v>매치 ID와 플레이어 ID를 멱등 키로 사용해 보상을 한 번만 지급하고 실패 시 안전하게 재전송할 수 있는 상태를 유지한다.</x:v>
      </x:c>
      <x:c r="H159" s="37" t="str">
        <x:v>구현, 코드 리뷰, 사양 갱신, 대상 QA 케이스 실행, 로그·텔레메트리 확인과 관련 플랫폼 검증을 완료하고 미해결 P0·P1 결함이 없다.</x:v>
      </x:c>
      <x:c r="I159" s="37" t="str">
        <x:v>출시 후</x:v>
      </x:c>
      <x:c r="J159" s="37" t="str">
        <x:v>P1</x:v>
      </x:c>
      <x:c r="K159" s="37" t="str">
        <x:v>조건부</x:v>
      </x:c>
      <x:c r="L159" s="37" t="str">
        <x:v>데이터 무결성</x:v>
      </x:c>
      <x:c r="M159" s="37" t="str">
        <x:v>출시 후</x:v>
      </x:c>
      <x:c r="N159" s="37" t="str">
        <x:v>백엔드·라이브 운영</x:v>
      </x:c>
      <x:c r="O159" s="37" t="str">
        <x:v>미정</x:v>
      </x:c>
      <x:c r="P159" s="37" t="str">
        <x:v>미정</x:v>
      </x:c>
      <x:c r="Q159" s="37" t="str">
        <x:v>백엔드</x:v>
      </x:c>
      <x:c r="R159" s="37" t="str">
        <x:v>백엔드 권한</x:v>
      </x:c>
      <x:c r="S159" s="37" t="str">
        <x:v>계정</x:v>
      </x:c>
      <x:c r="T159" s="37" t="str">
        <x:v>L</x:v>
      </x:c>
      <x:c r="U159" s="37" t="str">
        <x:v>미착수</x:v>
      </x:c>
      <x:c r="V159" s="42" t="n">
        <x:f>IF(U159="완료",1,IF(U159="QA 진행 중",0.8,IF(U159="코드 리뷰",0.65,IF(U159="구현 중",0.4,IF(U159="사양 확인 중",0.1,IF(U159="차단",0.4,0))))))</x:f>
        <x:v>0</x:v>
      </x:c>
      <x:c r="W159" s="37" t="str">
        <x:v>미정</x:v>
      </x:c>
      <x:c r="X159" s="40"/>
      <x:c r="Y159" s="37" t="str">
        <x:v>BED-006,BED-004</x:v>
      </x:c>
      <x:c r="Z159" s="37" t="str">
        <x:v>중간</x:v>
      </x:c>
      <x:c r="AA159" s="37" t="str">
        <x:v>보안</x:v>
      </x:c>
      <x:c r="AB159" s="37" t="str">
        <x:v>TC-BED-007-01</x:v>
      </x:c>
      <x:c r="AC159" s="37"/>
      <x:c r="AD159" s="37" t="str">
        <x:v>게임 기획서</x:v>
      </x:c>
      <x:c r="AE159" s="37"/>
      <x:c r="AF159" s="40" t="str">
        <x:v>2026-07-10</x:v>
      </x:c>
      <x:c r="AG159" s="37"/>
      <x:c r="AH159" s="49"/>
      <x:c r="AI159" s="49"/>
      <x:c r="AJ159" s="48" t="str">
        <x:v>착수 전</x:v>
      </x:c>
    </x:row>
    <x:row r="160" ht="42" customHeight="1">
      <x:c r="A160" s="37" t="str">
        <x:v>BED-008</x:v>
      </x:c>
      <x:c r="B160" s="37" t="str">
        <x:v>백엔드·데이터·모더레이션</x:v>
      </x:c>
      <x:c r="C160" s="37" t="str">
        <x:v>텔레메트리</x:v>
      </x:c>
      <x:c r="D160" s="37" t="str">
        <x:v>게임플레이 이벤트</x:v>
      </x:c>
      <x:c r="E160" s="37" t="str">
        <x:v>게임플레이·UX·네트워크 이벤트 수집</x:v>
      </x:c>
      <x:c r="F160" s="37" t="str">
        <x:v>게임 규칙, 운영 요구사항과 대상 플랫폼 제약을 충족하도록 게임플레이·UX·네트워크 이벤트 수집 기능을 구현하고 검증한다.</x:v>
      </x:c>
      <x:c r="G160" s="37" t="str">
        <x:v>페이즈, 메모 작성·부착, 투표, 최종 재판, 이탈, 연결 품질을 버전 있는 이벤트로 수집하고 비공개 정보와 개인 정보는 최소화한다.</x:v>
      </x:c>
      <x:c r="H160" s="37" t="str">
        <x:v>구현, 코드 리뷰, 사양 갱신, 대상 QA 케이스 실행, 로그·텔레메트리 확인과 관련 플랫폼 검증을 완료하고 미해결 P0·P1 결함이 없다.</x:v>
      </x:c>
      <x:c r="I160" s="37" t="str">
        <x:v>알파</x:v>
      </x:c>
      <x:c r="J160" s="37" t="str">
        <x:v>P0</x:v>
      </x:c>
      <x:c r="K160" s="37" t="str">
        <x:v>필수</x:v>
      </x:c>
      <x:c r="L160" s="37" t="str">
        <x:v>분석</x:v>
      </x:c>
      <x:c r="M160" s="37" t="str">
        <x:v>알파</x:v>
      </x:c>
      <x:c r="N160" s="37" t="str">
        <x:v>백엔드·라이브 운영</x:v>
      </x:c>
      <x:c r="O160" s="37" t="str">
        <x:v>미정</x:v>
      </x:c>
      <x:c r="P160" s="37" t="str">
        <x:v>미정</x:v>
      </x:c>
      <x:c r="Q160" s="37" t="str">
        <x:v>백엔드</x:v>
      </x:c>
      <x:c r="R160" s="37" t="str">
        <x:v>백엔드 권한</x:v>
      </x:c>
      <x:c r="S160" s="37" t="str">
        <x:v>백엔드</x:v>
      </x:c>
      <x:c r="T160" s="37" t="str">
        <x:v>XL</x:v>
      </x:c>
      <x:c r="U160" s="37" t="str">
        <x:v>미착수</x:v>
      </x:c>
      <x:c r="V160" s="42" t="n">
        <x:f>IF(U160="완료",1,IF(U160="QA 진행 중",0.8,IF(U160="코드 리뷰",0.65,IF(U160="구현 중",0.4,IF(U160="사양 확인 중",0.1,IF(U160="차단",0.4,0))))))</x:f>
        <x:v>0</x:v>
      </x:c>
      <x:c r="W160" s="37" t="str">
        <x:v>미정</x:v>
      </x:c>
      <x:c r="X160" s="40"/>
      <x:c r="Y160" s="37" t="str">
        <x:v>NET-023,IGM-001</x:v>
      </x:c>
      <x:c r="Z160" s="37" t="str">
        <x:v>중간</x:v>
      </x:c>
      <x:c r="AA160" s="37" t="str">
        <x:v>운영</x:v>
      </x:c>
      <x:c r="AB160" s="37" t="str">
        <x:v>TC-BED-008-01, TC-BED-008-02</x:v>
      </x:c>
      <x:c r="AC160" s="37"/>
      <x:c r="AD160" s="37" t="str">
        <x:v>게임 기획서</x:v>
      </x:c>
      <x:c r="AE160" s="37"/>
      <x:c r="AF160" s="40" t="str">
        <x:v>2026-07-10</x:v>
      </x:c>
      <x:c r="AG160" s="37"/>
      <x:c r="AH160" s="49"/>
      <x:c r="AI160" s="49"/>
      <x:c r="AJ160" s="48" t="str">
        <x:v>착수 전</x:v>
      </x:c>
    </x:row>
    <x:row r="161" ht="42" customHeight="1">
      <x:c r="A161" s="37" t="str">
        <x:v>BED-009</x:v>
      </x:c>
      <x:c r="B161" s="37" t="str">
        <x:v>백엔드·데이터·모더레이션</x:v>
      </x:c>
      <x:c r="C161" s="37" t="str">
        <x:v>안전</x:v>
      </x:c>
      <x:c r="D161" s="37" t="str">
        <x:v>신고·음소거·차단</x:v>
      </x:c>
      <x:c r="E161" s="37" t="str">
        <x:v>신고·음소거·차단 기반</x:v>
      </x:c>
      <x:c r="F161" s="37" t="str">
        <x:v>게임 규칙, 운영 요구사항과 대상 플랫폼 제약을 충족하도록 신고·음소거·차단 기반 기능을 구현하고 검증한다.</x:v>
      </x:c>
      <x:c r="G161" s="37" t="str">
        <x:v>매치 중 또는 종료 후 플레이어를 신고하고 로컬 음소거와 계정 차단을 적용할 수 있으며 대상 매치 ID와 사유 코드를 저장한다.</x:v>
      </x:c>
      <x:c r="H161" s="37" t="str">
        <x:v>구현, 코드 리뷰, 사양 갱신, 대상 QA 케이스 실행, 로그·텔레메트리 확인과 관련 플랫폼 검증을 완료하고 미해결 P0·P1 결함이 없다.</x:v>
      </x:c>
      <x:c r="I161" s="37" t="str">
        <x:v>베타</x:v>
      </x:c>
      <x:c r="J161" s="37" t="str">
        <x:v>P0</x:v>
      </x:c>
      <x:c r="K161" s="37" t="str">
        <x:v>필수</x:v>
      </x:c>
      <x:c r="L161" s="37" t="str">
        <x:v>안전</x:v>
      </x:c>
      <x:c r="M161" s="37" t="str">
        <x:v>베타</x:v>
      </x:c>
      <x:c r="N161" s="37" t="str">
        <x:v>백엔드·라이브 운영</x:v>
      </x:c>
      <x:c r="O161" s="37" t="str">
        <x:v>미정</x:v>
      </x:c>
      <x:c r="P161" s="37" t="str">
        <x:v>미정</x:v>
      </x:c>
      <x:c r="Q161" s="37" t="str">
        <x:v>백엔드</x:v>
      </x:c>
      <x:c r="R161" s="37" t="str">
        <x:v>백엔드 권한</x:v>
      </x:c>
      <x:c r="S161" s="37" t="str">
        <x:v>감사 로그</x:v>
      </x:c>
      <x:c r="T161" s="37" t="str">
        <x:v>XL</x:v>
      </x:c>
      <x:c r="U161" s="37" t="str">
        <x:v>미착수</x:v>
      </x:c>
      <x:c r="V161" s="42" t="n">
        <x:f>IF(U161="완료",1,IF(U161="QA 진행 중",0.8,IF(U161="코드 리뷰",0.65,IF(U161="구현 중",0.4,IF(U161="사양 확인 중",0.1,IF(U161="차단",0.4,0))))))</x:f>
        <x:v>0</x:v>
      </x:c>
      <x:c r="W161" s="37" t="str">
        <x:v>미정</x:v>
      </x:c>
      <x:c r="X161" s="40"/>
      <x:c r="Y161" s="37" t="str">
        <x:v>BED-002,AUD-011,UIX-024</x:v>
      </x:c>
      <x:c r="Z161" s="37" t="str">
        <x:v>중간</x:v>
      </x:c>
      <x:c r="AA161" s="37" t="str">
        <x:v>운영</x:v>
      </x:c>
      <x:c r="AB161" s="37" t="str">
        <x:v>TC-BED-009-01, TC-BED-009-02</x:v>
      </x:c>
      <x:c r="AC161" s="37"/>
      <x:c r="AD161" s="37" t="str">
        <x:v>게임 기획서</x:v>
      </x:c>
      <x:c r="AE161" s="37"/>
      <x:c r="AF161" s="40" t="str">
        <x:v>2026-07-10</x:v>
      </x:c>
      <x:c r="AG161" s="37"/>
      <x:c r="AH161" s="49"/>
      <x:c r="AI161" s="49"/>
      <x:c r="AJ161" s="48" t="str">
        <x:v>착수 전</x:v>
      </x:c>
    </x:row>
    <x:row r="162" ht="42" customHeight="1">
      <x:c r="A162" s="37" t="str">
        <x:v>BED-010</x:v>
      </x:c>
      <x:c r="B162" s="37" t="str">
        <x:v>백엔드·데이터·모더레이션</x:v>
      </x:c>
      <x:c r="C162" s="37" t="str">
        <x:v>안전</x:v>
      </x:c>
      <x:c r="D162" s="37" t="str">
        <x:v>텍스트 모더레이션</x:v>
      </x:c>
      <x:c r="E162" s="37" t="str">
        <x:v>자유 텍스트·표시 이름 모더레이션</x:v>
      </x:c>
      <x:c r="F162" s="37" t="str">
        <x:v>게임 규칙, 운영 요구사항과 대상 플랫폼 제약을 충족하도록 자유 텍스트·표시 이름 모더레이션 기능을 구현하고 검증한다.</x:v>
      </x:c>
      <x:c r="G162" s="37" t="str">
        <x:v>표시 이름과 향후 자유 입력을 금칙어, 개인 정보, 스팸, 지역 요건으로 검사하되 MVP 프리셋 문구에는 불필요한 오탐을 적용하지 않는다.</x:v>
      </x:c>
      <x:c r="H162" s="37" t="str">
        <x:v>구현, 코드 리뷰, 사양 갱신, 대상 QA 케이스 실행, 로그·텔레메트리 확인과 관련 플랫폼 검증을 완료하고 미해결 P0·P1 결함이 없다.</x:v>
      </x:c>
      <x:c r="I162" s="37" t="str">
        <x:v>출시</x:v>
      </x:c>
      <x:c r="J162" s="37" t="str">
        <x:v>P0</x:v>
      </x:c>
      <x:c r="K162" s="37" t="str">
        <x:v>필수</x:v>
      </x:c>
      <x:c r="L162" s="37" t="str">
        <x:v>안전</x:v>
      </x:c>
      <x:c r="M162" s="37" t="str">
        <x:v>출시</x:v>
      </x:c>
      <x:c r="N162" s="37" t="str">
        <x:v>백엔드·라이브 운영</x:v>
      </x:c>
      <x:c r="O162" s="37" t="str">
        <x:v>미정</x:v>
      </x:c>
      <x:c r="P162" s="37" t="str">
        <x:v>미정</x:v>
      </x:c>
      <x:c r="Q162" s="37" t="str">
        <x:v>백엔드</x:v>
      </x:c>
      <x:c r="R162" s="37" t="str">
        <x:v>백엔드 권한</x:v>
      </x:c>
      <x:c r="S162" s="37" t="str">
        <x:v>감사 로그</x:v>
      </x:c>
      <x:c r="T162" s="37" t="str">
        <x:v>L</x:v>
      </x:c>
      <x:c r="U162" s="37" t="str">
        <x:v>미착수</x:v>
      </x:c>
      <x:c r="V162" s="42" t="n">
        <x:f>IF(U162="완료",1,IF(U162="QA 진행 중",0.8,IF(U162="코드 리뷰",0.65,IF(U162="구현 중",0.4,IF(U162="사양 확인 중",0.1,IF(U162="차단",0.4,0))))))</x:f>
        <x:v>0</x:v>
      </x:c>
      <x:c r="W162" s="37" t="str">
        <x:v>미정</x:v>
      </x:c>
      <x:c r="X162" s="40"/>
      <x:c r="Y162" s="37" t="str">
        <x:v>BED-009,SET-016</x:v>
      </x:c>
      <x:c r="Z162" s="37" t="str">
        <x:v>중간</x:v>
      </x:c>
      <x:c r="AA162" s="37" t="str">
        <x:v>보안</x:v>
      </x:c>
      <x:c r="AB162" s="37" t="str">
        <x:v>TC-BED-010-01, TC-BED-010-02</x:v>
      </x:c>
      <x:c r="AC162" s="37"/>
      <x:c r="AD162" s="37" t="str">
        <x:v>게임 기획서</x:v>
      </x:c>
      <x:c r="AE162" s="37"/>
      <x:c r="AF162" s="40" t="str">
        <x:v>2026-07-10</x:v>
      </x:c>
      <x:c r="AG162" s="37"/>
      <x:c r="AH162" s="49"/>
      <x:c r="AI162" s="49"/>
      <x:c r="AJ162" s="48" t="str">
        <x:v>착수 전</x:v>
      </x:c>
    </x:row>
    <x:row r="163" ht="42" customHeight="1">
      <x:c r="A163" s="37" t="str">
        <x:v>BED-011</x:v>
      </x:c>
      <x:c r="B163" s="37" t="str">
        <x:v>백엔드·데이터·모더레이션</x:v>
      </x:c>
      <x:c r="C163" s="37" t="str">
        <x:v>안전</x:v>
      </x:c>
      <x:c r="D163" s="37" t="str">
        <x:v>음성 증거</x:v>
      </x:c>
      <x:c r="E163" s="37" t="str">
        <x:v>음성 신고 메타데이터·증거 정책</x:v>
      </x:c>
      <x:c r="F163" s="37" t="str">
        <x:v>게임 규칙, 운영 요구사항과 대상 플랫폼 제약을 충족하도록 음성 신고 메타데이터·증거 정책 기능을 구현하고 검증한다.</x:v>
      </x:c>
      <x:c r="G163" s="37" t="str">
        <x:v>음성 녹음 여부, 사용자 동의, 보관 기간, 암호화, 접근 권한, 삭제 정책을 법무 승인하고 녹음하지 않더라도 세션 메타데이터를 신고와 연결한다.</x:v>
      </x:c>
      <x:c r="H163" s="37" t="str">
        <x:v>구현, 코드 리뷰, 사양 갱신, 대상 QA 케이스 실행, 로그·텔레메트리 확인과 관련 플랫폼 검증을 완료하고 미해결 P0·P1 결함이 없다.</x:v>
      </x:c>
      <x:c r="I163" s="37" t="str">
        <x:v>출시</x:v>
      </x:c>
      <x:c r="J163" s="37" t="str">
        <x:v>P0</x:v>
      </x:c>
      <x:c r="K163" s="37" t="str">
        <x:v>필수</x:v>
      </x:c>
      <x:c r="L163" s="37" t="str">
        <x:v>개인정보</x:v>
      </x:c>
      <x:c r="M163" s="37" t="str">
        <x:v>출시</x:v>
      </x:c>
      <x:c r="N163" s="37" t="str">
        <x:v>백엔드·라이브 운영</x:v>
      </x:c>
      <x:c r="O163" s="37" t="str">
        <x:v>미정</x:v>
      </x:c>
      <x:c r="P163" s="37" t="str">
        <x:v>미정</x:v>
      </x:c>
      <x:c r="Q163" s="37" t="str">
        <x:v>백엔드</x:v>
      </x:c>
      <x:c r="R163" s="37" t="str">
        <x:v>백엔드 권한</x:v>
      </x:c>
      <x:c r="S163" s="37" t="str">
        <x:v>감사 로그</x:v>
      </x:c>
      <x:c r="T163" s="37" t="str">
        <x:v>XL</x:v>
      </x:c>
      <x:c r="U163" s="37" t="str">
        <x:v>미착수</x:v>
      </x:c>
      <x:c r="V163" s="42" t="n">
        <x:f>IF(U163="완료",1,IF(U163="QA 진행 중",0.8,IF(U163="코드 리뷰",0.65,IF(U163="구현 중",0.4,IF(U163="사양 확인 중",0.1,IF(U163="차단",0.4,0))))))</x:f>
        <x:v>0</x:v>
      </x:c>
      <x:c r="W163" s="37" t="str">
        <x:v>미정</x:v>
      </x:c>
      <x:c r="X163" s="40"/>
      <x:c r="Y163" s="37" t="str">
        <x:v>BED-009,BED-012,AUD-012</x:v>
      </x:c>
      <x:c r="Z163" s="37" t="str">
        <x:v>중간</x:v>
      </x:c>
      <x:c r="AA163" s="37" t="str">
        <x:v>운영</x:v>
      </x:c>
      <x:c r="AB163" s="37" t="str">
        <x:v>TC-BED-011-01, TC-BED-011-02</x:v>
      </x:c>
      <x:c r="AC163" s="37"/>
      <x:c r="AD163" s="37" t="str">
        <x:v>게임 기획서</x:v>
      </x:c>
      <x:c r="AE163" s="37"/>
      <x:c r="AF163" s="40" t="str">
        <x:v>2026-07-10</x:v>
      </x:c>
      <x:c r="AG163" s="37" t="str">
        <x:v>지역별 법무 검토가 필수다.</x:v>
      </x:c>
      <x:c r="AH163" s="49"/>
      <x:c r="AI163" s="49"/>
      <x:c r="AJ163" s="48" t="str">
        <x:v>착수 전</x:v>
      </x:c>
    </x:row>
    <x:row r="164" ht="42" customHeight="1">
      <x:c r="A164" s="37" t="str">
        <x:v>BED-012</x:v>
      </x:c>
      <x:c r="B164" s="37" t="str">
        <x:v>백엔드·데이터·모더레이션</x:v>
      </x:c>
      <x:c r="C164" s="37" t="str">
        <x:v>개인정보</x:v>
      </x:c>
      <x:c r="D164" s="37" t="str">
        <x:v>동의</x:v>
      </x:c>
      <x:c r="E164" s="37" t="str">
        <x:v>음성·텔레메트리·개인정보 동의 관리</x:v>
      </x:c>
      <x:c r="F164" s="37" t="str">
        <x:v>게임 규칙, 운영 요구사항과 대상 플랫폼 제약을 충족하도록 음성·텔레메트리·개인정보 동의 관리 기능을 구현하고 검증한다.</x:v>
      </x:c>
      <x:c r="G164" s="37" t="str">
        <x:v>동의 문구 버전, 지역, 시각, 철회 상태를 기록하고 동의 전에는 관련 기능을 시작하지 않는다. 문구가 변경되면 재동의를 요청할 수 있다.</x:v>
      </x:c>
      <x:c r="H164" s="37" t="str">
        <x:v>구현, 코드 리뷰, 사양 갱신, 대상 QA 케이스 실행, 로그·텔레메트리 확인과 관련 플랫폼 검증을 완료하고 미해결 P0·P1 결함이 없다.</x:v>
      </x:c>
      <x:c r="I164" s="37" t="str">
        <x:v>출시</x:v>
      </x:c>
      <x:c r="J164" s="37" t="str">
        <x:v>P0</x:v>
      </x:c>
      <x:c r="K164" s="37" t="str">
        <x:v>필수</x:v>
      </x:c>
      <x:c r="L164" s="37" t="str">
        <x:v>개인정보</x:v>
      </x:c>
      <x:c r="M164" s="37" t="str">
        <x:v>출시</x:v>
      </x:c>
      <x:c r="N164" s="37" t="str">
        <x:v>백엔드·라이브 운영</x:v>
      </x:c>
      <x:c r="O164" s="37" t="str">
        <x:v>미정</x:v>
      </x:c>
      <x:c r="P164" s="37" t="str">
        <x:v>미정</x:v>
      </x:c>
      <x:c r="Q164" s="37" t="str">
        <x:v>백엔드</x:v>
      </x:c>
      <x:c r="R164" s="37" t="str">
        <x:v>백엔드 권한</x:v>
      </x:c>
      <x:c r="S164" s="37" t="str">
        <x:v>감사 로그</x:v>
      </x:c>
      <x:c r="T164" s="37" t="str">
        <x:v>L</x:v>
      </x:c>
      <x:c r="U164" s="37" t="str">
        <x:v>미착수</x:v>
      </x:c>
      <x:c r="V164" s="42" t="n">
        <x:f>IF(U164="완료",1,IF(U164="QA 진행 중",0.8,IF(U164="코드 리뷰",0.65,IF(U164="구현 중",0.4,IF(U164="사양 확인 중",0.1,IF(U164="차단",0.4,0))))))</x:f>
        <x:v>0</x:v>
      </x:c>
      <x:c r="W164" s="37" t="str">
        <x:v>미정</x:v>
      </x:c>
      <x:c r="X164" s="40"/>
      <x:c r="Y164" s="37" t="str">
        <x:v>BED-001</x:v>
      </x:c>
      <x:c r="Z164" s="37" t="str">
        <x:v>중간</x:v>
      </x:c>
      <x:c r="AA164" s="37" t="str">
        <x:v>운영</x:v>
      </x:c>
      <x:c r="AB164" s="37" t="str">
        <x:v>TC-BED-012-01, TC-BED-012-02</x:v>
      </x:c>
      <x:c r="AC164" s="37"/>
      <x:c r="AD164" s="37" t="str">
        <x:v>게임 기획서</x:v>
      </x:c>
      <x:c r="AE164" s="37"/>
      <x:c r="AF164" s="40" t="str">
        <x:v>2026-07-10</x:v>
      </x:c>
      <x:c r="AG164" s="37"/>
      <x:c r="AH164" s="49"/>
      <x:c r="AI164" s="49"/>
      <x:c r="AJ164" s="48" t="str">
        <x:v>착수 전</x:v>
      </x:c>
    </x:row>
    <x:row r="165" ht="42" customHeight="1">
      <x:c r="A165" s="37" t="str">
        <x:v>BED-013</x:v>
      </x:c>
      <x:c r="B165" s="37" t="str">
        <x:v>백엔드·데이터·모더레이션</x:v>
      </x:c>
      <x:c r="C165" s="37" t="str">
        <x:v>개인정보</x:v>
      </x:c>
      <x:c r="D165" s="37" t="str">
        <x:v>연령·지역</x:v>
      </x:c>
      <x:c r="E165" s="37" t="str">
        <x:v>연령·지역·보호자·크로스플레이 제한</x:v>
      </x:c>
      <x:c r="F165" s="37" t="str">
        <x:v>게임 규칙, 운영 요구사항과 대상 플랫폼 제약을 충족하도록 연령·지역·보호자·크로스플레이 제한 기능을 구현하고 검증한다.</x:v>
      </x:c>
      <x:c r="G165" s="37" t="str">
        <x:v>플랫폼 제공 정보와 동의 상태를 기준으로 음성, 텍스트, 초대, UGC, 상점을 제어하고 실제 연령 정보는 게임 클라이언트로 전송하지 않는다.</x:v>
      </x:c>
      <x:c r="H165" s="37" t="str">
        <x:v>구현, 코드 리뷰, 사양 갱신, 대상 QA 케이스 실행, 로그·텔레메트리 확인과 관련 플랫폼 검증을 완료하고 미해결 P0·P1 결함이 없다.</x:v>
      </x:c>
      <x:c r="I165" s="37" t="str">
        <x:v>출시</x:v>
      </x:c>
      <x:c r="J165" s="37" t="str">
        <x:v>P0</x:v>
      </x:c>
      <x:c r="K165" s="37" t="str">
        <x:v>필수</x:v>
      </x:c>
      <x:c r="L165" s="37" t="str">
        <x:v>안전</x:v>
      </x:c>
      <x:c r="M165" s="37" t="str">
        <x:v>출시</x:v>
      </x:c>
      <x:c r="N165" s="37" t="str">
        <x:v>백엔드·라이브 운영</x:v>
      </x:c>
      <x:c r="O165" s="37" t="str">
        <x:v>미정</x:v>
      </x:c>
      <x:c r="P165" s="37" t="str">
        <x:v>미정</x:v>
      </x:c>
      <x:c r="Q165" s="37" t="str">
        <x:v>백엔드</x:v>
      </x:c>
      <x:c r="R165" s="37" t="str">
        <x:v>백엔드 권한</x:v>
      </x:c>
      <x:c r="S165" s="37" t="str">
        <x:v>계정</x:v>
      </x:c>
      <x:c r="T165" s="37" t="str">
        <x:v>XL</x:v>
      </x:c>
      <x:c r="U165" s="37" t="str">
        <x:v>미착수</x:v>
      </x:c>
      <x:c r="V165" s="42" t="n">
        <x:f>IF(U165="완료",1,IF(U165="QA 진행 중",0.8,IF(U165="코드 리뷰",0.65,IF(U165="구현 중",0.4,IF(U165="사양 확인 중",0.1,IF(U165="차단",0.4,0))))))</x:f>
        <x:v>0</x:v>
      </x:c>
      <x:c r="W165" s="37" t="str">
        <x:v>미정</x:v>
      </x:c>
      <x:c r="X165" s="40"/>
      <x:c r="Y165" s="37" t="str">
        <x:v>BED-001,BED-012</x:v>
      </x:c>
      <x:c r="Z165" s="37" t="str">
        <x:v>중간</x:v>
      </x:c>
      <x:c r="AA165" s="37" t="str">
        <x:v>보안</x:v>
      </x:c>
      <x:c r="AB165" s="37" t="str">
        <x:v>TC-BED-013-01, TC-BED-013-02</x:v>
      </x:c>
      <x:c r="AC165" s="37"/>
      <x:c r="AD165" s="37" t="str">
        <x:v>게임 기획서</x:v>
      </x:c>
      <x:c r="AE165" s="37"/>
      <x:c r="AF165" s="40" t="str">
        <x:v>2026-07-10</x:v>
      </x:c>
      <x:c r="AG165" s="37"/>
      <x:c r="AH165" s="49"/>
      <x:c r="AI165" s="49"/>
      <x:c r="AJ165" s="48" t="str">
        <x:v>착수 전</x:v>
      </x:c>
    </x:row>
    <x:row r="166" ht="42" customHeight="1">
      <x:c r="A166" s="37" t="str">
        <x:v>BED-014</x:v>
      </x:c>
      <x:c r="B166" s="37" t="str">
        <x:v>백엔드·데이터·모더레이션</x:v>
      </x:c>
      <x:c r="C166" s="37" t="str">
        <x:v>개인정보</x:v>
      </x:c>
      <x:c r="D166" s="37" t="str">
        <x:v>보존·삭제</x:v>
      </x:c>
      <x:c r="E166" s="37" t="str">
        <x:v>데이터 보관·내보내기·삭제 요청</x:v>
      </x:c>
      <x:c r="F166" s="37" t="str">
        <x:v>게임 규칙, 운영 요구사항과 대상 플랫폼 제약을 충족하도록 데이터 보관·내보내기·삭제 요청 기능을 구현하고 검증한다.</x:v>
      </x:c>
      <x:c r="G166" s="37" t="str">
        <x:v>데이터 분류별 보관 기간을 적용하고 접근, 내보내기, 삭제 요청을 감사 가능하게 처리한다. 법적 보존 대상 데이터는 분리한다.</x:v>
      </x:c>
      <x:c r="H166" s="37" t="str">
        <x:v>구현, 코드 리뷰, 사양 갱신, 대상 QA 케이스 실행, 로그·텔레메트리 확인과 관련 플랫폼 검증을 완료하고 미해결 P0·P1 결함이 없다.</x:v>
      </x:c>
      <x:c r="I166" s="37" t="str">
        <x:v>출시</x:v>
      </x:c>
      <x:c r="J166" s="37" t="str">
        <x:v>P0</x:v>
      </x:c>
      <x:c r="K166" s="37" t="str">
        <x:v>필수</x:v>
      </x:c>
      <x:c r="L166" s="37" t="str">
        <x:v>개인정보</x:v>
      </x:c>
      <x:c r="M166" s="37" t="str">
        <x:v>출시</x:v>
      </x:c>
      <x:c r="N166" s="37" t="str">
        <x:v>백엔드·라이브 운영</x:v>
      </x:c>
      <x:c r="O166" s="37" t="str">
        <x:v>미정</x:v>
      </x:c>
      <x:c r="P166" s="37" t="str">
        <x:v>미정</x:v>
      </x:c>
      <x:c r="Q166" s="37" t="str">
        <x:v>백엔드</x:v>
      </x:c>
      <x:c r="R166" s="37" t="str">
        <x:v>백엔드 권한</x:v>
      </x:c>
      <x:c r="S166" s="37" t="str">
        <x:v>백엔드</x:v>
      </x:c>
      <x:c r="T166" s="37" t="str">
        <x:v>XL</x:v>
      </x:c>
      <x:c r="U166" s="37" t="str">
        <x:v>미착수</x:v>
      </x:c>
      <x:c r="V166" s="42" t="n">
        <x:f>IF(U166="완료",1,IF(U166="QA 진행 중",0.8,IF(U166="코드 리뷰",0.65,IF(U166="구현 중",0.4,IF(U166="사양 확인 중",0.1,IF(U166="차단",0.4,0))))))</x:f>
        <x:v>0</x:v>
      </x:c>
      <x:c r="W166" s="37" t="str">
        <x:v>미정</x:v>
      </x:c>
      <x:c r="X166" s="40"/>
      <x:c r="Y166" s="37" t="str">
        <x:v>BED-002,BED-006,BED-008,BED-009</x:v>
      </x:c>
      <x:c r="Z166" s="37" t="str">
        <x:v>중간</x:v>
      </x:c>
      <x:c r="AA166" s="37" t="str">
        <x:v>운영</x:v>
      </x:c>
      <x:c r="AB166" s="37" t="str">
        <x:v>TC-BED-014-01, TC-BED-014-02</x:v>
      </x:c>
      <x:c r="AC166" s="37"/>
      <x:c r="AD166" s="37" t="str">
        <x:v>게임 기획서</x:v>
      </x:c>
      <x:c r="AE166" s="37"/>
      <x:c r="AF166" s="40" t="str">
        <x:v>2026-07-10</x:v>
      </x:c>
      <x:c r="AG166" s="37"/>
      <x:c r="AH166" s="49"/>
      <x:c r="AI166" s="49"/>
      <x:c r="AJ166" s="48" t="str">
        <x:v>착수 전</x:v>
      </x:c>
    </x:row>
    <x:row r="167" ht="42" customHeight="1">
      <x:c r="A167" s="37" t="str">
        <x:v>BED-015</x:v>
      </x:c>
      <x:c r="B167" s="37" t="str">
        <x:v>백엔드·데이터·모더레이션</x:v>
      </x:c>
      <x:c r="C167" s="37" t="str">
        <x:v>라이브 설정</x:v>
      </x:c>
      <x:c r="D167" s="37" t="str">
        <x:v>버전형 설정</x:v>
      </x:c>
      <x:c r="E167" s="37" t="str">
        <x:v>게임 규칙·콘텐츠 설정 버전 배포</x:v>
      </x:c>
      <x:c r="F167" s="37" t="str">
        <x:v>게임 규칙, 운영 요구사항과 대상 플랫폼 제약을 충족하도록 게임 규칙·콘텐츠 설정 버전 배포 기능을 구현하고 검증한다.</x:v>
      </x:c>
      <x:c r="G167" s="37" t="str">
        <x:v>서명된 설정 버전을 환경, 빌드, 지역별로 배포하고 매치 시작 시 고정해 진행 중에는 변경하지 않는다. 과거 버전을 재현할 수 있다.</x:v>
      </x:c>
      <x:c r="H167" s="37" t="str">
        <x:v>구현, 코드 리뷰, 사양 갱신, 대상 QA 케이스 실행, 로그·텔레메트리 확인과 관련 플랫폼 검증을 완료하고 미해결 P0·P1 결함이 없다.</x:v>
      </x:c>
      <x:c r="I167" s="37" t="str">
        <x:v>MVP</x:v>
      </x:c>
      <x:c r="J167" s="37" t="str">
        <x:v>P0</x:v>
      </x:c>
      <x:c r="K167" s="37" t="str">
        <x:v>필수</x:v>
      </x:c>
      <x:c r="L167" s="37" t="str">
        <x:v>운영</x:v>
      </x:c>
      <x:c r="M167" s="37" t="str">
        <x:v>MVP</x:v>
      </x:c>
      <x:c r="N167" s="37" t="str">
        <x:v>백엔드·라이브 운영</x:v>
      </x:c>
      <x:c r="O167" s="37" t="str">
        <x:v>미정</x:v>
      </x:c>
      <x:c r="P167" s="37" t="str">
        <x:v>미정</x:v>
      </x:c>
      <x:c r="Q167" s="37" t="str">
        <x:v>백엔드</x:v>
      </x:c>
      <x:c r="R167" s="37" t="str">
        <x:v>백엔드 권한</x:v>
      </x:c>
      <x:c r="S167" s="37" t="str">
        <x:v>백엔드</x:v>
      </x:c>
      <x:c r="T167" s="37" t="str">
        <x:v>L</x:v>
      </x:c>
      <x:c r="U167" s="37" t="str">
        <x:v>미착수</x:v>
      </x:c>
      <x:c r="V167" s="42" t="n">
        <x:f>IF(U167="완료",1,IF(U167="QA 진행 중",0.8,IF(U167="코드 리뷰",0.65,IF(U167="구현 중",0.4,IF(U167="사양 확인 중",0.1,IF(U167="차단",0.4,0))))))</x:f>
        <x:v>0</x:v>
      </x:c>
      <x:c r="W167" s="37" t="str">
        <x:v>미정</x:v>
      </x:c>
      <x:c r="X167" s="40"/>
      <x:c r="Y167" s="37" t="str">
        <x:v>SET-001</x:v>
      </x:c>
      <x:c r="Z167" s="37" t="str">
        <x:v>중간</x:v>
      </x:c>
      <x:c r="AA167" s="37" t="str">
        <x:v>호환성</x:v>
      </x:c>
      <x:c r="AB167" s="37" t="str">
        <x:v>TC-BED-015-01, TC-BED-015-02</x:v>
      </x:c>
      <x:c r="AC167" s="37"/>
      <x:c r="AD167" s="37" t="str">
        <x:v>게임 기획서</x:v>
      </x:c>
      <x:c r="AE167" s="37"/>
      <x:c r="AF167" s="40" t="str">
        <x:v>2026-07-10</x:v>
      </x:c>
      <x:c r="AG167" s="37"/>
      <x:c r="AH167" s="49"/>
      <x:c r="AI167" s="49"/>
      <x:c r="AJ167" s="48" t="str">
        <x:v>착수 전</x:v>
      </x:c>
    </x:row>
    <x:row r="168" ht="42" customHeight="1">
      <x:c r="A168" s="37" t="str">
        <x:v>BED-016</x:v>
      </x:c>
      <x:c r="B168" s="37" t="str">
        <x:v>백엔드·데이터·모더레이션</x:v>
      </x:c>
      <x:c r="C168" s="37" t="str">
        <x:v>라이브 설정</x:v>
      </x:c>
      <x:c r="D168" s="37" t="str">
        <x:v>기능 플래그</x:v>
      </x:c>
      <x:c r="E168" s="37" t="str">
        <x:v>기능 플래그·단계 배포·긴급 중지</x:v>
      </x:c>
      <x:c r="F168" s="37" t="str">
        <x:v>게임 규칙, 운영 요구사항과 대상 플랫폼 제약을 충족하도록 기능 플래그·단계 배포·긴급 중지 기능을 구현하고 검증한다.</x:v>
      </x:c>
      <x:c r="G168" s="37" t="str">
        <x:v>기능을 환경, 플랫폼, 지역, 비율별로 전환하고 의존 기능이 준비되지 않은 조합을 막는다. 변경은 승인, 감사, 롤백할 수 있다.</x:v>
      </x:c>
      <x:c r="H168" s="37" t="str">
        <x:v>구현, 코드 리뷰, 사양 갱신, 대상 QA 케이스 실행, 로그·텔레메트리 확인과 관련 플랫폼 검증을 완료하고 미해결 P0·P1 결함이 없다.</x:v>
      </x:c>
      <x:c r="I168" s="37" t="str">
        <x:v>출시</x:v>
      </x:c>
      <x:c r="J168" s="37" t="str">
        <x:v>P0</x:v>
      </x:c>
      <x:c r="K168" s="37" t="str">
        <x:v>필수</x:v>
      </x:c>
      <x:c r="L168" s="37" t="str">
        <x:v>운영</x:v>
      </x:c>
      <x:c r="M168" s="37" t="str">
        <x:v>출시</x:v>
      </x:c>
      <x:c r="N168" s="37" t="str">
        <x:v>백엔드·라이브 운영</x:v>
      </x:c>
      <x:c r="O168" s="37" t="str">
        <x:v>미정</x:v>
      </x:c>
      <x:c r="P168" s="37" t="str">
        <x:v>미정</x:v>
      </x:c>
      <x:c r="Q168" s="37" t="str">
        <x:v>백엔드</x:v>
      </x:c>
      <x:c r="R168" s="37" t="str">
        <x:v>백엔드 권한</x:v>
      </x:c>
      <x:c r="S168" s="37" t="str">
        <x:v>감사 로그</x:v>
      </x:c>
      <x:c r="T168" s="37" t="str">
        <x:v>XL</x:v>
      </x:c>
      <x:c r="U168" s="37" t="str">
        <x:v>미착수</x:v>
      </x:c>
      <x:c r="V168" s="42" t="n">
        <x:f>IF(U168="완료",1,IF(U168="QA 진행 중",0.8,IF(U168="코드 리뷰",0.65,IF(U168="구현 중",0.4,IF(U168="사양 확인 중",0.1,IF(U168="차단",0.4,0))))))</x:f>
        <x:v>0</x:v>
      </x:c>
      <x:c r="W168" s="37" t="str">
        <x:v>미정</x:v>
      </x:c>
      <x:c r="X168" s="40"/>
      <x:c r="Y168" s="37" t="str">
        <x:v>BED-015</x:v>
      </x:c>
      <x:c r="Z168" s="37" t="str">
        <x:v>중간</x:v>
      </x:c>
      <x:c r="AA168" s="37" t="str">
        <x:v>보안</x:v>
      </x:c>
      <x:c r="AB168" s="37" t="str">
        <x:v>TC-BED-016-01, TC-BED-016-02</x:v>
      </x:c>
      <x:c r="AC168" s="37"/>
      <x:c r="AD168" s="37" t="str">
        <x:v>게임 기획서</x:v>
      </x:c>
      <x:c r="AE168" s="37"/>
      <x:c r="AF168" s="40" t="str">
        <x:v>2026-07-10</x:v>
      </x:c>
      <x:c r="AG168" s="37"/>
      <x:c r="AH168" s="49"/>
      <x:c r="AI168" s="49"/>
      <x:c r="AJ168" s="48" t="str">
        <x:v>착수 전</x:v>
      </x:c>
    </x:row>
    <x:row r="169" ht="42" customHeight="1">
      <x:c r="A169" s="37" t="str">
        <x:v>BED-017</x:v>
      </x:c>
      <x:c r="B169" s="37" t="str">
        <x:v>백엔드·데이터·모더레이션</x:v>
      </x:c>
      <x:c r="C169" s="37" t="str">
        <x:v>플랫폼 보호</x:v>
      </x:c>
      <x:c r="D169" s="37" t="str">
        <x:v>요청 제한</x:v>
      </x:c>
      <x:c r="E169" s="37" t="str">
        <x:v>서비스별 요청 제한·할당량</x:v>
      </x:c>
      <x:c r="F169" s="37" t="str">
        <x:v>게임 규칙, 운영 요구사항과 대상 플랫폼 제약을 충족하도록 서비스별 요청 제한·할당량 기능을 구현하고 검증한다.</x:v>
      </x:c>
      <x:c r="G169" s="37" t="str">
        <x:v>인증, 룸, 신고, 설정, 상점 API에 계정, IP, 기기 단위 제한을 적용하고 요청 제한 코드와 재시도 가능 시각을 반환한다.</x:v>
      </x:c>
      <x:c r="H169" s="37" t="str">
        <x:v>구현, 코드 리뷰, 사양 갱신, 대상 QA 케이스 실행, 로그·텔레메트리 확인과 관련 플랫폼 검증을 완료하고 미해결 P0·P1 결함이 없다.</x:v>
      </x:c>
      <x:c r="I169" s="37" t="str">
        <x:v>출시</x:v>
      </x:c>
      <x:c r="J169" s="37" t="str">
        <x:v>P0</x:v>
      </x:c>
      <x:c r="K169" s="37" t="str">
        <x:v>필수</x:v>
      </x:c>
      <x:c r="L169" s="37" t="str">
        <x:v>보안</x:v>
      </x:c>
      <x:c r="M169" s="37" t="str">
        <x:v>출시</x:v>
      </x:c>
      <x:c r="N169" s="37" t="str">
        <x:v>백엔드·라이브 운영</x:v>
      </x:c>
      <x:c r="O169" s="37" t="str">
        <x:v>미정</x:v>
      </x:c>
      <x:c r="P169" s="37" t="str">
        <x:v>미정</x:v>
      </x:c>
      <x:c r="Q169" s="37" t="str">
        <x:v>백엔드</x:v>
      </x:c>
      <x:c r="R169" s="37" t="str">
        <x:v>백엔드 권한</x:v>
      </x:c>
      <x:c r="S169" s="37" t="str">
        <x:v>감사 로그</x:v>
      </x:c>
      <x:c r="T169" s="37" t="str">
        <x:v>L</x:v>
      </x:c>
      <x:c r="U169" s="37" t="str">
        <x:v>미착수</x:v>
      </x:c>
      <x:c r="V169" s="42" t="n">
        <x:f>IF(U169="완료",1,IF(U169="QA 진행 중",0.8,IF(U169="코드 리뷰",0.65,IF(U169="구현 중",0.4,IF(U169="사양 확인 중",0.1,IF(U169="차단",0.4,0))))))</x:f>
        <x:v>0</x:v>
      </x:c>
      <x:c r="W169" s="37" t="str">
        <x:v>미정</x:v>
      </x:c>
      <x:c r="X169" s="40"/>
      <x:c r="Y169" s="37" t="str">
        <x:v>BED-001</x:v>
      </x:c>
      <x:c r="Z169" s="37" t="str">
        <x:v>중간</x:v>
      </x:c>
      <x:c r="AA169" s="37" t="str">
        <x:v>부하</x:v>
      </x:c>
      <x:c r="AB169" s="37" t="str">
        <x:v>TC-BED-017-01, TC-BED-017-02</x:v>
      </x:c>
      <x:c r="AC169" s="37"/>
      <x:c r="AD169" s="37" t="str">
        <x:v>게임 기획서</x:v>
      </x:c>
      <x:c r="AE169" s="37"/>
      <x:c r="AF169" s="40" t="str">
        <x:v>2026-07-10</x:v>
      </x:c>
      <x:c r="AG169" s="37"/>
      <x:c r="AH169" s="49"/>
      <x:c r="AI169" s="49"/>
      <x:c r="AJ169" s="48" t="str">
        <x:v>착수 전</x:v>
      </x:c>
    </x:row>
    <x:row r="170" ht="42" customHeight="1">
      <x:c r="A170" s="37" t="str">
        <x:v>BED-018</x:v>
      </x:c>
      <x:c r="B170" s="37" t="str">
        <x:v>백엔드·데이터·모더레이션</x:v>
      </x:c>
      <x:c r="C170" s="37" t="str">
        <x:v>관측성</x:v>
      </x:c>
      <x:c r="D170" s="37" t="str">
        <x:v>오류 카탈로그</x:v>
      </x:c>
      <x:c r="E170" s="37" t="str">
        <x:v>서비스 오류 코드·상관관계 ID</x:v>
      </x:c>
      <x:c r="F170" s="37" t="str">
        <x:v>게임 규칙, 운영 요구사항과 대상 플랫폼 제약을 충족하도록 서비스 오류 코드·상관관계 ID 기능을 구현하고 검증한다.</x:v>
      </x:c>
      <x:c r="G170" s="37" t="str">
        <x:v>모든 API가 기계 판독 코드, 사용자 표시 키, 재시도 가능 여부, 상관관계 ID를 반환해 로그, 클라이언트, 고객 지원에서 추적할 수 있다.</x:v>
      </x:c>
      <x:c r="H170" s="37" t="str">
        <x:v>구현, 코드 리뷰, 사양 갱신, 대상 QA 케이스 실행, 로그·텔레메트리 확인과 관련 플랫폼 검증을 완료하고 미해결 P0·P1 결함이 없다.</x:v>
      </x:c>
      <x:c r="I170" s="37" t="str">
        <x:v>MVP</x:v>
      </x:c>
      <x:c r="J170" s="37" t="str">
        <x:v>P0</x:v>
      </x:c>
      <x:c r="K170" s="37" t="str">
        <x:v>필수</x:v>
      </x:c>
      <x:c r="L170" s="37" t="str">
        <x:v>운영</x:v>
      </x:c>
      <x:c r="M170" s="37" t="str">
        <x:v>MVP</x:v>
      </x:c>
      <x:c r="N170" s="37" t="str">
        <x:v>백엔드·라이브 운영</x:v>
      </x:c>
      <x:c r="O170" s="37" t="str">
        <x:v>미정</x:v>
      </x:c>
      <x:c r="P170" s="37" t="str">
        <x:v>미정</x:v>
      </x:c>
      <x:c r="Q170" s="37" t="str">
        <x:v>백엔드</x:v>
      </x:c>
      <x:c r="R170" s="37" t="str">
        <x:v>백엔드 권한</x:v>
      </x:c>
      <x:c r="S170" s="37" t="str">
        <x:v>감사 로그</x:v>
      </x:c>
      <x:c r="T170" s="37" t="str">
        <x:v>M</x:v>
      </x:c>
      <x:c r="U170" s="37" t="str">
        <x:v>미착수</x:v>
      </x:c>
      <x:c r="V170" s="42" t="n">
        <x:f>IF(U170="완료",1,IF(U170="QA 진행 중",0.8,IF(U170="코드 리뷰",0.65,IF(U170="구현 중",0.4,IF(U170="사양 확인 중",0.1,IF(U170="차단",0.4,0))))))</x:f>
        <x:v>0</x:v>
      </x:c>
      <x:c r="W170" s="37" t="str">
        <x:v>미정</x:v>
      </x:c>
      <x:c r="X170" s="40"/>
      <x:c r="Y170" s="37" t="str">
        <x:v>BED-001</x:v>
      </x:c>
      <x:c r="Z170" s="37" t="str">
        <x:v>중간</x:v>
      </x:c>
      <x:c r="AA170" s="37" t="str">
        <x:v>운영</x:v>
      </x:c>
      <x:c r="AB170" s="37" t="str">
        <x:v>TC-BED-018-01, TC-BED-018-02</x:v>
      </x:c>
      <x:c r="AC170" s="37"/>
      <x:c r="AD170" s="37" t="str">
        <x:v>게임 기획서</x:v>
      </x:c>
      <x:c r="AE170" s="37"/>
      <x:c r="AF170" s="40" t="str">
        <x:v>2026-07-10</x:v>
      </x:c>
      <x:c r="AG170" s="37"/>
      <x:c r="AH170" s="49"/>
      <x:c r="AI170" s="49"/>
      <x:c r="AJ170" s="48" t="str">
        <x:v>착수 전</x:v>
      </x:c>
    </x:row>
    <x:row r="171" ht="42" customHeight="1">
      <x:c r="A171" s="37" t="str">
        <x:v>BED-019</x:v>
      </x:c>
      <x:c r="B171" s="37" t="str">
        <x:v>백엔드·데이터·모더레이션</x:v>
      </x:c>
      <x:c r="C171" s="37" t="str">
        <x:v>관측성</x:v>
      </x:c>
      <x:c r="D171" s="37" t="str">
        <x:v>상태·SLO</x:v>
      </x:c>
      <x:c r="E171" s="37" t="str">
        <x:v>서비스 상태·SLO·경보</x:v>
      </x:c>
      <x:c r="F171" s="37" t="str">
        <x:v>게임 규칙, 운영 요구사항과 대상 플랫폼 제약을 충족하도록 서비스 상태·SLO·경보 기능을 구현하고 검증한다.</x:v>
      </x:c>
      <x:c r="G171" s="37" t="str">
        <x:v>인증, 로비, 매치, 설정, 신고 서비스의 가용성, 지연, 오류율, 포화도를 모니터링하고 임계값 초과 시 담당자에게 알린다.</x:v>
      </x:c>
      <x:c r="H171" s="37" t="str">
        <x:v>구현, 코드 리뷰, 사양 갱신, 대상 QA 케이스 실행, 로그·텔레메트리 확인과 관련 플랫폼 검증을 완료하고 미해결 P0·P1 결함이 없다.</x:v>
      </x:c>
      <x:c r="I171" s="37" t="str">
        <x:v>릴리스 후보</x:v>
      </x:c>
      <x:c r="J171" s="37" t="str">
        <x:v>P0</x:v>
      </x:c>
      <x:c r="K171" s="37" t="str">
        <x:v>필수</x:v>
      </x:c>
      <x:c r="L171" s="37" t="str">
        <x:v>운영</x:v>
      </x:c>
      <x:c r="M171" s="37" t="str">
        <x:v>릴리스 후보</x:v>
      </x:c>
      <x:c r="N171" s="37" t="str">
        <x:v>백엔드·라이브 운영</x:v>
      </x:c>
      <x:c r="O171" s="37" t="str">
        <x:v>미정</x:v>
      </x:c>
      <x:c r="P171" s="37" t="str">
        <x:v>미정</x:v>
      </x:c>
      <x:c r="Q171" s="37" t="str">
        <x:v>백엔드</x:v>
      </x:c>
      <x:c r="R171" s="37" t="str">
        <x:v>백엔드 권한</x:v>
      </x:c>
      <x:c r="S171" s="37" t="str">
        <x:v>백엔드</x:v>
      </x:c>
      <x:c r="T171" s="37" t="str">
        <x:v>L</x:v>
      </x:c>
      <x:c r="U171" s="37" t="str">
        <x:v>미착수</x:v>
      </x:c>
      <x:c r="V171" s="42" t="n">
        <x:f>IF(U171="완료",1,IF(U171="QA 진행 중",0.8,IF(U171="코드 리뷰",0.65,IF(U171="구현 중",0.4,IF(U171="사양 확인 중",0.1,IF(U171="차단",0.4,0))))))</x:f>
        <x:v>0</x:v>
      </x:c>
      <x:c r="W171" s="37" t="str">
        <x:v>미정</x:v>
      </x:c>
      <x:c r="X171" s="40"/>
      <x:c r="Y171" s="37" t="str">
        <x:v>BED-018</x:v>
      </x:c>
      <x:c r="Z171" s="37" t="str">
        <x:v>중간</x:v>
      </x:c>
      <x:c r="AA171" s="37" t="str">
        <x:v>운영</x:v>
      </x:c>
      <x:c r="AB171" s="37" t="str">
        <x:v>TC-BED-019-01, TC-BED-019-02</x:v>
      </x:c>
      <x:c r="AC171" s="37"/>
      <x:c r="AD171" s="37" t="str">
        <x:v>게임 기획서</x:v>
      </x:c>
      <x:c r="AE171" s="37"/>
      <x:c r="AF171" s="40" t="str">
        <x:v>2026-07-10</x:v>
      </x:c>
      <x:c r="AG171" s="37"/>
      <x:c r="AH171" s="49"/>
      <x:c r="AI171" s="49"/>
      <x:c r="AJ171" s="48" t="str">
        <x:v>착수 전</x:v>
      </x:c>
    </x:row>
    <x:row r="172" ht="42" customHeight="1">
      <x:c r="A172" s="37" t="str">
        <x:v>BED-020</x:v>
      </x:c>
      <x:c r="B172" s="37" t="str">
        <x:v>백엔드·데이터·모더레이션</x:v>
      </x:c>
      <x:c r="C172" s="37" t="str">
        <x:v>관리 정책</x:v>
      </x:c>
      <x:c r="D172" s="37" t="str">
        <x:v>감사 로그</x:v>
      </x:c>
      <x:c r="E172" s="37" t="str">
        <x:v>관리 작업·권한 변경·제재 감사 로그</x:v>
      </x:c>
      <x:c r="F172" s="37" t="str">
        <x:v>게임 규칙, 운영 요구사항과 대상 플랫폼 제약을 충족하도록 관리 작업·권한 변경·제재 감사 로그 기능을 구현하고 검증한다.</x:v>
      </x:c>
      <x:c r="G172" s="37" t="str">
        <x:v>실행자, 대상, 작업, 사유, 변경 전후 값, 시각, 상관관계 ID를 변조 방지 로그에 저장하고 조회 권한을 제한한다.</x:v>
      </x:c>
      <x:c r="H172" s="37" t="str">
        <x:v>구현, 코드 리뷰, 사양 갱신, 대상 QA 케이스 실행, 로그·텔레메트리 확인과 관련 플랫폼 검증을 완료하고 미해결 P0·P1 결함이 없다.</x:v>
      </x:c>
      <x:c r="I172" s="37" t="str">
        <x:v>출시</x:v>
      </x:c>
      <x:c r="J172" s="37" t="str">
        <x:v>P0</x:v>
      </x:c>
      <x:c r="K172" s="37" t="str">
        <x:v>필수</x:v>
      </x:c>
      <x:c r="L172" s="37" t="str">
        <x:v>보안</x:v>
      </x:c>
      <x:c r="M172" s="37" t="str">
        <x:v>출시</x:v>
      </x:c>
      <x:c r="N172" s="37" t="str">
        <x:v>백엔드·라이브 운영</x:v>
      </x:c>
      <x:c r="O172" s="37" t="str">
        <x:v>미정</x:v>
      </x:c>
      <x:c r="P172" s="37" t="str">
        <x:v>미정</x:v>
      </x:c>
      <x:c r="Q172" s="37" t="str">
        <x:v>백엔드</x:v>
      </x:c>
      <x:c r="R172" s="37" t="str">
        <x:v>백엔드 권한</x:v>
      </x:c>
      <x:c r="S172" s="37" t="str">
        <x:v>감사 로그</x:v>
      </x:c>
      <x:c r="T172" s="37" t="str">
        <x:v>L</x:v>
      </x:c>
      <x:c r="U172" s="37" t="str">
        <x:v>미착수</x:v>
      </x:c>
      <x:c r="V172" s="42" t="n">
        <x:f>IF(U172="완료",1,IF(U172="QA 진행 중",0.8,IF(U172="코드 리뷰",0.65,IF(U172="구현 중",0.4,IF(U172="사양 확인 중",0.1,IF(U172="차단",0.4,0))))))</x:f>
        <x:v>0</x:v>
      </x:c>
      <x:c r="W172" s="37" t="str">
        <x:v>미정</x:v>
      </x:c>
      <x:c r="X172" s="40"/>
      <x:c r="Y172" s="37" t="str">
        <x:v>BED-002</x:v>
      </x:c>
      <x:c r="Z172" s="37" t="str">
        <x:v>중간</x:v>
      </x:c>
      <x:c r="AA172" s="37" t="str">
        <x:v>보안</x:v>
      </x:c>
      <x:c r="AB172" s="37" t="str">
        <x:v>TC-BED-020-01, TC-BED-020-02</x:v>
      </x:c>
      <x:c r="AC172" s="37"/>
      <x:c r="AD172" s="37" t="str">
        <x:v>게임 기획서</x:v>
      </x:c>
      <x:c r="AE172" s="37"/>
      <x:c r="AF172" s="40" t="str">
        <x:v>2026-07-10</x:v>
      </x:c>
      <x:c r="AG172" s="37"/>
      <x:c r="AH172" s="49"/>
      <x:c r="AI172" s="49"/>
      <x:c r="AJ172" s="48" t="str">
        <x:v>착수 전</x:v>
      </x:c>
    </x:row>
    <x:row r="173" ht="42" customHeight="1">
      <x:c r="A173" s="37" t="str">
        <x:v>BED-021</x:v>
      </x:c>
      <x:c r="B173" s="37" t="str">
        <x:v>백엔드·데이터·모더레이션</x:v>
      </x:c>
      <x:c r="C173" s="37" t="str">
        <x:v>운영</x:v>
      </x:c>
      <x:c r="D173" s="37" t="str">
        <x:v>관리 도구</x:v>
      </x:c>
      <x:c r="E173" s="37" t="str">
        <x:v>플레이어·매치·신고·설정 관리 도구</x:v>
      </x:c>
      <x:c r="F173" s="37" t="str">
        <x:v>게임 규칙, 운영 요구사항과 대상 플랫폼 제약을 충족하도록 플레이어·매치·신고·설정 관리 도구 기능을 구현하고 검증한다.</x:v>
      </x:c>
      <x:c r="G173" s="37" t="str">
        <x:v>역할 기반 권한, 검색, 상세 조회, 제재·해제, 설정 배포, 감사 로그 조회를 제공하고 위험 작업은 2단계 확인 또는 승인을 요구한다.</x:v>
      </x:c>
      <x:c r="H173" s="37" t="str">
        <x:v>구현, 코드 리뷰, 사양 갱신, 대상 QA 케이스 실행, 로그·텔레메트리 확인과 관련 플랫폼 검증을 완료하고 미해결 P0·P1 결함이 없다.</x:v>
      </x:c>
      <x:c r="I173" s="37" t="str">
        <x:v>출시</x:v>
      </x:c>
      <x:c r="J173" s="37" t="str">
        <x:v>P0</x:v>
      </x:c>
      <x:c r="K173" s="37" t="str">
        <x:v>필수</x:v>
      </x:c>
      <x:c r="L173" s="37" t="str">
        <x:v>운영</x:v>
      </x:c>
      <x:c r="M173" s="37" t="str">
        <x:v>출시</x:v>
      </x:c>
      <x:c r="N173" s="37" t="str">
        <x:v>백엔드·라이브 운영</x:v>
      </x:c>
      <x:c r="O173" s="37" t="str">
        <x:v>미정</x:v>
      </x:c>
      <x:c r="P173" s="37" t="str">
        <x:v>미정</x:v>
      </x:c>
      <x:c r="Q173" s="37" t="str">
        <x:v>웹·관리자</x:v>
      </x:c>
      <x:c r="R173" s="37" t="str">
        <x:v>백엔드 권한</x:v>
      </x:c>
      <x:c r="S173" s="37" t="str">
        <x:v>감사 로그</x:v>
      </x:c>
      <x:c r="T173" s="37" t="str">
        <x:v>XL</x:v>
      </x:c>
      <x:c r="U173" s="37" t="str">
        <x:v>미착수</x:v>
      </x:c>
      <x:c r="V173" s="42" t="n">
        <x:f>IF(U173="완료",1,IF(U173="QA 진행 중",0.8,IF(U173="코드 리뷰",0.65,IF(U173="구현 중",0.4,IF(U173="사양 확인 중",0.1,IF(U173="차단",0.4,0))))))</x:f>
        <x:v>0</x:v>
      </x:c>
      <x:c r="W173" s="37" t="str">
        <x:v>미정</x:v>
      </x:c>
      <x:c r="X173" s="40"/>
      <x:c r="Y173" s="37" t="str">
        <x:v>BED-006,BED-009,BED-016,BED-020</x:v>
      </x:c>
      <x:c r="Z173" s="37" t="str">
        <x:v>중간</x:v>
      </x:c>
      <x:c r="AA173" s="37" t="str">
        <x:v>보안</x:v>
      </x:c>
      <x:c r="AB173" s="37" t="str">
        <x:v>TC-BED-021-01, TC-BED-021-02</x:v>
      </x:c>
      <x:c r="AC173" s="37"/>
      <x:c r="AD173" s="37" t="str">
        <x:v>게임 기획서</x:v>
      </x:c>
      <x:c r="AE173" s="37"/>
      <x:c r="AF173" s="40" t="str">
        <x:v>2026-07-10</x:v>
      </x:c>
      <x:c r="AG173" s="37"/>
      <x:c r="AH173" s="49"/>
      <x:c r="AI173" s="49"/>
      <x:c r="AJ173" s="48" t="str">
        <x:v>착수 전</x:v>
      </x:c>
    </x:row>
    <x:row r="174" ht="42" customHeight="1">
      <x:c r="A174" s="37" t="str">
        <x:v>BED-022</x:v>
      </x:c>
      <x:c r="B174" s="37" t="str">
        <x:v>백엔드·데이터·모더레이션</x:v>
      </x:c>
      <x:c r="C174" s="37" t="str">
        <x:v>안전</x:v>
      </x:c>
      <x:c r="D174" s="37" t="str">
        <x:v>제재</x:v>
      </x:c>
      <x:c r="E174" s="37" t="str">
        <x:v>경고·일시 정지·영구 정지·이의 제기</x:v>
      </x:c>
      <x:c r="F174" s="37" t="str">
        <x:v>게임 규칙, 운영 요구사항과 대상 플랫폼 제약을 충족하도록 경고·일시 정지·영구 정지·이의 제기 기능을 구현하고 검증한다.</x:v>
      </x:c>
      <x:c r="G174" s="37" t="str">
        <x:v>제재 유형, 기간, 사유, 증거, 통지, 해제, 이의 제기를 관리하고 게임, 음성, 채팅, 상점 기능에 적절히 반영한다.</x:v>
      </x:c>
      <x:c r="H174" s="37" t="str">
        <x:v>구현, 코드 리뷰, 사양 갱신, 대상 QA 케이스 실행, 로그·텔레메트리 확인과 관련 플랫폼 검증을 완료하고 미해결 P0·P1 결함이 없다.</x:v>
      </x:c>
      <x:c r="I174" s="37" t="str">
        <x:v>출시</x:v>
      </x:c>
      <x:c r="J174" s="37" t="str">
        <x:v>P0</x:v>
      </x:c>
      <x:c r="K174" s="37" t="str">
        <x:v>필수</x:v>
      </x:c>
      <x:c r="L174" s="37" t="str">
        <x:v>안전</x:v>
      </x:c>
      <x:c r="M174" s="37" t="str">
        <x:v>출시</x:v>
      </x:c>
      <x:c r="N174" s="37" t="str">
        <x:v>백엔드·라이브 운영</x:v>
      </x:c>
      <x:c r="O174" s="37" t="str">
        <x:v>미정</x:v>
      </x:c>
      <x:c r="P174" s="37" t="str">
        <x:v>미정</x:v>
      </x:c>
      <x:c r="Q174" s="37" t="str">
        <x:v>백엔드</x:v>
      </x:c>
      <x:c r="R174" s="37" t="str">
        <x:v>백엔드 권한</x:v>
      </x:c>
      <x:c r="S174" s="37" t="str">
        <x:v>감사 로그</x:v>
      </x:c>
      <x:c r="T174" s="37" t="str">
        <x:v>L</x:v>
      </x:c>
      <x:c r="U174" s="37" t="str">
        <x:v>미착수</x:v>
      </x:c>
      <x:c r="V174" s="42" t="n">
        <x:f>IF(U174="완료",1,IF(U174="QA 진행 중",0.8,IF(U174="코드 리뷰",0.65,IF(U174="구현 중",0.4,IF(U174="사양 확인 중",0.1,IF(U174="차단",0.4,0))))))</x:f>
        <x:v>0</x:v>
      </x:c>
      <x:c r="W174" s="37" t="str">
        <x:v>미정</x:v>
      </x:c>
      <x:c r="X174" s="40"/>
      <x:c r="Y174" s="37" t="str">
        <x:v>BED-009,BED-021</x:v>
      </x:c>
      <x:c r="Z174" s="37" t="str">
        <x:v>중간</x:v>
      </x:c>
      <x:c r="AA174" s="37" t="str">
        <x:v>운영</x:v>
      </x:c>
      <x:c r="AB174" s="37" t="str">
        <x:v>TC-BED-022-01, TC-BED-022-02</x:v>
      </x:c>
      <x:c r="AC174" s="37"/>
      <x:c r="AD174" s="37" t="str">
        <x:v>게임 기획서</x:v>
      </x:c>
      <x:c r="AE174" s="37"/>
      <x:c r="AF174" s="40" t="str">
        <x:v>2026-07-10</x:v>
      </x:c>
      <x:c r="AG174" s="37"/>
      <x:c r="AH174" s="49"/>
      <x:c r="AI174" s="49"/>
      <x:c r="AJ174" s="48" t="str">
        <x:v>착수 전</x:v>
      </x:c>
    </x:row>
    <x:row r="175" ht="42" customHeight="1">
      <x:c r="A175" s="37" t="str">
        <x:v>BED-023</x:v>
      </x:c>
      <x:c r="B175" s="37" t="str">
        <x:v>백엔드·데이터·모더레이션</x:v>
      </x:c>
      <x:c r="C175" s="37" t="str">
        <x:v>진단</x:v>
      </x:c>
      <x:c r="D175" s="37" t="str">
        <x:v>크래시·로그</x:v>
      </x:c>
      <x:c r="E175" s="37" t="str">
        <x:v>크래시·서버 로그 수집·마스킹</x:v>
      </x:c>
      <x:c r="F175" s="37" t="str">
        <x:v>게임 규칙, 운영 요구사항과 대상 플랫폼 제약을 충족하도록 크래시·서버 로그 수집·마스킹 기능을 구현하고 검증한다.</x:v>
      </x:c>
      <x:c r="G175" s="37" t="str">
        <x:v>빌드, 플랫폼, 매치 ID, 상태 전환을 수집하고 역할, 채팅, 음성, 토큰, 개인 정보는 마스킹한다.</x:v>
      </x:c>
      <x:c r="H175" s="37" t="str">
        <x:v>구현, 코드 리뷰, 사양 갱신, 대상 QA 케이스 실행, 로그·텔레메트리 확인과 관련 플랫폼 검증을 완료하고 미해결 P0·P1 결함이 없다.</x:v>
      </x:c>
      <x:c r="I175" s="37" t="str">
        <x:v>알파</x:v>
      </x:c>
      <x:c r="J175" s="37" t="str">
        <x:v>P0</x:v>
      </x:c>
      <x:c r="K175" s="37" t="str">
        <x:v>필수</x:v>
      </x:c>
      <x:c r="L175" s="37" t="str">
        <x:v>운영</x:v>
      </x:c>
      <x:c r="M175" s="37" t="str">
        <x:v>알파</x:v>
      </x:c>
      <x:c r="N175" s="37" t="str">
        <x:v>백엔드·라이브 운영</x:v>
      </x:c>
      <x:c r="O175" s="37" t="str">
        <x:v>미정</x:v>
      </x:c>
      <x:c r="P175" s="37" t="str">
        <x:v>미정</x:v>
      </x:c>
      <x:c r="Q175" s="37" t="str">
        <x:v>백엔드</x:v>
      </x:c>
      <x:c r="R175" s="37" t="str">
        <x:v>백엔드 권한</x:v>
      </x:c>
      <x:c r="S175" s="37" t="str">
        <x:v>백엔드</x:v>
      </x:c>
      <x:c r="T175" s="37" t="str">
        <x:v>L</x:v>
      </x:c>
      <x:c r="U175" s="37" t="str">
        <x:v>미착수</x:v>
      </x:c>
      <x:c r="V175" s="42" t="n">
        <x:f>IF(U175="완료",1,IF(U175="QA 진행 중",0.8,IF(U175="코드 리뷰",0.65,IF(U175="구현 중",0.4,IF(U175="사양 확인 중",0.1,IF(U175="차단",0.4,0))))))</x:f>
        <x:v>0</x:v>
      </x:c>
      <x:c r="W175" s="37" t="str">
        <x:v>미정</x:v>
      </x:c>
      <x:c r="X175" s="40"/>
      <x:c r="Y175" s="37" t="str">
        <x:v>BED-018,NET-018</x:v>
      </x:c>
      <x:c r="Z175" s="37" t="str">
        <x:v>중간</x:v>
      </x:c>
      <x:c r="AA175" s="37" t="str">
        <x:v>보안</x:v>
      </x:c>
      <x:c r="AB175" s="37" t="str">
        <x:v>TC-BED-023-01, TC-BED-023-02</x:v>
      </x:c>
      <x:c r="AC175" s="37"/>
      <x:c r="AD175" s="37" t="str">
        <x:v>게임 기획서</x:v>
      </x:c>
      <x:c r="AE175" s="37"/>
      <x:c r="AF175" s="40" t="str">
        <x:v>2026-07-10</x:v>
      </x:c>
      <x:c r="AG175" s="37"/>
      <x:c r="AH175" s="49"/>
      <x:c r="AI175" s="49"/>
      <x:c r="AJ175" s="48" t="str">
        <x:v>착수 전</x:v>
      </x:c>
    </x:row>
    <x:row r="176" ht="42" customHeight="1">
      <x:c r="A176" s="37" t="str">
        <x:v>BED-024</x:v>
      </x:c>
      <x:c r="B176" s="37" t="str">
        <x:v>백엔드·데이터·모더레이션</x:v>
      </x:c>
      <x:c r="C176" s="37" t="str">
        <x:v>분석</x:v>
      </x:c>
      <x:c r="D176" s="37" t="str">
        <x:v>데이터 웨어하우스</x:v>
      </x:c>
      <x:c r="E176" s="37" t="str">
        <x:v>분석 이벤트 검증·데이터 마트</x:v>
      </x:c>
      <x:c r="F176" s="37" t="str">
        <x:v>게임 규칙, 운영 요구사항과 대상 플랫폼 제약을 충족하도록 분석 이벤트 검증·데이터 마트 기능을 구현하고 검증한다.</x:v>
      </x:c>
      <x:c r="G176" s="37" t="str">
        <x:v>스키마 위반, 중복, 누락, 지연을 탐지하고 승률, 게임 시간, 메모 행동, 이탈, 네트워크 품질을 버전별로 분석할 수 있다.</x:v>
      </x:c>
      <x:c r="H176" s="37" t="str">
        <x:v>구현, 코드 리뷰, 사양 갱신, 대상 QA 케이스 실행, 로그·텔레메트리 확인과 관련 플랫폼 검증을 완료하고 미해결 P0·P1 결함이 없다.</x:v>
      </x:c>
      <x:c r="I176" s="37" t="str">
        <x:v>베타</x:v>
      </x:c>
      <x:c r="J176" s="37" t="str">
        <x:v>P1</x:v>
      </x:c>
      <x:c r="K176" s="37" t="str">
        <x:v>필수</x:v>
      </x:c>
      <x:c r="L176" s="37" t="str">
        <x:v>분석</x:v>
      </x:c>
      <x:c r="M176" s="37" t="str">
        <x:v>베타</x:v>
      </x:c>
      <x:c r="N176" s="37" t="str">
        <x:v>백엔드·라이브 운영</x:v>
      </x:c>
      <x:c r="O176" s="37" t="str">
        <x:v>미정</x:v>
      </x:c>
      <x:c r="P176" s="37" t="str">
        <x:v>미정</x:v>
      </x:c>
      <x:c r="Q176" s="37" t="str">
        <x:v>백엔드</x:v>
      </x:c>
      <x:c r="R176" s="37" t="str">
        <x:v>백엔드 권한</x:v>
      </x:c>
      <x:c r="S176" s="37" t="str">
        <x:v>백엔드</x:v>
      </x:c>
      <x:c r="T176" s="37" t="str">
        <x:v>XL</x:v>
      </x:c>
      <x:c r="U176" s="37" t="str">
        <x:v>미착수</x:v>
      </x:c>
      <x:c r="V176" s="42" t="n">
        <x:f>IF(U176="완료",1,IF(U176="QA 진행 중",0.8,IF(U176="코드 리뷰",0.65,IF(U176="구현 중",0.4,IF(U176="사양 확인 중",0.1,IF(U176="차단",0.4,0))))))</x:f>
        <x:v>0</x:v>
      </x:c>
      <x:c r="W176" s="37" t="str">
        <x:v>미정</x:v>
      </x:c>
      <x:c r="X176" s="40"/>
      <x:c r="Y176" s="37" t="str">
        <x:v>BED-008,BED-006</x:v>
      </x:c>
      <x:c r="Z176" s="37" t="str">
        <x:v>중간</x:v>
      </x:c>
      <x:c r="AA176" s="37" t="str">
        <x:v>운영</x:v>
      </x:c>
      <x:c r="AB176" s="37" t="str">
        <x:v>TC-BED-024-01</x:v>
      </x:c>
      <x:c r="AC176" s="37"/>
      <x:c r="AD176" s="37" t="str">
        <x:v>게임 기획서</x:v>
      </x:c>
      <x:c r="AE176" s="37"/>
      <x:c r="AF176" s="40" t="str">
        <x:v>2026-07-10</x:v>
      </x:c>
      <x:c r="AG176" s="37"/>
      <x:c r="AH176" s="49"/>
      <x:c r="AI176" s="49"/>
      <x:c r="AJ176" s="48" t="str">
        <x:v>착수 전</x:v>
      </x:c>
    </x:row>
    <x:row r="177" ht="42" customHeight="1">
      <x:c r="A177" s="37" t="str">
        <x:v>BED-025</x:v>
      </x:c>
      <x:c r="B177" s="37" t="str">
        <x:v>백엔드·데이터·모더레이션</x:v>
      </x:c>
      <x:c r="C177" s="37" t="str">
        <x:v>데이터 플랫폼</x:v>
      </x:c>
      <x:c r="D177" s="37" t="str">
        <x:v>스키마 마이그레이션</x:v>
      </x:c>
      <x:c r="E177" s="37" t="str">
        <x:v>DB 스키마 마이그레이션·하위 호환</x:v>
      </x:c>
      <x:c r="F177" s="37" t="str">
        <x:v>게임 규칙, 운영 요구사항과 대상 플랫폼 제약을 충족하도록 DB 스키마 마이그레이션·하위 호환 기능을 구현하고 검증한다.</x:v>
      </x:c>
      <x:c r="G177" s="37" t="str">
        <x:v>확장→이관→정리 절차로 무중단 마이그레이션하고 이전 클라이언트와 병행 운영할 수 있다. 롤백 시 데이터 손실 범위를 정의한다.</x:v>
      </x:c>
      <x:c r="H177" s="37" t="str">
        <x:v>구현, 코드 리뷰, 사양 갱신, 대상 QA 케이스 실행, 로그·텔레메트리 확인과 관련 플랫폼 검증을 완료하고 미해결 P0·P1 결함이 없다.</x:v>
      </x:c>
      <x:c r="I177" s="37" t="str">
        <x:v>릴리스 후보</x:v>
      </x:c>
      <x:c r="J177" s="37" t="str">
        <x:v>P0</x:v>
      </x:c>
      <x:c r="K177" s="37" t="str">
        <x:v>필수</x:v>
      </x:c>
      <x:c r="L177" s="37" t="str">
        <x:v>운영</x:v>
      </x:c>
      <x:c r="M177" s="37" t="str">
        <x:v>릴리스 후보</x:v>
      </x:c>
      <x:c r="N177" s="37" t="str">
        <x:v>백엔드·라이브 운영</x:v>
      </x:c>
      <x:c r="O177" s="37" t="str">
        <x:v>미정</x:v>
      </x:c>
      <x:c r="P177" s="37" t="str">
        <x:v>미정</x:v>
      </x:c>
      <x:c r="Q177" s="37" t="str">
        <x:v>백엔드</x:v>
      </x:c>
      <x:c r="R177" s="37" t="str">
        <x:v>백엔드 권한</x:v>
      </x:c>
      <x:c r="S177" s="37" t="str">
        <x:v>백엔드</x:v>
      </x:c>
      <x:c r="T177" s="37" t="str">
        <x:v>L</x:v>
      </x:c>
      <x:c r="U177" s="37" t="str">
        <x:v>미착수</x:v>
      </x:c>
      <x:c r="V177" s="42" t="n">
        <x:f>IF(U177="완료",1,IF(U177="QA 진행 중",0.8,IF(U177="코드 리뷰",0.65,IF(U177="구현 중",0.4,IF(U177="사양 확인 중",0.1,IF(U177="차단",0.4,0))))))</x:f>
        <x:v>0</x:v>
      </x:c>
      <x:c r="W177" s="37" t="str">
        <x:v>미정</x:v>
      </x:c>
      <x:c r="X177" s="40"/>
      <x:c r="Y177" s="37" t="str">
        <x:v>BED-003,BED-006,BED-015</x:v>
      </x:c>
      <x:c r="Z177" s="37" t="str">
        <x:v>중간</x:v>
      </x:c>
      <x:c r="AA177" s="37" t="str">
        <x:v>호환성</x:v>
      </x:c>
      <x:c r="AB177" s="37" t="str">
        <x:v>TC-BED-025-01, TC-BED-025-02</x:v>
      </x:c>
      <x:c r="AC177" s="37"/>
      <x:c r="AD177" s="37" t="str">
        <x:v>게임 기획서</x:v>
      </x:c>
      <x:c r="AE177" s="37"/>
      <x:c r="AF177" s="40" t="str">
        <x:v>2026-07-10</x:v>
      </x:c>
      <x:c r="AG177" s="37"/>
      <x:c r="AH177" s="49"/>
      <x:c r="AI177" s="49"/>
      <x:c r="AJ177" s="48" t="str">
        <x:v>착수 전</x:v>
      </x:c>
    </x:row>
    <x:row r="178" ht="42" customHeight="1">
      <x:c r="A178" s="37" t="str">
        <x:v>BED-026</x:v>
      </x:c>
      <x:c r="B178" s="37" t="str">
        <x:v>백엔드·데이터·모더레이션</x:v>
      </x:c>
      <x:c r="C178" s="37" t="str">
        <x:v>신뢰성</x:v>
      </x:c>
      <x:c r="D178" s="37" t="str">
        <x:v>백업·재해 복구</x:v>
      </x:c>
      <x:c r="E178" s="37" t="str">
        <x:v>백업·복원·재해 복구</x:v>
      </x:c>
      <x:c r="F178" s="37" t="str">
        <x:v>게임 규칙, 운영 요구사항과 대상 플랫폼 제약을 충족하도록 백업·복원·재해 복구 기능을 구현하고 검증한다.</x:v>
      </x:c>
      <x:c r="G178" s="37" t="str">
        <x:v>중요 데이터의 RPO와 RTO를 정의하고 정기 복원 시험으로 계정, 설정, 신고, 상점 원장을 복구할 수 있다.</x:v>
      </x:c>
      <x:c r="H178" s="37" t="str">
        <x:v>구현, 코드 리뷰, 사양 갱신, 대상 QA 케이스 실행, 로그·텔레메트리 확인과 관련 플랫폼 검증을 완료하고 미해결 P0·P1 결함이 없다.</x:v>
      </x:c>
      <x:c r="I178" s="37" t="str">
        <x:v>릴리스 후보</x:v>
      </x:c>
      <x:c r="J178" s="37" t="str">
        <x:v>P0</x:v>
      </x:c>
      <x:c r="K178" s="37" t="str">
        <x:v>필수</x:v>
      </x:c>
      <x:c r="L178" s="37" t="str">
        <x:v>운영</x:v>
      </x:c>
      <x:c r="M178" s="37" t="str">
        <x:v>릴리스 후보</x:v>
      </x:c>
      <x:c r="N178" s="37" t="str">
        <x:v>백엔드·라이브 운영</x:v>
      </x:c>
      <x:c r="O178" s="37" t="str">
        <x:v>미정</x:v>
      </x:c>
      <x:c r="P178" s="37" t="str">
        <x:v>미정</x:v>
      </x:c>
      <x:c r="Q178" s="37" t="str">
        <x:v>백엔드</x:v>
      </x:c>
      <x:c r="R178" s="37" t="str">
        <x:v>백엔드 권한</x:v>
      </x:c>
      <x:c r="S178" s="37" t="str">
        <x:v>백엔드</x:v>
      </x:c>
      <x:c r="T178" s="37" t="str">
        <x:v>XL</x:v>
      </x:c>
      <x:c r="U178" s="37" t="str">
        <x:v>미착수</x:v>
      </x:c>
      <x:c r="V178" s="42" t="n">
        <x:f>IF(U178="완료",1,IF(U178="QA 진행 중",0.8,IF(U178="코드 리뷰",0.65,IF(U178="구현 중",0.4,IF(U178="사양 확인 중",0.1,IF(U178="차단",0.4,0))))))</x:f>
        <x:v>0</x:v>
      </x:c>
      <x:c r="W178" s="37" t="str">
        <x:v>미정</x:v>
      </x:c>
      <x:c r="X178" s="40"/>
      <x:c r="Y178" s="37" t="str">
        <x:v>BED-019,BED-025</x:v>
      </x:c>
      <x:c r="Z178" s="37" t="str">
        <x:v>중간</x:v>
      </x:c>
      <x:c r="AA178" s="37" t="str">
        <x:v>운영</x:v>
      </x:c>
      <x:c r="AB178" s="37" t="str">
        <x:v>TC-BED-026-01, TC-BED-026-02</x:v>
      </x:c>
      <x:c r="AC178" s="37"/>
      <x:c r="AD178" s="37" t="str">
        <x:v>게임 기획서</x:v>
      </x:c>
      <x:c r="AE178" s="37"/>
      <x:c r="AF178" s="40" t="str">
        <x:v>2026-07-10</x:v>
      </x:c>
      <x:c r="AG178" s="37"/>
      <x:c r="AH178" s="49"/>
      <x:c r="AI178" s="49"/>
      <x:c r="AJ178" s="48" t="str">
        <x:v>착수 전</x:v>
      </x:c>
    </x:row>
    <x:row r="179" ht="42" customHeight="1">
      <x:c r="A179" s="37" t="str">
        <x:v>BED-027</x:v>
      </x:c>
      <x:c r="B179" s="37" t="str">
        <x:v>백엔드·데이터·모더레이션</x:v>
      </x:c>
      <x:c r="C179" s="37" t="str">
        <x:v>보안</x:v>
      </x:c>
      <x:c r="D179" s="37" t="str">
        <x:v>비밀정보</x:v>
      </x:c>
      <x:c r="E179" s="37" t="str">
        <x:v>비밀 정보·키·인증서 관리</x:v>
      </x:c>
      <x:c r="F179" s="37" t="str">
        <x:v>게임 규칙, 운영 요구사항과 대상 플랫폼 제약을 충족하도록 비밀 정보·키·인증서 관리 기능을 구현하고 검증한다.</x:v>
      </x:c>
      <x:c r="G179" s="37" t="str">
        <x:v>비밀 정보를 저장소, 로그, 클라이언트에 포함하지 않고 환경 분리, 최소 권한, 교체, 폐기 절차를 적용한다.</x:v>
      </x:c>
      <x:c r="H179" s="37" t="str">
        <x:v>구현, 코드 리뷰, 사양 갱신, 대상 QA 케이스 실행, 로그·텔레메트리 확인과 관련 플랫폼 검증을 완료하고 미해결 P0·P1 결함이 없다.</x:v>
      </x:c>
      <x:c r="I179" s="37" t="str">
        <x:v>릴리스 후보</x:v>
      </x:c>
      <x:c r="J179" s="37" t="str">
        <x:v>P0</x:v>
      </x:c>
      <x:c r="K179" s="37" t="str">
        <x:v>필수</x:v>
      </x:c>
      <x:c r="L179" s="37" t="str">
        <x:v>보안</x:v>
      </x:c>
      <x:c r="M179" s="37" t="str">
        <x:v>릴리스 후보</x:v>
      </x:c>
      <x:c r="N179" s="37" t="str">
        <x:v>백엔드·라이브 운영</x:v>
      </x:c>
      <x:c r="O179" s="37" t="str">
        <x:v>미정</x:v>
      </x:c>
      <x:c r="P179" s="37" t="str">
        <x:v>미정</x:v>
      </x:c>
      <x:c r="Q179" s="37" t="str">
        <x:v>백엔드</x:v>
      </x:c>
      <x:c r="R179" s="37" t="str">
        <x:v>백엔드 권한</x:v>
      </x:c>
      <x:c r="S179" s="37" t="str">
        <x:v>감사 로그</x:v>
      </x:c>
      <x:c r="T179" s="37" t="str">
        <x:v>L</x:v>
      </x:c>
      <x:c r="U179" s="37" t="str">
        <x:v>미착수</x:v>
      </x:c>
      <x:c r="V179" s="42" t="n">
        <x:f>IF(U179="완료",1,IF(U179="QA 진행 중",0.8,IF(U179="코드 리뷰",0.65,IF(U179="구현 중",0.4,IF(U179="사양 확인 중",0.1,IF(U179="차단",0.4,0))))))</x:f>
        <x:v>0</x:v>
      </x:c>
      <x:c r="W179" s="37" t="str">
        <x:v>미정</x:v>
      </x:c>
      <x:c r="X179" s="40"/>
      <x:c r="Y179" s="37" t="str">
        <x:v>BED-001,NET-027</x:v>
      </x:c>
      <x:c r="Z179" s="37" t="str">
        <x:v>중간</x:v>
      </x:c>
      <x:c r="AA179" s="37" t="str">
        <x:v>보안</x:v>
      </x:c>
      <x:c r="AB179" s="37" t="str">
        <x:v>TC-BED-027-01, TC-BED-027-02</x:v>
      </x:c>
      <x:c r="AC179" s="37"/>
      <x:c r="AD179" s="37" t="str">
        <x:v>게임 기획서</x:v>
      </x:c>
      <x:c r="AE179" s="37"/>
      <x:c r="AF179" s="40" t="str">
        <x:v>2026-07-10</x:v>
      </x:c>
      <x:c r="AG179" s="37"/>
      <x:c r="AH179" s="49"/>
      <x:c r="AI179" s="49"/>
      <x:c r="AJ179" s="48" t="str">
        <x:v>착수 전</x:v>
      </x:c>
    </x:row>
    <x:row r="180" ht="42" customHeight="1">
      <x:c r="A180" s="37" t="str">
        <x:v>BED-028</x:v>
      </x:c>
      <x:c r="B180" s="37" t="str">
        <x:v>백엔드·데이터·모더레이션</x:v>
      </x:c>
      <x:c r="C180" s="37" t="str">
        <x:v>릴리스 엔지니어링</x:v>
      </x:c>
      <x:c r="D180" s="37" t="str">
        <x:v>배포·롤백</x:v>
      </x:c>
      <x:c r="E180" s="37" t="str">
        <x:v>단계 배포·호환성 확인·롤백</x:v>
      </x:c>
      <x:c r="F180" s="37" t="str">
        <x:v>게임 규칙, 운영 요구사항과 대상 플랫폼 제약을 충족하도록 단계 배포·호환성 확인·롤백 기능을 구현하고 검증한다.</x:v>
      </x:c>
      <x:c r="G180" s="37" t="str">
        <x:v>카나리→단계 확대→전체 배포 절차, DB·설정·클라이언트 호환성, 중지 조건, 롤백을 자동화하고 변경 이력을 남긴다.</x:v>
      </x:c>
      <x:c r="H180" s="37" t="str">
        <x:v>구현, 코드 리뷰, 사양 갱신, 대상 QA 케이스 실행, 로그·텔레메트리 확인과 관련 플랫폼 검증을 완료하고 미해결 P0·P1 결함이 없다.</x:v>
      </x:c>
      <x:c r="I180" s="37" t="str">
        <x:v>릴리스 후보</x:v>
      </x:c>
      <x:c r="J180" s="37" t="str">
        <x:v>P0</x:v>
      </x:c>
      <x:c r="K180" s="37" t="str">
        <x:v>필수</x:v>
      </x:c>
      <x:c r="L180" s="37" t="str">
        <x:v>릴리스</x:v>
      </x:c>
      <x:c r="M180" s="37" t="str">
        <x:v>릴리스 후보</x:v>
      </x:c>
      <x:c r="N180" s="37" t="str">
        <x:v>백엔드·라이브 운영</x:v>
      </x:c>
      <x:c r="O180" s="37" t="str">
        <x:v>미정</x:v>
      </x:c>
      <x:c r="P180" s="37" t="str">
        <x:v>미정</x:v>
      </x:c>
      <x:c r="Q180" s="37" t="str">
        <x:v>백엔드</x:v>
      </x:c>
      <x:c r="R180" s="37" t="str">
        <x:v>백엔드 권한</x:v>
      </x:c>
      <x:c r="S180" s="37" t="str">
        <x:v>감사 로그</x:v>
      </x:c>
      <x:c r="T180" s="37" t="str">
        <x:v>XL</x:v>
      </x:c>
      <x:c r="U180" s="37" t="str">
        <x:v>미착수</x:v>
      </x:c>
      <x:c r="V180" s="42" t="n">
        <x:f>IF(U180="완료",1,IF(U180="QA 진행 중",0.8,IF(U180="코드 리뷰",0.65,IF(U180="구현 중",0.4,IF(U180="사양 확인 중",0.1,IF(U180="차단",0.4,0))))))</x:f>
        <x:v>0</x:v>
      </x:c>
      <x:c r="W180" s="37" t="str">
        <x:v>미정</x:v>
      </x:c>
      <x:c r="X180" s="40"/>
      <x:c r="Y180" s="37" t="str">
        <x:v>BED-015,BED-016,BED-019,BED-025</x:v>
      </x:c>
      <x:c r="Z180" s="37" t="str">
        <x:v>중간</x:v>
      </x:c>
      <x:c r="AA180" s="37" t="str">
        <x:v>운영</x:v>
      </x:c>
      <x:c r="AB180" s="37" t="str">
        <x:v>TC-BED-028-01, TC-BED-028-02</x:v>
      </x:c>
      <x:c r="AC180" s="37"/>
      <x:c r="AD180" s="37" t="str">
        <x:v>게임 기획서</x:v>
      </x:c>
      <x:c r="AE180" s="37"/>
      <x:c r="AF180" s="40" t="str">
        <x:v>2026-07-10</x:v>
      </x:c>
      <x:c r="AG180" s="37"/>
      <x:c r="AH180" s="49"/>
      <x:c r="AI180" s="49"/>
      <x:c r="AJ180" s="48" t="str">
        <x:v>착수 전</x:v>
      </x:c>
    </x:row>
    <x:row r="181" ht="42" customHeight="1">
      <x:c r="A181" s="37" t="str">
        <x:v>BED-029</x:v>
      </x:c>
      <x:c r="B181" s="37" t="str">
        <x:v>백엔드·데이터·모더레이션</x:v>
      </x:c>
      <x:c r="C181" s="37" t="str">
        <x:v>커머스</x:v>
      </x:c>
      <x:c r="D181" s="37" t="str">
        <x:v>랜덤 상자</x:v>
      </x:c>
      <x:c r="E181" s="37" t="str">
        <x:v>외형 랜덤 상자 거래</x:v>
      </x:c>
      <x:c r="F181" s="37" t="str">
        <x:v>게임 규칙, 운영 요구사항과 대상 플랫폼 제약을 충족하도록 외형 랜덤 상자 거래 기능을 구현하고 검증한다.</x:v>
      </x:c>
      <x:c r="G181" s="37" t="str">
        <x:v>구매, 소비, 추첨, 지급, 중복 변환을 서버에서 멱등 처리하고 게임 성능에 영향을 주는 아이템은 포함하지 않는다.</x:v>
      </x:c>
      <x:c r="H181" s="37" t="str">
        <x:v>구현, 코드 리뷰, 사양 갱신, 대상 QA 케이스 실행, 로그·텔레메트리 확인과 관련 플랫폼 검증을 완료하고 미해결 P0·P1 결함이 없다.</x:v>
      </x:c>
      <x:c r="I181" s="37" t="str">
        <x:v>출시 후</x:v>
      </x:c>
      <x:c r="J181" s="37" t="str">
        <x:v>P3</x:v>
      </x:c>
      <x:c r="K181" s="37" t="str">
        <x:v>조건부</x:v>
      </x:c>
      <x:c r="L181" s="37" t="str">
        <x:v>커머스</x:v>
      </x:c>
      <x:c r="M181" s="37" t="str">
        <x:v>출시 후</x:v>
      </x:c>
      <x:c r="N181" s="37" t="str">
        <x:v>백엔드·라이브 운영</x:v>
      </x:c>
      <x:c r="O181" s="37" t="str">
        <x:v>미정</x:v>
      </x:c>
      <x:c r="P181" s="37" t="str">
        <x:v>미정</x:v>
      </x:c>
      <x:c r="Q181" s="37" t="str">
        <x:v>백엔드</x:v>
      </x:c>
      <x:c r="R181" s="37" t="str">
        <x:v>백엔드 권한</x:v>
      </x:c>
      <x:c r="S181" s="37" t="str">
        <x:v>계정</x:v>
      </x:c>
      <x:c r="T181" s="37" t="str">
        <x:v>XL</x:v>
      </x:c>
      <x:c r="U181" s="37" t="str">
        <x:v>미착수</x:v>
      </x:c>
      <x:c r="V181" s="42" t="n">
        <x:f>IF(U181="완료",1,IF(U181="QA 진행 중",0.8,IF(U181="코드 리뷰",0.65,IF(U181="구현 중",0.4,IF(U181="사양 확인 중",0.1,IF(U181="차단",0.4,0))))))</x:f>
        <x:v>0</x:v>
      </x:c>
      <x:c r="W181" s="37" t="str">
        <x:v>미정</x:v>
      </x:c>
      <x:c r="X181" s="40"/>
      <x:c r="Y181" s="37" t="str">
        <x:v>BED-004,BED-005,CHR-024</x:v>
      </x:c>
      <x:c r="Z181" s="37" t="str">
        <x:v>높음</x:v>
      </x:c>
      <x:c r="AA181" s="37" t="str">
        <x:v>보안</x:v>
      </x:c>
      <x:c r="AB181" s="37" t="str">
        <x:v>TC-BED-029-01</x:v>
      </x:c>
      <x:c r="AC181" s="37"/>
      <x:c r="AD181" s="37" t="str">
        <x:v>게임 기획서</x:v>
      </x:c>
      <x:c r="AE181" s="37"/>
      <x:c r="AF181" s="40" t="str">
        <x:v>2026-07-10</x:v>
      </x:c>
      <x:c r="AG181" s="37" t="str">
        <x:v>지역·연령·플랫폼 약관 검토 후에만 적용한다.</x:v>
      </x:c>
      <x:c r="AH181" s="49"/>
      <x:c r="AI181" s="49"/>
      <x:c r="AJ181" s="48" t="str">
        <x:v>착수 전</x:v>
      </x:c>
    </x:row>
    <x:row r="182" ht="42" customHeight="1">
      <x:c r="A182" s="37" t="str">
        <x:v>BED-030</x:v>
      </x:c>
      <x:c r="B182" s="37" t="str">
        <x:v>백엔드·데이터·모더레이션</x:v>
      </x:c>
      <x:c r="C182" s="37" t="str">
        <x:v>커머스</x:v>
      </x:c>
      <x:c r="D182" s="37" t="str">
        <x:v>규정 준수</x:v>
      </x:c>
      <x:c r="E182" s="37" t="str">
        <x:v>확률 표시·지역 규제·구매 한도</x:v>
      </x:c>
      <x:c r="F182" s="37" t="str">
        <x:v>게임 규칙, 운영 요구사항과 대상 플랫폼 제약을 충족하도록 확률 표시·지역 규제·구매 한도 기능을 구현하고 검증한다.</x:v>
      </x:c>
      <x:c r="G182" s="37" t="str">
        <x:v>추첨 확률, 중복 처리, 제공 기간, 연령·지역 제한, 구매 이력, 환불, 한도를 규정에 맞게 적용하고 설정 버전을 감사 가능하게 관리한다.</x:v>
      </x:c>
      <x:c r="H182" s="37" t="str">
        <x:v>구현, 코드 리뷰, 사양 갱신, 대상 QA 케이스 실행, 로그·텔레메트리 확인과 관련 플랫폼 검증을 완료하고 미해결 P0·P1 결함이 없다.</x:v>
      </x:c>
      <x:c r="I182" s="37" t="str">
        <x:v>출시 후</x:v>
      </x:c>
      <x:c r="J182" s="37" t="str">
        <x:v>P3</x:v>
      </x:c>
      <x:c r="K182" s="37" t="str">
        <x:v>조건부</x:v>
      </x:c>
      <x:c r="L182" s="37" t="str">
        <x:v>법무</x:v>
      </x:c>
      <x:c r="M182" s="37" t="str">
        <x:v>출시 후</x:v>
      </x:c>
      <x:c r="N182" s="37" t="str">
        <x:v>백엔드·라이브 운영</x:v>
      </x:c>
      <x:c r="O182" s="37" t="str">
        <x:v>미정</x:v>
      </x:c>
      <x:c r="P182" s="37" t="str">
        <x:v>미정</x:v>
      </x:c>
      <x:c r="Q182" s="37" t="str">
        <x:v>백엔드</x:v>
      </x:c>
      <x:c r="R182" s="37" t="str">
        <x:v>백엔드 권한</x:v>
      </x:c>
      <x:c r="S182" s="37" t="str">
        <x:v>감사 로그</x:v>
      </x:c>
      <x:c r="T182" s="37" t="str">
        <x:v>XL</x:v>
      </x:c>
      <x:c r="U182" s="37" t="str">
        <x:v>미착수</x:v>
      </x:c>
      <x:c r="V182" s="42" t="n">
        <x:f>IF(U182="완료",1,IF(U182="QA 진행 중",0.8,IF(U182="코드 리뷰",0.65,IF(U182="구현 중",0.4,IF(U182="사양 확인 중",0.1,IF(U182="차단",0.4,0))))))</x:f>
        <x:v>0</x:v>
      </x:c>
      <x:c r="W182" s="37" t="str">
        <x:v>미정</x:v>
      </x:c>
      <x:c r="X182" s="40"/>
      <x:c r="Y182" s="37" t="str">
        <x:v>BED-029,BED-013</x:v>
      </x:c>
      <x:c r="Z182" s="37" t="str">
        <x:v>높음</x:v>
      </x:c>
      <x:c r="AA182" s="37" t="str">
        <x:v>운영</x:v>
      </x:c>
      <x:c r="AB182" s="37" t="str">
        <x:v>TC-BED-030-01</x:v>
      </x:c>
      <x:c r="AC182" s="37"/>
      <x:c r="AD182" s="37" t="str">
        <x:v>게임 기획서</x:v>
      </x:c>
      <x:c r="AE182" s="37"/>
      <x:c r="AF182" s="40" t="str">
        <x:v>2026-07-10</x:v>
      </x:c>
      <x:c r="AG182" s="37"/>
      <x:c r="AH182" s="49"/>
      <x:c r="AI182" s="49"/>
      <x:c r="AJ182" s="48" t="str">
        <x:v>착수 전</x:v>
      </x:c>
    </x:row>
    <x:row r="183" ht="42" customHeight="1">
      <x:c r="A183" s="37" t="str">
        <x:v>CHR-001</x:v>
      </x:c>
      <x:c r="B183" s="37" t="str">
        <x:v>캐릭터·커스터마이징·커머스</x:v>
      </x:c>
      <x:c r="C183" s="37" t="str">
        <x:v>캐릭터 기반</x:v>
      </x:c>
      <x:c r="D183" s="37" t="str">
        <x:v>아트 방향</x:v>
      </x:c>
      <x:c r="E183" s="37" t="str">
        <x:v>대형 LED 헤드 마스코트 비율 정의</x:v>
      </x:c>
      <x:c r="F183" s="37" t="str">
        <x:v>게임 규칙, 운영 요구사항과 대상 플랫폼 제약을 충족하도록 대형 LED 헤드 마스코트 비율 정의 기능을 구현하고 검증한다.</x:v>
      </x:c>
      <x:c r="G183" s="37" t="str">
        <x:v>머리 60~70%, 몸 20~25%, 손발 10~20%의 기준을 모델 시트로 만들고 원거리에서도 플레이어 식별과 등 메모 영역을 확보한다.</x:v>
      </x:c>
      <x:c r="H183" s="37" t="str">
        <x:v>구현, 코드 리뷰, 사양 갱신, 대상 QA 케이스 실행, 로그·텔레메트리 확인과 관련 플랫폼 검증을 완료하고 미해결 P0·P1 결함이 없다.</x:v>
      </x:c>
      <x:c r="I183" s="37" t="str">
        <x:v>MVP</x:v>
      </x:c>
      <x:c r="J183" s="37" t="str">
        <x:v>P0</x:v>
      </x:c>
      <x:c r="K183" s="37" t="str">
        <x:v>필수</x:v>
      </x:c>
      <x:c r="L183" s="37" t="str">
        <x:v>캐릭터</x:v>
      </x:c>
      <x:c r="M183" s="37" t="str">
        <x:v>MVP</x:v>
      </x:c>
      <x:c r="N183" s="37" t="str">
        <x:v>캐릭터·경제 시스템 팀</x:v>
      </x:c>
      <x:c r="O183" s="37" t="str">
        <x:v>미정</x:v>
      </x:c>
      <x:c r="P183" s="37" t="str">
        <x:v>미정</x:v>
      </x:c>
      <x:c r="Q183" s="37" t="str">
        <x:v>전체</x:v>
      </x:c>
      <x:c r="R183" s="37" t="str">
        <x:v>콘텐츠 데이터</x:v>
      </x:c>
      <x:c r="S183" s="37" t="str">
        <x:v>없음</x:v>
      </x:c>
      <x:c r="T183" s="37" t="str">
        <x:v>M</x:v>
      </x:c>
      <x:c r="U183" s="37" t="str">
        <x:v>미착수</x:v>
      </x:c>
      <x:c r="V183" s="42" t="n">
        <x:f>IF(U183="완료",1,IF(U183="QA 진행 중",0.8,IF(U183="코드 리뷰",0.65,IF(U183="구현 중",0.4,IF(U183="사양 확인 중",0.1,IF(U183="차단",0.4,0))))))</x:f>
        <x:v>0</x:v>
      </x:c>
      <x:c r="W183" s="37" t="str">
        <x:v>미정</x:v>
      </x:c>
      <x:c r="X183" s="40"/>
      <x:c r="Y183" s="37"/>
      <x:c r="Z183" s="37" t="str">
        <x:v>중간</x:v>
      </x:c>
      <x:c r="AA183" s="37" t="str">
        <x:v>사용성</x:v>
      </x:c>
      <x:c r="AB183" s="37" t="str">
        <x:v>TC-CHR-001-01, TC-CHR-001-02</x:v>
      </x:c>
      <x:c r="AC183" s="37"/>
      <x:c r="AD183" s="37" t="str">
        <x:v>캐릭터 사양서 §1-2</x:v>
      </x:c>
      <x:c r="AE183" s="37"/>
      <x:c r="AF183" s="40" t="str">
        <x:v>2026-07-10</x:v>
      </x:c>
      <x:c r="AG183" s="37"/>
      <x:c r="AH183" s="49"/>
      <x:c r="AI183" s="49"/>
      <x:c r="AJ183" s="48" t="str">
        <x:v>착수 전</x:v>
      </x:c>
    </x:row>
    <x:row r="184" ht="42" customHeight="1">
      <x:c r="A184" s="37" t="str">
        <x:v>CHR-002</x:v>
      </x:c>
      <x:c r="B184" s="37" t="str">
        <x:v>캐릭터·커스터마이징·커머스</x:v>
      </x:c>
      <x:c r="C184" s="37" t="str">
        <x:v>캐릭터 기반</x:v>
      </x:c>
      <x:c r="D184" s="37" t="str">
        <x:v>기본 모델</x:v>
      </x:c>
      <x:c r="E184" s="37" t="str">
        <x:v>MVP 기본 캐릭터 모델</x:v>
      </x:c>
      <x:c r="F184" s="37" t="str">
        <x:v>게임 규칙, 운영 요구사항과 대상 플랫폼 제약을 충족하도록 MVP 기본 캐릭터 모델 기능을 구현하고 검증한다.</x:v>
      </x:c>
      <x:c r="G184" s="37" t="str">
        <x:v>둥근 사각형 LED 헤드, 기본 후드티, 장갑, 신발을 구현하고 지원 카메라 거리에서 형태와 재질이 깨지지 않는다.</x:v>
      </x:c>
      <x:c r="H184" s="37" t="str">
        <x:v>구현, 코드 리뷰, 사양 갱신, 대상 QA 케이스 실행, 로그·텔레메트리 확인과 관련 플랫폼 검증을 완료하고 미해결 P0·P1 결함이 없다.</x:v>
      </x:c>
      <x:c r="I184" s="37" t="str">
        <x:v>MVP</x:v>
      </x:c>
      <x:c r="J184" s="37" t="str">
        <x:v>P0</x:v>
      </x:c>
      <x:c r="K184" s="37" t="str">
        <x:v>필수</x:v>
      </x:c>
      <x:c r="L184" s="37" t="str">
        <x:v>캐릭터</x:v>
      </x:c>
      <x:c r="M184" s="37" t="str">
        <x:v>MVP</x:v>
      </x:c>
      <x:c r="N184" s="37" t="str">
        <x:v>캐릭터·경제 시스템 팀</x:v>
      </x:c>
      <x:c r="O184" s="37" t="str">
        <x:v>미정</x:v>
      </x:c>
      <x:c r="P184" s="37" t="str">
        <x:v>미정</x:v>
      </x:c>
      <x:c r="Q184" s="37" t="str">
        <x:v>전체</x:v>
      </x:c>
      <x:c r="R184" s="37" t="str">
        <x:v>클라이언트 로컬</x:v>
      </x:c>
      <x:c r="S184" s="37" t="str">
        <x:v>없음</x:v>
      </x:c>
      <x:c r="T184" s="37" t="str">
        <x:v>XL</x:v>
      </x:c>
      <x:c r="U184" s="37" t="str">
        <x:v>미착수</x:v>
      </x:c>
      <x:c r="V184" s="42" t="n">
        <x:f>IF(U184="완료",1,IF(U184="QA 진행 중",0.8,IF(U184="코드 리뷰",0.65,IF(U184="구현 중",0.4,IF(U184="사양 확인 중",0.1,IF(U184="차단",0.4,0))))))</x:f>
        <x:v>0</x:v>
      </x:c>
      <x:c r="W184" s="37" t="str">
        <x:v>미정</x:v>
      </x:c>
      <x:c r="X184" s="40"/>
      <x:c r="Y184" s="37" t="str">
        <x:v>CHR-001</x:v>
      </x:c>
      <x:c r="Z184" s="37" t="str">
        <x:v>중간</x:v>
      </x:c>
      <x:c r="AA184" s="37" t="str">
        <x:v>호환성</x:v>
      </x:c>
      <x:c r="AB184" s="37" t="str">
        <x:v>TC-CHR-002-01, TC-CHR-002-02</x:v>
      </x:c>
      <x:c r="AC184" s="37"/>
      <x:c r="AD184" s="37" t="str">
        <x:v>캐릭터 사양서 §2, §6, §12</x:v>
      </x:c>
      <x:c r="AE184" s="37"/>
      <x:c r="AF184" s="40" t="str">
        <x:v>2026-07-10</x:v>
      </x:c>
      <x:c r="AG184" s="37"/>
      <x:c r="AH184" s="49"/>
      <x:c r="AI184" s="49"/>
      <x:c r="AJ184" s="48" t="str">
        <x:v>착수 전</x:v>
      </x:c>
    </x:row>
    <x:row r="185" ht="42" customHeight="1">
      <x:c r="A185" s="37" t="str">
        <x:v>CHR-003</x:v>
      </x:c>
      <x:c r="B185" s="37" t="str">
        <x:v>캐릭터·커스터마이징·커머스</x:v>
      </x:c>
      <x:c r="C185" s="37" t="str">
        <x:v>캐릭터 기반</x:v>
      </x:c>
      <x:c r="D185" s="37" t="str">
        <x:v>리그</x:v>
      </x:c>
      <x:c r="E185" s="37" t="str">
        <x:v>공통 리그·스키닝·IK</x:v>
      </x:c>
      <x:c r="F185" s="37" t="str">
        <x:v>게임 규칙, 운영 요구사항과 대상 플랫폼 제약을 충족하도록 공통 리그·스키닝·IK 기능을 구현하고 검증한다.</x:v>
      </x:c>
      <x:c r="G185" s="37" t="str">
        <x:v>이동, 메모 부착, 미니게임, 투표, 이모트에 필요한 본과 IK를 정의하고 머리 형태가 달라도 공통 애니메이션을 사용할 수 있다.</x:v>
      </x:c>
      <x:c r="H185" s="37" t="str">
        <x:v>구현, 코드 리뷰, 사양 갱신, 대상 QA 케이스 실행, 로그·텔레메트리 확인과 관련 플랫폼 검증을 완료하고 미해결 P0·P1 결함이 없다.</x:v>
      </x:c>
      <x:c r="I185" s="37" t="str">
        <x:v>MVP</x:v>
      </x:c>
      <x:c r="J185" s="37" t="str">
        <x:v>P0</x:v>
      </x:c>
      <x:c r="K185" s="37" t="str">
        <x:v>필수</x:v>
      </x:c>
      <x:c r="L185" s="37" t="str">
        <x:v>캐릭터</x:v>
      </x:c>
      <x:c r="M185" s="37" t="str">
        <x:v>MVP</x:v>
      </x:c>
      <x:c r="N185" s="37" t="str">
        <x:v>캐릭터·경제 시스템 팀</x:v>
      </x:c>
      <x:c r="O185" s="37" t="str">
        <x:v>미정</x:v>
      </x:c>
      <x:c r="P185" s="37" t="str">
        <x:v>미정</x:v>
      </x:c>
      <x:c r="Q185" s="37" t="str">
        <x:v>전체</x:v>
      </x:c>
      <x:c r="R185" s="37" t="str">
        <x:v>클라이언트 로컬</x:v>
      </x:c>
      <x:c r="S185" s="37" t="str">
        <x:v>없음</x:v>
      </x:c>
      <x:c r="T185" s="37" t="str">
        <x:v>XL</x:v>
      </x:c>
      <x:c r="U185" s="37" t="str">
        <x:v>미착수</x:v>
      </x:c>
      <x:c r="V185" s="42" t="n">
        <x:f>IF(U185="완료",1,IF(U185="QA 진행 중",0.8,IF(U185="코드 리뷰",0.65,IF(U185="구현 중",0.4,IF(U185="사양 확인 중",0.1,IF(U185="차단",0.4,0))))))</x:f>
        <x:v>0</x:v>
      </x:c>
      <x:c r="W185" s="37" t="str">
        <x:v>미정</x:v>
      </x:c>
      <x:c r="X185" s="40"/>
      <x:c r="Y185" s="37" t="str">
        <x:v>CHR-002</x:v>
      </x:c>
      <x:c r="Z185" s="37" t="str">
        <x:v>중간</x:v>
      </x:c>
      <x:c r="AA185" s="37" t="str">
        <x:v>기능</x:v>
      </x:c>
      <x:c r="AB185" s="37" t="str">
        <x:v>TC-CHR-003-01, TC-CHR-003-02</x:v>
      </x:c>
      <x:c r="AC185" s="37"/>
      <x:c r="AD185" s="37" t="str">
        <x:v>게임 기획서</x:v>
      </x:c>
      <x:c r="AE185" s="37"/>
      <x:c r="AF185" s="40" t="str">
        <x:v>2026-07-10</x:v>
      </x:c>
      <x:c r="AG185" s="37"/>
      <x:c r="AH185" s="49"/>
      <x:c r="AI185" s="49"/>
      <x:c r="AJ185" s="48" t="str">
        <x:v>착수 전</x:v>
      </x:c>
    </x:row>
    <x:row r="186" ht="42" customHeight="1">
      <x:c r="A186" s="37" t="str">
        <x:v>CHR-004</x:v>
      </x:c>
      <x:c r="B186" s="37" t="str">
        <x:v>캐릭터·커스터마이징·커머스</x:v>
      </x:c>
      <x:c r="C186" s="37" t="str">
        <x:v>LED 헤드</x:v>
      </x:c>
      <x:c r="D186" s="37" t="str">
        <x:v>렌더링</x:v>
      </x:c>
      <x:c r="E186" s="37" t="str">
        <x:v>LED 도트 매트릭스 표시 기반</x:v>
      </x:c>
      <x:c r="F186" s="37" t="str">
        <x:v>게임 규칙, 운영 요구사항과 대상 플랫폼 제약을 충족하도록 LED 도트 매트릭스 표시 기반 기능을 구현하고 검증한다.</x:v>
      </x:c>
      <x:c r="G186" s="37" t="str">
        <x:v>머리 전면에 표정과 아이콘을 표시하고 밝기, 블룸, 점멸, 거리 LOD가 밤 관찰과 색상 판정을 방해하지 않으며 저자극 설정을 지원한다.</x:v>
      </x:c>
      <x:c r="H186" s="37" t="str">
        <x:v>구현, 코드 리뷰, 사양 갱신, 대상 QA 케이스 실행, 로그·텔레메트리 확인과 관련 플랫폼 검증을 완료하고 미해결 P0·P1 결함이 없다.</x:v>
      </x:c>
      <x:c r="I186" s="37" t="str">
        <x:v>MVP</x:v>
      </x:c>
      <x:c r="J186" s="37" t="str">
        <x:v>P0</x:v>
      </x:c>
      <x:c r="K186" s="37" t="str">
        <x:v>필수</x:v>
      </x:c>
      <x:c r="L186" s="37" t="str">
        <x:v>판독성</x:v>
      </x:c>
      <x:c r="M186" s="37" t="str">
        <x:v>MVP</x:v>
      </x:c>
      <x:c r="N186" s="37" t="str">
        <x:v>캐릭터·경제 시스템 팀</x:v>
      </x:c>
      <x:c r="O186" s="37" t="str">
        <x:v>미정</x:v>
      </x:c>
      <x:c r="P186" s="37" t="str">
        <x:v>미정</x:v>
      </x:c>
      <x:c r="Q186" s="37" t="str">
        <x:v>전체</x:v>
      </x:c>
      <x:c r="R186" s="37" t="str">
        <x:v>클라이언트 로컬</x:v>
      </x:c>
      <x:c r="S186" s="37" t="str">
        <x:v>없음</x:v>
      </x:c>
      <x:c r="T186" s="37" t="str">
        <x:v>XL</x:v>
      </x:c>
      <x:c r="U186" s="37" t="str">
        <x:v>미착수</x:v>
      </x:c>
      <x:c r="V186" s="42" t="n">
        <x:f>IF(U186="완료",1,IF(U186="QA 진행 중",0.8,IF(U186="코드 리뷰",0.65,IF(U186="구현 중",0.4,IF(U186="사양 확인 중",0.1,IF(U186="차단",0.4,0))))))</x:f>
        <x:v>0</x:v>
      </x:c>
      <x:c r="W186" s="37" t="str">
        <x:v>미정</x:v>
      </x:c>
      <x:c r="X186" s="40"/>
      <x:c r="Y186" s="37" t="str">
        <x:v>CHR-002,SET-025</x:v>
      </x:c>
      <x:c r="Z186" s="37" t="str">
        <x:v>중간</x:v>
      </x:c>
      <x:c r="AA186" s="37" t="str">
        <x:v>접근성</x:v>
      </x:c>
      <x:c r="AB186" s="37" t="str">
        <x:v>TC-CHR-004-01, TC-CHR-004-02</x:v>
      </x:c>
      <x:c r="AC186" s="37"/>
      <x:c r="AD186" s="37" t="str">
        <x:v>캐릭터 사양서 §4</x:v>
      </x:c>
      <x:c r="AE186" s="37"/>
      <x:c r="AF186" s="40" t="str">
        <x:v>2026-07-10</x:v>
      </x:c>
      <x:c r="AG186" s="37"/>
      <x:c r="AH186" s="49"/>
      <x:c r="AI186" s="49"/>
      <x:c r="AJ186" s="48" t="str">
        <x:v>착수 전</x:v>
      </x:c>
    </x:row>
    <x:row r="187" ht="42" customHeight="1">
      <x:c r="A187" s="37" t="str">
        <x:v>CHR-005</x:v>
      </x:c>
      <x:c r="B187" s="37" t="str">
        <x:v>캐릭터·커스터마이징·커머스</x:v>
      </x:c>
      <x:c r="C187" s="37" t="str">
        <x:v>플레이어 식별</x:v>
      </x:c>
      <x:c r="D187" s="37" t="str">
        <x:v>색상 팔레트</x:v>
      </x:c>
      <x:c r="E187" s="37" t="str">
        <x:v>4~8색 플레이어 식별 팔레트</x:v>
      </x:c>
      <x:c r="F187" s="37" t="str">
        <x:v>게임 규칙, 운영 요구사항과 대상 플랫폼 제약을 충족하도록 4~8색 플레이어 식별 팔레트 기능을 구현하고 검증한다.</x:v>
      </x:c>
      <x:c r="G187" s="37" t="str">
        <x:v>빨강, 파랑, 노랑, 초록, 보라, 주황 등을 조명, 색각 특성, 디스플레이 조건에서 검증하고 몸, LED, UI, 메모에 같은 색상 ID를 적용한다.</x:v>
      </x:c>
      <x:c r="H187" s="37" t="str">
        <x:v>구현, 코드 리뷰, 사양 갱신, 대상 QA 케이스 실행, 로그·텔레메트리 확인과 관련 플랫폼 검증을 완료하고 미해결 P0·P1 결함이 없다.</x:v>
      </x:c>
      <x:c r="I187" s="37" t="str">
        <x:v>MVP</x:v>
      </x:c>
      <x:c r="J187" s="37" t="str">
        <x:v>P0</x:v>
      </x:c>
      <x:c r="K187" s="37" t="str">
        <x:v>필수</x:v>
      </x:c>
      <x:c r="L187" s="37" t="str">
        <x:v>판독성</x:v>
      </x:c>
      <x:c r="M187" s="37" t="str">
        <x:v>MVP</x:v>
      </x:c>
      <x:c r="N187" s="37" t="str">
        <x:v>캐릭터·경제 시스템 팀</x:v>
      </x:c>
      <x:c r="O187" s="37" t="str">
        <x:v>미정</x:v>
      </x:c>
      <x:c r="P187" s="37" t="str">
        <x:v>미정</x:v>
      </x:c>
      <x:c r="Q187" s="37" t="str">
        <x:v>전체</x:v>
      </x:c>
      <x:c r="R187" s="37" t="str">
        <x:v>콘텐츠 데이터</x:v>
      </x:c>
      <x:c r="S187" s="37" t="str">
        <x:v>없음</x:v>
      </x:c>
      <x:c r="T187" s="37" t="str">
        <x:v>L</x:v>
      </x:c>
      <x:c r="U187" s="37" t="str">
        <x:v>미착수</x:v>
      </x:c>
      <x:c r="V187" s="42" t="n">
        <x:f>IF(U187="완료",1,IF(U187="QA 진행 중",0.8,IF(U187="코드 리뷰",0.65,IF(U187="구현 중",0.4,IF(U187="사양 확인 중",0.1,IF(U187="차단",0.4,0))))))</x:f>
        <x:v>0</x:v>
      </x:c>
      <x:c r="W187" s="37" t="str">
        <x:v>미정</x:v>
      </x:c>
      <x:c r="X187" s="40"/>
      <x:c r="Y187" s="37" t="str">
        <x:v>CHR-004</x:v>
      </x:c>
      <x:c r="Z187" s="37" t="str">
        <x:v>중간</x:v>
      </x:c>
      <x:c r="AA187" s="37" t="str">
        <x:v>접근성</x:v>
      </x:c>
      <x:c r="AB187" s="37" t="str">
        <x:v>TC-CHR-005-01, TC-CHR-005-02</x:v>
      </x:c>
      <x:c r="AC187" s="37"/>
      <x:c r="AD187" s="37" t="str">
        <x:v>캐릭터 사양서 §5</x:v>
      </x:c>
      <x:c r="AE187" s="37"/>
      <x:c r="AF187" s="40" t="str">
        <x:v>2026-07-10</x:v>
      </x:c>
      <x:c r="AG187" s="37"/>
      <x:c r="AH187" s="49"/>
      <x:c r="AI187" s="49"/>
      <x:c r="AJ187" s="48" t="str">
        <x:v>착수 전</x:v>
      </x:c>
    </x:row>
    <x:row r="188" ht="42" customHeight="1">
      <x:c r="A188" s="37" t="str">
        <x:v>CHR-006</x:v>
      </x:c>
      <x:c r="B188" s="37" t="str">
        <x:v>캐릭터·커스터마이징·커머스</x:v>
      </x:c>
      <x:c r="C188" s="37" t="str">
        <x:v>플레이어 식별</x:v>
      </x:c>
      <x:c r="D188" s="37" t="str">
        <x:v>머티리얼</x:v>
      </x:c>
      <x:c r="E188" s="37" t="str">
        <x:v>몸·LED·포인트 색상 적용 규칙</x:v>
      </x:c>
      <x:c r="F188" s="37" t="str">
        <x:v>게임 규칙, 운영 요구사항과 대상 플랫폼 제약을 충족하도록 몸·LED·포인트 색상 적용 규칙 기능을 구현하고 검증한다.</x:v>
      </x:c>
      <x:c r="G188" s="37" t="str">
        <x:v>의상을 변경해도 주요 면적에 본인 색상이 유지되고 다른 플레이어 색상이나 메모 색상으로 오인할 수 있는 보조 색상을 제한한다.</x:v>
      </x:c>
      <x:c r="H188" s="37" t="str">
        <x:v>구현, 코드 리뷰, 사양 갱신, 대상 QA 케이스 실행, 로그·텔레메트리 확인과 관련 플랫폼 검증을 완료하고 미해결 P0·P1 결함이 없다.</x:v>
      </x:c>
      <x:c r="I188" s="37" t="str">
        <x:v>MVP</x:v>
      </x:c>
      <x:c r="J188" s="37" t="str">
        <x:v>P0</x:v>
      </x:c>
      <x:c r="K188" s="37" t="str">
        <x:v>필수</x:v>
      </x:c>
      <x:c r="L188" s="37" t="str">
        <x:v>판독성</x:v>
      </x:c>
      <x:c r="M188" s="37" t="str">
        <x:v>MVP</x:v>
      </x:c>
      <x:c r="N188" s="37" t="str">
        <x:v>캐릭터·경제 시스템 팀</x:v>
      </x:c>
      <x:c r="O188" s="37" t="str">
        <x:v>미정</x:v>
      </x:c>
      <x:c r="P188" s="37" t="str">
        <x:v>미정</x:v>
      </x:c>
      <x:c r="Q188" s="37" t="str">
        <x:v>전체</x:v>
      </x:c>
      <x:c r="R188" s="37" t="str">
        <x:v>콘텐츠 데이터</x:v>
      </x:c>
      <x:c r="S188" s="37" t="str">
        <x:v>없음</x:v>
      </x:c>
      <x:c r="T188" s="37" t="str">
        <x:v>M</x:v>
      </x:c>
      <x:c r="U188" s="37" t="str">
        <x:v>미착수</x:v>
      </x:c>
      <x:c r="V188" s="42" t="n">
        <x:f>IF(U188="완료",1,IF(U188="QA 진행 중",0.8,IF(U188="코드 리뷰",0.65,IF(U188="구현 중",0.4,IF(U188="사양 확인 중",0.1,IF(U188="차단",0.4,0))))))</x:f>
        <x:v>0</x:v>
      </x:c>
      <x:c r="W188" s="37" t="str">
        <x:v>미정</x:v>
      </x:c>
      <x:c r="X188" s="40"/>
      <x:c r="Y188" s="37" t="str">
        <x:v>CHR-005</x:v>
      </x:c>
      <x:c r="Z188" s="37" t="str">
        <x:v>중간</x:v>
      </x:c>
      <x:c r="AA188" s="37" t="str">
        <x:v>사용성</x:v>
      </x:c>
      <x:c r="AB188" s="37" t="str">
        <x:v>TC-CHR-006-01, TC-CHR-006-02</x:v>
      </x:c>
      <x:c r="AC188" s="37"/>
      <x:c r="AD188" s="37" t="str">
        <x:v>게임 기획서</x:v>
      </x:c>
      <x:c r="AE188" s="37"/>
      <x:c r="AF188" s="40" t="str">
        <x:v>2026-07-10</x:v>
      </x:c>
      <x:c r="AG188" s="37"/>
      <x:c r="AH188" s="49"/>
      <x:c r="AI188" s="49"/>
      <x:c r="AJ188" s="48" t="str">
        <x:v>착수 전</x:v>
      </x:c>
    </x:row>
    <x:row r="189" ht="42" customHeight="1">
      <x:c r="A189" s="37" t="str">
        <x:v>CHR-007</x:v>
      </x:c>
      <x:c r="B189" s="37" t="str">
        <x:v>캐릭터·커스터마이징·커머스</x:v>
      </x:c>
      <x:c r="C189" s="37" t="str">
        <x:v>애니메이션</x:v>
      </x:c>
      <x:c r="D189" s="37" t="str">
        <x:v>이동 제어</x:v>
      </x:c>
      <x:c r="E189" s="37" t="str">
        <x:v>이동·정지·회전·집결 텔레포트</x:v>
      </x:c>
      <x:c r="F189" s="37" t="str">
        <x:v>게임 규칙, 운영 요구사항과 대상 플랫폼 제약을 충족하도록 이동·정지·회전·집결 텔레포트 기능을 구현하고 검증한다.</x:v>
      </x:c>
      <x:c r="G189" s="37" t="str">
        <x:v>작은 몸과 큰 머리 구성에서 발 미끄러짐, 머리 관통, 급회전 오류가 없고 밤 집결 전환을 안정적으로 재생한다.</x:v>
      </x:c>
      <x:c r="H189" s="37" t="str">
        <x:v>구현, 코드 리뷰, 사양 갱신, 대상 QA 케이스 실행, 로그·텔레메트리 확인과 관련 플랫폼 검증을 완료하고 미해결 P0·P1 결함이 없다.</x:v>
      </x:c>
      <x:c r="I189" s="37" t="str">
        <x:v>MVP</x:v>
      </x:c>
      <x:c r="J189" s="37" t="str">
        <x:v>P0</x:v>
      </x:c>
      <x:c r="K189" s="37" t="str">
        <x:v>필수</x:v>
      </x:c>
      <x:c r="L189" s="37" t="str">
        <x:v>애니메이션</x:v>
      </x:c>
      <x:c r="M189" s="37" t="str">
        <x:v>MVP</x:v>
      </x:c>
      <x:c r="N189" s="37" t="str">
        <x:v>캐릭터·경제 시스템 팀</x:v>
      </x:c>
      <x:c r="O189" s="37" t="str">
        <x:v>미정</x:v>
      </x:c>
      <x:c r="P189" s="37" t="str">
        <x:v>미정</x:v>
      </x:c>
      <x:c r="Q189" s="37" t="str">
        <x:v>전체</x:v>
      </x:c>
      <x:c r="R189" s="37" t="str">
        <x:v>클라이언트 로컬</x:v>
      </x:c>
      <x:c r="S189" s="37" t="str">
        <x:v>없음</x:v>
      </x:c>
      <x:c r="T189" s="37" t="str">
        <x:v>L</x:v>
      </x:c>
      <x:c r="U189" s="37" t="str">
        <x:v>미착수</x:v>
      </x:c>
      <x:c r="V189" s="42" t="n">
        <x:f>IF(U189="완료",1,IF(U189="QA 진행 중",0.8,IF(U189="코드 리뷰",0.65,IF(U189="구현 중",0.4,IF(U189="사양 확인 중",0.1,IF(U189="차단",0.4,0))))))</x:f>
        <x:v>0</x:v>
      </x:c>
      <x:c r="W189" s="37" t="str">
        <x:v>미정</x:v>
      </x:c>
      <x:c r="X189" s="40"/>
      <x:c r="Y189" s="37" t="str">
        <x:v>CHR-003,NET-009</x:v>
      </x:c>
      <x:c r="Z189" s="37" t="str">
        <x:v>중간</x:v>
      </x:c>
      <x:c r="AA189" s="37" t="str">
        <x:v>기능</x:v>
      </x:c>
      <x:c r="AB189" s="37" t="str">
        <x:v>TC-CHR-007-01, TC-CHR-007-02</x:v>
      </x:c>
      <x:c r="AC189" s="37"/>
      <x:c r="AD189" s="37" t="str">
        <x:v>게임 기획서</x:v>
      </x:c>
      <x:c r="AE189" s="37"/>
      <x:c r="AF189" s="40" t="str">
        <x:v>2026-07-10</x:v>
      </x:c>
      <x:c r="AG189" s="37"/>
      <x:c r="AH189" s="49"/>
      <x:c r="AI189" s="49"/>
      <x:c r="AJ189" s="48" t="str">
        <x:v>착수 전</x:v>
      </x:c>
    </x:row>
    <x:row r="190" ht="42" customHeight="1">
      <x:c r="A190" s="37" t="str">
        <x:v>CHR-008</x:v>
      </x:c>
      <x:c r="B190" s="37" t="str">
        <x:v>캐릭터·커스터마이징·커머스</x:v>
      </x:c>
      <x:c r="C190" s="37" t="str">
        <x:v>애니메이션</x:v>
      </x:c>
      <x:c r="D190" s="37" t="str">
        <x:v>메모 부착</x:v>
      </x:c>
      <x:c r="E190" s="37" t="str">
        <x:v>관찰 가능한 메모 부착 애니메이션</x:v>
      </x:c>
      <x:c r="F190" s="37" t="str">
        <x:v>게임 규칙, 운영 요구사항과 대상 플랫폼 제약을 충족하도록 관찰 가능한 메모 부착 애니메이션 기능을 구현하고 검증한다.</x:v>
      </x:c>
      <x:c r="G190" s="37" t="str">
        <x:v>등 뒤로 손을 뻗는 약 1.5초 동작을 주변 플레이어가 인지할 수 있지만 원거리에서 메모 색상이나 문구를 읽게 만드는 과도한 연출은 하지 않는다.</x:v>
      </x:c>
      <x:c r="H190" s="37" t="str">
        <x:v>구현, 코드 리뷰, 사양 갱신, 대상 QA 케이스 실행, 로그·텔레메트리 확인과 관련 플랫폼 검증을 완료하고 미해결 P0·P1 결함이 없다.</x:v>
      </x:c>
      <x:c r="I190" s="37" t="str">
        <x:v>MVP</x:v>
      </x:c>
      <x:c r="J190" s="37" t="str">
        <x:v>P0</x:v>
      </x:c>
      <x:c r="K190" s="37" t="str">
        <x:v>필수</x:v>
      </x:c>
      <x:c r="L190" s="37" t="str">
        <x:v>핵심 규칙</x:v>
      </x:c>
      <x:c r="M190" s="37" t="str">
        <x:v>MVP</x:v>
      </x:c>
      <x:c r="N190" s="37" t="str">
        <x:v>캐릭터·경제 시스템 팀</x:v>
      </x:c>
      <x:c r="O190" s="37" t="str">
        <x:v>미정</x:v>
      </x:c>
      <x:c r="P190" s="37" t="str">
        <x:v>미정</x:v>
      </x:c>
      <x:c r="Q190" s="37" t="str">
        <x:v>전체</x:v>
      </x:c>
      <x:c r="R190" s="37" t="str">
        <x:v>클라이언트 예측·서버 검증</x:v>
      </x:c>
      <x:c r="S190" s="37" t="str">
        <x:v>없음</x:v>
      </x:c>
      <x:c r="T190" s="37" t="str">
        <x:v>L</x:v>
      </x:c>
      <x:c r="U190" s="37" t="str">
        <x:v>미착수</x:v>
      </x:c>
      <x:c r="V190" s="42" t="n">
        <x:f>IF(U190="완료",1,IF(U190="QA 진행 중",0.8,IF(U190="코드 리뷰",0.65,IF(U190="구현 중",0.4,IF(U190="사양 확인 중",0.1,IF(U190="차단",0.4,0))))))</x:f>
        <x:v>0</x:v>
      </x:c>
      <x:c r="W190" s="37" t="str">
        <x:v>미정</x:v>
      </x:c>
      <x:c r="X190" s="40"/>
      <x:c r="Y190" s="37" t="str">
        <x:v>CHR-003,IGM-017</x:v>
      </x:c>
      <x:c r="Z190" s="37" t="str">
        <x:v>중간</x:v>
      </x:c>
      <x:c r="AA190" s="37" t="str">
        <x:v>사용성</x:v>
      </x:c>
      <x:c r="AB190" s="37" t="str">
        <x:v>TC-CHR-008-01, TC-CHR-008-02</x:v>
      </x:c>
      <x:c r="AC190" s="37"/>
      <x:c r="AD190" s="37" t="str">
        <x:v>게임 기획서 §7.4</x:v>
      </x:c>
      <x:c r="AE190" s="37"/>
      <x:c r="AF190" s="40" t="str">
        <x:v>2026-07-10</x:v>
      </x:c>
      <x:c r="AG190" s="37"/>
      <x:c r="AH190" s="49"/>
      <x:c r="AI190" s="49"/>
      <x:c r="AJ190" s="48" t="str">
        <x:v>착수 전</x:v>
      </x:c>
    </x:row>
    <x:row r="191" ht="42" customHeight="1">
      <x:c r="A191" s="37" t="str">
        <x:v>CHR-009</x:v>
      </x:c>
      <x:c r="B191" s="37" t="str">
        <x:v>캐릭터·커스터마이징·커머스</x:v>
      </x:c>
      <x:c r="C191" s="37" t="str">
        <x:v>메모 표시</x:v>
      </x:c>
      <x:c r="D191" s="37" t="str">
        <x:v>소켓</x:v>
      </x:c>
      <x:c r="E191" s="37" t="str">
        <x:v>등 메모 소켓·기준면</x:v>
      </x:c>
      <x:c r="F191" s="37" t="str">
        <x:v>게임 규칙, 운영 요구사항과 대상 플랫폼 제약을 충족하도록 등 메모 소켓·기준면 기능을 구현하고 검증한다.</x:v>
      </x:c>
      <x:c r="G191" s="37" t="str">
        <x:v>등 중앙 또는 머리 뒤쪽 하단에 공통 기준면을 정의하고 모든 머리·의상에서 위치, 법선, 크기, 충돌 영역을 검증한다.</x:v>
      </x:c>
      <x:c r="H191" s="37" t="str">
        <x:v>구현, 코드 리뷰, 사양 갱신, 대상 QA 케이스 실행, 로그·텔레메트리 확인과 관련 플랫폼 검증을 완료하고 미해결 P0·P1 결함이 없다.</x:v>
      </x:c>
      <x:c r="I191" s="37" t="str">
        <x:v>MVP</x:v>
      </x:c>
      <x:c r="J191" s="37" t="str">
        <x:v>P0</x:v>
      </x:c>
      <x:c r="K191" s="37" t="str">
        <x:v>필수</x:v>
      </x:c>
      <x:c r="L191" s="37" t="str">
        <x:v>메모</x:v>
      </x:c>
      <x:c r="M191" s="37" t="str">
        <x:v>MVP</x:v>
      </x:c>
      <x:c r="N191" s="37" t="str">
        <x:v>캐릭터·경제 시스템 팀</x:v>
      </x:c>
      <x:c r="O191" s="37" t="str">
        <x:v>미정</x:v>
      </x:c>
      <x:c r="P191" s="37" t="str">
        <x:v>미정</x:v>
      </x:c>
      <x:c r="Q191" s="37" t="str">
        <x:v>전체</x:v>
      </x:c>
      <x:c r="R191" s="37" t="str">
        <x:v>콘텐츠 데이터</x:v>
      </x:c>
      <x:c r="S191" s="37" t="str">
        <x:v>없음</x:v>
      </x:c>
      <x:c r="T191" s="37" t="str">
        <x:v>M</x:v>
      </x:c>
      <x:c r="U191" s="37" t="str">
        <x:v>미착수</x:v>
      </x:c>
      <x:c r="V191" s="42" t="n">
        <x:f>IF(U191="완료",1,IF(U191="QA 진행 중",0.8,IF(U191="코드 리뷰",0.65,IF(U191="구현 중",0.4,IF(U191="사양 확인 중",0.1,IF(U191="차단",0.4,0))))))</x:f>
        <x:v>0</x:v>
      </x:c>
      <x:c r="W191" s="37" t="str">
        <x:v>미정</x:v>
      </x:c>
      <x:c r="X191" s="40"/>
      <x:c r="Y191" s="37" t="str">
        <x:v>CHR-002</x:v>
      </x:c>
      <x:c r="Z191" s="37" t="str">
        <x:v>중간</x:v>
      </x:c>
      <x:c r="AA191" s="37" t="str">
        <x:v>기능</x:v>
      </x:c>
      <x:c r="AB191" s="37" t="str">
        <x:v>TC-CHR-009-01, TC-CHR-009-02</x:v>
      </x:c>
      <x:c r="AC191" s="37"/>
      <x:c r="AD191" s="37" t="str">
        <x:v>캐릭터 사양서 §7</x:v>
      </x:c>
      <x:c r="AE191" s="37"/>
      <x:c r="AF191" s="40" t="str">
        <x:v>2026-07-10</x:v>
      </x:c>
      <x:c r="AG191" s="37"/>
      <x:c r="AH191" s="49"/>
      <x:c r="AI191" s="49"/>
      <x:c r="AJ191" s="48" t="str">
        <x:v>착수 전</x:v>
      </x:c>
    </x:row>
    <x:row r="192" ht="42" customHeight="1">
      <x:c r="A192" s="37" t="str">
        <x:v>CHR-010</x:v>
      </x:c>
      <x:c r="B192" s="37" t="str">
        <x:v>캐릭터·커스터마이징·커머스</x:v>
      </x:c>
      <x:c r="C192" s="37" t="str">
        <x:v>메모 표시</x:v>
      </x:c>
      <x:c r="D192" s="37" t="str">
        <x:v>레이아웃</x:v>
      </x:c>
      <x:c r="E192" s="37" t="str">
        <x:v>최대 6장 등 메모 레이아웃</x:v>
      </x:c>
      <x:c r="F192" s="37" t="str">
        <x:v>게임 규칙, 운영 요구사항과 대상 플랫폼 제약을 충족하도록 최대 6장 등 메모 레이아웃 기능을 구현하고 검증한다.</x:v>
      </x:c>
      <x:c r="G192" s="37" t="str">
        <x:v>오래된 메모부터 왼쪽 위→오른쪽 아래로 배치하고 크기, 겹침, 곡면 추종, 흔들림을 통일한다. 카메라 각도에 따라 순서가 반전되지 않는다.</x:v>
      </x:c>
      <x:c r="H192" s="37" t="str">
        <x:v>구현, 코드 리뷰, 사양 갱신, 대상 QA 케이스 실행, 로그·텔레메트리 확인과 관련 플랫폼 검증을 완료하고 미해결 P0·P1 결함이 없다.</x:v>
      </x:c>
      <x:c r="I192" s="37" t="str">
        <x:v>MVP</x:v>
      </x:c>
      <x:c r="J192" s="37" t="str">
        <x:v>P0</x:v>
      </x:c>
      <x:c r="K192" s="37" t="str">
        <x:v>필수</x:v>
      </x:c>
      <x:c r="L192" s="37" t="str">
        <x:v>판독성</x:v>
      </x:c>
      <x:c r="M192" s="37" t="str">
        <x:v>MVP</x:v>
      </x:c>
      <x:c r="N192" s="37" t="str">
        <x:v>캐릭터·경제 시스템 팀</x:v>
      </x:c>
      <x:c r="O192" s="37" t="str">
        <x:v>미정</x:v>
      </x:c>
      <x:c r="P192" s="37" t="str">
        <x:v>미정</x:v>
      </x:c>
      <x:c r="Q192" s="37" t="str">
        <x:v>전체</x:v>
      </x:c>
      <x:c r="R192" s="37" t="str">
        <x:v>클라이언트 로컬</x:v>
      </x:c>
      <x:c r="S192" s="37" t="str">
        <x:v>없음</x:v>
      </x:c>
      <x:c r="T192" s="37" t="str">
        <x:v>L</x:v>
      </x:c>
      <x:c r="U192" s="37" t="str">
        <x:v>미착수</x:v>
      </x:c>
      <x:c r="V192" s="42" t="n">
        <x:f>IF(U192="완료",1,IF(U192="QA 진행 중",0.8,IF(U192="코드 리뷰",0.65,IF(U192="구현 중",0.4,IF(U192="사양 확인 중",0.1,IF(U192="차단",0.4,0))))))</x:f>
        <x:v>0</x:v>
      </x:c>
      <x:c r="W192" s="37" t="str">
        <x:v>미정</x:v>
      </x:c>
      <x:c r="X192" s="40"/>
      <x:c r="Y192" s="37" t="str">
        <x:v>CHR-009,IGM-021</x:v>
      </x:c>
      <x:c r="Z192" s="37" t="str">
        <x:v>중간</x:v>
      </x:c>
      <x:c r="AA192" s="37" t="str">
        <x:v>사용성</x:v>
      </x:c>
      <x:c r="AB192" s="37" t="str">
        <x:v>TC-CHR-010-01, TC-CHR-010-02</x:v>
      </x:c>
      <x:c r="AC192" s="37"/>
      <x:c r="AD192" s="37" t="str">
        <x:v>게임 기획서</x:v>
      </x:c>
      <x:c r="AE192" s="37"/>
      <x:c r="AF192" s="40" t="str">
        <x:v>2026-07-10</x:v>
      </x:c>
      <x:c r="AG192" s="37"/>
      <x:c r="AH192" s="49"/>
      <x:c r="AI192" s="49"/>
      <x:c r="AJ192" s="48" t="str">
        <x:v>착수 전</x:v>
      </x:c>
    </x:row>
    <x:row r="193" ht="42" customHeight="1">
      <x:c r="A193" s="37" t="str">
        <x:v>CHR-011</x:v>
      </x:c>
      <x:c r="B193" s="37" t="str">
        <x:v>캐릭터·커스터마이징·커머스</x:v>
      </x:c>
      <x:c r="C193" s="37" t="str">
        <x:v>메모 표시</x:v>
      </x:c>
      <x:c r="D193" s="37" t="str">
        <x:v>LOD·머티리얼</x:v>
      </x:c>
      <x:c r="E193" s="37" t="str">
        <x:v>메모 재질·거리 LOD·최신 메모 표현</x:v>
      </x:c>
      <x:c r="F193" s="37" t="str">
        <x:v>게임 규칙, 운영 요구사항과 대상 플랫폼 제약을 충족하도록 메모 재질·거리 LOD·최신 메모 표현 기능을 구현하고 검증한다.</x:v>
      </x:c>
      <x:c r="G193" s="37" t="str">
        <x:v>중거리에서는 색상 면, 근거리에서는 문구를 표시하고 최신 메모를 미세한 차이로 구분하되 정확한 시각을 추정할 정도의 단계 차이는 두지 않는다.</x:v>
      </x:c>
      <x:c r="H193" s="37" t="str">
        <x:v>구현, 코드 리뷰, 사양 갱신, 대상 QA 케이스 실행, 로그·텔레메트리 확인과 관련 플랫폼 검증을 완료하고 미해결 P0·P1 결함이 없다.</x:v>
      </x:c>
      <x:c r="I193" s="37" t="str">
        <x:v>MVP</x:v>
      </x:c>
      <x:c r="J193" s="37" t="str">
        <x:v>P1</x:v>
      </x:c>
      <x:c r="K193" s="37" t="str">
        <x:v>필수</x:v>
      </x:c>
      <x:c r="L193" s="37" t="str">
        <x:v>판독성</x:v>
      </x:c>
      <x:c r="M193" s="37" t="str">
        <x:v>MVP</x:v>
      </x:c>
      <x:c r="N193" s="37" t="str">
        <x:v>캐릭터·경제 시스템 팀</x:v>
      </x:c>
      <x:c r="O193" s="37" t="str">
        <x:v>미정</x:v>
      </x:c>
      <x:c r="P193" s="37" t="str">
        <x:v>미정</x:v>
      </x:c>
      <x:c r="Q193" s="37" t="str">
        <x:v>전체</x:v>
      </x:c>
      <x:c r="R193" s="37" t="str">
        <x:v>클라이언트 로컬</x:v>
      </x:c>
      <x:c r="S193" s="37" t="str">
        <x:v>없음</x:v>
      </x:c>
      <x:c r="T193" s="37" t="str">
        <x:v>L</x:v>
      </x:c>
      <x:c r="U193" s="37" t="str">
        <x:v>미착수</x:v>
      </x:c>
      <x:c r="V193" s="42" t="n">
        <x:f>IF(U193="완료",1,IF(U193="QA 진행 중",0.8,IF(U193="코드 리뷰",0.65,IF(U193="구현 중",0.4,IF(U193="사양 확인 중",0.1,IF(U193="차단",0.4,0))))))</x:f>
        <x:v>0</x:v>
      </x:c>
      <x:c r="W193" s="37" t="str">
        <x:v>미정</x:v>
      </x:c>
      <x:c r="X193" s="40"/>
      <x:c r="Y193" s="37" t="str">
        <x:v>CHR-010,UIX-014</x:v>
      </x:c>
      <x:c r="Z193" s="37" t="str">
        <x:v>중간</x:v>
      </x:c>
      <x:c r="AA193" s="37" t="str">
        <x:v>밸런스</x:v>
      </x:c>
      <x:c r="AB193" s="37" t="str">
        <x:v>TC-CHR-011-01</x:v>
      </x:c>
      <x:c r="AC193" s="37"/>
      <x:c r="AD193" s="37" t="str">
        <x:v>게임 기획서</x:v>
      </x:c>
      <x:c r="AE193" s="37"/>
      <x:c r="AF193" s="40" t="str">
        <x:v>2026-07-10</x:v>
      </x:c>
      <x:c r="AG193" s="37"/>
      <x:c r="AH193" s="49"/>
      <x:c r="AI193" s="49"/>
      <x:c r="AJ193" s="48" t="str">
        <x:v>착수 전</x:v>
      </x:c>
    </x:row>
    <x:row r="194" ht="42" customHeight="1">
      <x:c r="A194" s="37" t="str">
        <x:v>CHR-012</x:v>
      </x:c>
      <x:c r="B194" s="37" t="str">
        <x:v>캐릭터·커스터마이징·커머스</x:v>
      </x:c>
      <x:c r="C194" s="37" t="str">
        <x:v>메모 표시</x:v>
      </x:c>
      <x:c r="D194" s="37" t="str">
        <x:v>차폐</x:v>
      </x:c>
      <x:c r="E194" s="37" t="str">
        <x:v>의상·머리·카메라에 의한 메모 가림 방지</x:v>
      </x:c>
      <x:c r="F194" s="37" t="str">
        <x:v>게임 규칙, 운영 요구사항과 대상 플랫폼 제약을 충족하도록 의상·머리·카메라에 의한 메모 가림 방지 기능을 구현하고 검증한다.</x:v>
      </x:c>
      <x:c r="G194" s="37" t="str">
        <x:v>MVP 전체 장비, 굽힘 자세, 벽 근처, 근거리, 밤 관찰에서 등 메모 영역의 80% 이상을 볼 수 있고 심각하게 가리는 장비는 장착할 수 없다.</x:v>
      </x:c>
      <x:c r="H194" s="37" t="str">
        <x:v>구현, 코드 리뷰, 사양 갱신, 대상 QA 케이스 실행, 로그·텔레메트리 확인과 관련 플랫폼 검증을 완료하고 미해결 P0·P1 결함이 없다.</x:v>
      </x:c>
      <x:c r="I194" s="37" t="str">
        <x:v>MVP</x:v>
      </x:c>
      <x:c r="J194" s="37" t="str">
        <x:v>P0</x:v>
      </x:c>
      <x:c r="K194" s="37" t="str">
        <x:v>필수</x:v>
      </x:c>
      <x:c r="L194" s="37" t="str">
        <x:v>판독성</x:v>
      </x:c>
      <x:c r="M194" s="37" t="str">
        <x:v>MVP</x:v>
      </x:c>
      <x:c r="N194" s="37" t="str">
        <x:v>캐릭터·경제 시스템 팀</x:v>
      </x:c>
      <x:c r="O194" s="37" t="str">
        <x:v>미정</x:v>
      </x:c>
      <x:c r="P194" s="37" t="str">
        <x:v>미정</x:v>
      </x:c>
      <x:c r="Q194" s="37" t="str">
        <x:v>전체</x:v>
      </x:c>
      <x:c r="R194" s="37" t="str">
        <x:v>콘텐츠 데이터</x:v>
      </x:c>
      <x:c r="S194" s="37" t="str">
        <x:v>없음</x:v>
      </x:c>
      <x:c r="T194" s="37" t="str">
        <x:v>XL</x:v>
      </x:c>
      <x:c r="U194" s="37" t="str">
        <x:v>미착수</x:v>
      </x:c>
      <x:c r="V194" s="42" t="n">
        <x:f>IF(U194="완료",1,IF(U194="QA 진행 중",0.8,IF(U194="코드 리뷰",0.65,IF(U194="구현 중",0.4,IF(U194="사양 확인 중",0.1,IF(U194="차단",0.4,0))))))</x:f>
        <x:v>0</x:v>
      </x:c>
      <x:c r="W194" s="37" t="str">
        <x:v>미정</x:v>
      </x:c>
      <x:c r="X194" s="40"/>
      <x:c r="Y194" s="37" t="str">
        <x:v>CHR-009,CHR-010,CHR-014</x:v>
      </x:c>
      <x:c r="Z194" s="37" t="str">
        <x:v>중간</x:v>
      </x:c>
      <x:c r="AA194" s="37" t="str">
        <x:v>사용성</x:v>
      </x:c>
      <x:c r="AB194" s="37" t="str">
        <x:v>TC-CHR-012-01, TC-CHR-012-02</x:v>
      </x:c>
      <x:c r="AC194" s="37"/>
      <x:c r="AD194" s="37" t="str">
        <x:v>캐릭터 사양서 §7, §11</x:v>
      </x:c>
      <x:c r="AE194" s="37"/>
      <x:c r="AF194" s="40" t="str">
        <x:v>2026-07-10</x:v>
      </x:c>
      <x:c r="AG194" s="37"/>
      <x:c r="AH194" s="49"/>
      <x:c r="AI194" s="49"/>
      <x:c r="AJ194" s="48" t="str">
        <x:v>착수 전</x:v>
      </x:c>
    </x:row>
    <x:row r="195" ht="42" customHeight="1">
      <x:c r="A195" s="37" t="str">
        <x:v>CHR-013</x:v>
      </x:c>
      <x:c r="B195" s="37" t="str">
        <x:v>캐릭터·커스터마이징·커머스</x:v>
      </x:c>
      <x:c r="C195" s="37" t="str">
        <x:v>커스터마이징</x:v>
      </x:c>
      <x:c r="D195" s="37" t="str">
        <x:v>헤드 변형</x:v>
      </x:c>
      <x:c r="E195" s="37" t="str">
        <x:v>구형·정육면체형 헤드 지원</x:v>
      </x:c>
      <x:c r="F195" s="37" t="str">
        <x:v>게임 규칙, 운영 요구사항과 대상 플랫폼 제약을 충족하도록 구형·정육면체형 헤드 지원 기능을 구현하고 검증한다.</x:v>
      </x:c>
      <x:c r="G195" s="37" t="str">
        <x:v>추가 머리 2종에서 LED 표시, 이름표, 메모 소켓, 카메라, 충돌, 표정이 기준 안에 들어오며 게임 성능 차이는 생기지 않는다.</x:v>
      </x:c>
      <x:c r="H195" s="37" t="str">
        <x:v>구현, 코드 리뷰, 사양 갱신, 대상 QA 케이스 실행, 로그·텔레메트리 확인과 관련 플랫폼 검증을 완료하고 미해결 P0·P1 결함이 없다.</x:v>
      </x:c>
      <x:c r="I195" s="37" t="str">
        <x:v>출시 후</x:v>
      </x:c>
      <x:c r="J195" s="37" t="str">
        <x:v>P2</x:v>
      </x:c>
      <x:c r="K195" s="37" t="str">
        <x:v>조건부</x:v>
      </x:c>
      <x:c r="L195" s="37" t="str">
        <x:v>외형</x:v>
      </x:c>
      <x:c r="M195" s="37" t="str">
        <x:v>출시 후</x:v>
      </x:c>
      <x:c r="N195" s="37" t="str">
        <x:v>캐릭터·경제 시스템 팀</x:v>
      </x:c>
      <x:c r="O195" s="37" t="str">
        <x:v>미정</x:v>
      </x:c>
      <x:c r="P195" s="37" t="str">
        <x:v>미정</x:v>
      </x:c>
      <x:c r="Q195" s="37" t="str">
        <x:v>전체</x:v>
      </x:c>
      <x:c r="R195" s="37" t="str">
        <x:v>클라이언트 로컬</x:v>
      </x:c>
      <x:c r="S195" s="37" t="str">
        <x:v>계정</x:v>
      </x:c>
      <x:c r="T195" s="37" t="str">
        <x:v>XL</x:v>
      </x:c>
      <x:c r="U195" s="37" t="str">
        <x:v>미착수</x:v>
      </x:c>
      <x:c r="V195" s="42" t="n">
        <x:f>IF(U195="완료",1,IF(U195="QA 진행 중",0.8,IF(U195="코드 리뷰",0.65,IF(U195="구현 중",0.4,IF(U195="사양 확인 중",0.1,IF(U195="차단",0.4,0))))))</x:f>
        <x:v>0</x:v>
      </x:c>
      <x:c r="W195" s="37" t="str">
        <x:v>미정</x:v>
      </x:c>
      <x:c r="X195" s="40"/>
      <x:c r="Y195" s="37" t="str">
        <x:v>CHR-003,CHR-004,CHR-009</x:v>
      </x:c>
      <x:c r="Z195" s="37" t="str">
        <x:v>중간</x:v>
      </x:c>
      <x:c r="AA195" s="37" t="str">
        <x:v>호환성</x:v>
      </x:c>
      <x:c r="AB195" s="37" t="str">
        <x:v>TC-CHR-013-01</x:v>
      </x:c>
      <x:c r="AC195" s="37"/>
      <x:c r="AD195" s="37" t="str">
        <x:v>캐릭터 사양서 §3</x:v>
      </x:c>
      <x:c r="AE195" s="37"/>
      <x:c r="AF195" s="40" t="str">
        <x:v>2026-07-10</x:v>
      </x:c>
      <x:c r="AG195" s="37"/>
      <x:c r="AH195" s="49"/>
      <x:c r="AI195" s="49"/>
      <x:c r="AJ195" s="48" t="str">
        <x:v>착수 전</x:v>
      </x:c>
    </x:row>
    <x:row r="196" ht="42" customHeight="1">
      <x:c r="A196" s="37" t="str">
        <x:v>CHR-014</x:v>
      </x:c>
      <x:c r="B196" s="37" t="str">
        <x:v>캐릭터·커스터마이징·커머스</x:v>
      </x:c>
      <x:c r="C196" s="37" t="str">
        <x:v>커스터마이징</x:v>
      </x:c>
      <x:c r="D196" s="37" t="str">
        <x:v>의상 제약</x:v>
      </x:c>
      <x:c r="E196" s="37" t="str">
        <x:v>의상·모자·액세서리 금지 형태 규칙</x:v>
      </x:c>
      <x:c r="F196" s="37" t="str">
        <x:v>게임 규칙, 운영 요구사항과 대상 플랫폼 제약을 충족하도록 의상·모자·액세서리 금지 형태 규칙 기능을 구현하고 검증한다.</x:v>
      </x:c>
      <x:c r="G196" s="37" t="str">
        <x:v>LED 화면, 본인 색상, 이름표, 등 메모를 가리는 모자, 망토, 날개, 대형 발광물, 오인 색상은 자동 검사 또는 리뷰에서 승인하지 않는다.</x:v>
      </x:c>
      <x:c r="H196" s="37" t="str">
        <x:v>구현, 코드 리뷰, 사양 갱신, 대상 QA 케이스 실행, 로그·텔레메트리 확인과 관련 플랫폼 검증을 완료하고 미해결 P0·P1 결함이 없다.</x:v>
      </x:c>
      <x:c r="I196" s="37" t="str">
        <x:v>MVP</x:v>
      </x:c>
      <x:c r="J196" s="37" t="str">
        <x:v>P0</x:v>
      </x:c>
      <x:c r="K196" s="37" t="str">
        <x:v>필수</x:v>
      </x:c>
      <x:c r="L196" s="37" t="str">
        <x:v>판독성</x:v>
      </x:c>
      <x:c r="M196" s="37" t="str">
        <x:v>MVP</x:v>
      </x:c>
      <x:c r="N196" s="37" t="str">
        <x:v>캐릭터·경제 시스템 팀</x:v>
      </x:c>
      <x:c r="O196" s="37" t="str">
        <x:v>미정</x:v>
      </x:c>
      <x:c r="P196" s="37" t="str">
        <x:v>미정</x:v>
      </x:c>
      <x:c r="Q196" s="37" t="str">
        <x:v>도구</x:v>
      </x:c>
      <x:c r="R196" s="37" t="str">
        <x:v>콘텐츠 데이터</x:v>
      </x:c>
      <x:c r="S196" s="37" t="str">
        <x:v>없음</x:v>
      </x:c>
      <x:c r="T196" s="37" t="str">
        <x:v>L</x:v>
      </x:c>
      <x:c r="U196" s="37" t="str">
        <x:v>미착수</x:v>
      </x:c>
      <x:c r="V196" s="42" t="n">
        <x:f>IF(U196="완료",1,IF(U196="QA 진행 중",0.8,IF(U196="코드 리뷰",0.65,IF(U196="구현 중",0.4,IF(U196="사양 확인 중",0.1,IF(U196="차단",0.4,0))))))</x:f>
        <x:v>0</x:v>
      </x:c>
      <x:c r="W196" s="37" t="str">
        <x:v>미정</x:v>
      </x:c>
      <x:c r="X196" s="40"/>
      <x:c r="Y196" s="37" t="str">
        <x:v>CHR-005,CHR-009</x:v>
      </x:c>
      <x:c r="Z196" s="37" t="str">
        <x:v>중간</x:v>
      </x:c>
      <x:c r="AA196" s="37" t="str">
        <x:v>사용성</x:v>
      </x:c>
      <x:c r="AB196" s="37" t="str">
        <x:v>TC-CHR-014-01, TC-CHR-014-02</x:v>
      </x:c>
      <x:c r="AC196" s="37"/>
      <x:c r="AD196" s="37" t="str">
        <x:v>캐릭터 사양서 §8, §11</x:v>
      </x:c>
      <x:c r="AE196" s="37"/>
      <x:c r="AF196" s="40" t="str">
        <x:v>2026-07-10</x:v>
      </x:c>
      <x:c r="AG196" s="37"/>
      <x:c r="AH196" s="49"/>
      <x:c r="AI196" s="49"/>
      <x:c r="AJ196" s="48" t="str">
        <x:v>착수 전</x:v>
      </x:c>
    </x:row>
    <x:row r="197" ht="42" customHeight="1">
      <x:c r="A197" s="37" t="str">
        <x:v>CHR-015</x:v>
      </x:c>
      <x:c r="B197" s="37" t="str">
        <x:v>캐릭터·커스터마이징·커머스</x:v>
      </x:c>
      <x:c r="C197" s="37" t="str">
        <x:v>접근성</x:v>
      </x:c>
      <x:c r="D197" s="37" t="str">
        <x:v>패턴</x:v>
      </x:c>
      <x:c r="E197" s="37" t="str">
        <x:v>플레이어·메모 색상용 형태·패턴 에셋</x:v>
      </x:c>
      <x:c r="F197" s="37" t="str">
        <x:v>게임 규칙, 운영 요구사항과 대상 플랫폼 제약을 충족하도록 플레이어·메모 색상용 형태·패턴 에셋 기능을 구현하고 검증한다.</x:v>
      </x:c>
      <x:c r="G197" s="37" t="str">
        <x:v>각 색상 ID에 고유한 기호와 패턴을 배정하고 몸, 이름표, 메모, 투표 UI에서 같은 의미를 유지한다.</x:v>
      </x:c>
      <x:c r="H197" s="37" t="str">
        <x:v>구현, 코드 리뷰, 사양 갱신, 대상 QA 케이스 실행, 로그·텔레메트리 확인과 관련 플랫폼 검증을 완료하고 미해결 P0·P1 결함이 없다.</x:v>
      </x:c>
      <x:c r="I197" s="37" t="str">
        <x:v>베타</x:v>
      </x:c>
      <x:c r="J197" s="37" t="str">
        <x:v>P0</x:v>
      </x:c>
      <x:c r="K197" s="37" t="str">
        <x:v>필수</x:v>
      </x:c>
      <x:c r="L197" s="37" t="str">
        <x:v>접근성</x:v>
      </x:c>
      <x:c r="M197" s="37" t="str">
        <x:v>베타</x:v>
      </x:c>
      <x:c r="N197" s="37" t="str">
        <x:v>캐릭터·경제 시스템 팀</x:v>
      </x:c>
      <x:c r="O197" s="37" t="str">
        <x:v>미정</x:v>
      </x:c>
      <x:c r="P197" s="37" t="str">
        <x:v>미정</x:v>
      </x:c>
      <x:c r="Q197" s="37" t="str">
        <x:v>전체</x:v>
      </x:c>
      <x:c r="R197" s="37" t="str">
        <x:v>콘텐츠 데이터</x:v>
      </x:c>
      <x:c r="S197" s="37" t="str">
        <x:v>없음</x:v>
      </x:c>
      <x:c r="T197" s="37" t="str">
        <x:v>L</x:v>
      </x:c>
      <x:c r="U197" s="37" t="str">
        <x:v>미착수</x:v>
      </x:c>
      <x:c r="V197" s="42" t="n">
        <x:f>IF(U197="완료",1,IF(U197="QA 진행 중",0.8,IF(U197="코드 리뷰",0.65,IF(U197="구현 중",0.4,IF(U197="사양 확인 중",0.1,IF(U197="차단",0.4,0))))))</x:f>
        <x:v>0</x:v>
      </x:c>
      <x:c r="W197" s="37" t="str">
        <x:v>미정</x:v>
      </x:c>
      <x:c r="X197" s="40"/>
      <x:c r="Y197" s="37" t="str">
        <x:v>CHR-005,SET-024</x:v>
      </x:c>
      <x:c r="Z197" s="37" t="str">
        <x:v>중간</x:v>
      </x:c>
      <x:c r="AA197" s="37" t="str">
        <x:v>접근성</x:v>
      </x:c>
      <x:c r="AB197" s="37" t="str">
        <x:v>TC-CHR-015-01, TC-CHR-015-02</x:v>
      </x:c>
      <x:c r="AC197" s="37"/>
      <x:c r="AD197" s="37" t="str">
        <x:v>게임 기획서</x:v>
      </x:c>
      <x:c r="AE197" s="37"/>
      <x:c r="AF197" s="40" t="str">
        <x:v>2026-07-10</x:v>
      </x:c>
      <x:c r="AG197" s="37"/>
      <x:c r="AH197" s="49"/>
      <x:c r="AI197" s="49"/>
      <x:c r="AJ197" s="48" t="str">
        <x:v>착수 전</x:v>
      </x:c>
    </x:row>
    <x:row r="198" ht="42" customHeight="1">
      <x:c r="A198" s="37" t="str">
        <x:v>CHR-016</x:v>
      </x:c>
      <x:c r="B198" s="37" t="str">
        <x:v>캐릭터·커스터마이징·커머스</x:v>
      </x:c>
      <x:c r="C198" s="37" t="str">
        <x:v>플레이어 식별</x:v>
      </x:c>
      <x:c r="D198" s="37" t="str">
        <x:v>이름표 앵커</x:v>
      </x:c>
      <x:c r="E198" s="37" t="str">
        <x:v>이름표·상태 아이콘 앵커</x:v>
      </x:c>
      <x:c r="F198" s="37" t="str">
        <x:v>게임 규칙, 운영 요구사항과 대상 플랫폼 제약을 충족하도록 이름표·상태 아이콘 앵커 기능을 구현하고 검증한다.</x:v>
      </x:c>
      <x:c r="G198" s="37" t="str">
        <x:v>머리 형태, 동작, 카메라 거리와 관계없이 이름과 상태 아이콘이 LED 화면이나 등 메모를 가리지 않는 위치에 표시된다.</x:v>
      </x:c>
      <x:c r="H198" s="37" t="str">
        <x:v>구현, 코드 리뷰, 사양 갱신, 대상 QA 케이스 실행, 로그·텔레메트리 확인과 관련 플랫폼 검증을 완료하고 미해결 P0·P1 결함이 없다.</x:v>
      </x:c>
      <x:c r="I198" s="37" t="str">
        <x:v>MVP</x:v>
      </x:c>
      <x:c r="J198" s="37" t="str">
        <x:v>P1</x:v>
      </x:c>
      <x:c r="K198" s="37" t="str">
        <x:v>필수</x:v>
      </x:c>
      <x:c r="L198" s="37" t="str">
        <x:v>판독성</x:v>
      </x:c>
      <x:c r="M198" s="37" t="str">
        <x:v>MVP</x:v>
      </x:c>
      <x:c r="N198" s="37" t="str">
        <x:v>캐릭터·경제 시스템 팀</x:v>
      </x:c>
      <x:c r="O198" s="37" t="str">
        <x:v>미정</x:v>
      </x:c>
      <x:c r="P198" s="37" t="str">
        <x:v>미정</x:v>
      </x:c>
      <x:c r="Q198" s="37" t="str">
        <x:v>전체</x:v>
      </x:c>
      <x:c r="R198" s="37" t="str">
        <x:v>클라이언트 로컬</x:v>
      </x:c>
      <x:c r="S198" s="37" t="str">
        <x:v>없음</x:v>
      </x:c>
      <x:c r="T198" s="37" t="str">
        <x:v>M</x:v>
      </x:c>
      <x:c r="U198" s="37" t="str">
        <x:v>미착수</x:v>
      </x:c>
      <x:c r="V198" s="42" t="n">
        <x:f>IF(U198="완료",1,IF(U198="QA 진행 중",0.8,IF(U198="코드 리뷰",0.65,IF(U198="구현 중",0.4,IF(U198="사양 확인 중",0.1,IF(U198="차단",0.4,0))))))</x:f>
        <x:v>0</x:v>
      </x:c>
      <x:c r="W198" s="37" t="str">
        <x:v>미정</x:v>
      </x:c>
      <x:c r="X198" s="40"/>
      <x:c r="Y198" s="37" t="str">
        <x:v>CHR-002,UIX-007</x:v>
      </x:c>
      <x:c r="Z198" s="37" t="str">
        <x:v>중간</x:v>
      </x:c>
      <x:c r="AA198" s="37" t="str">
        <x:v>사용성</x:v>
      </x:c>
      <x:c r="AB198" s="37" t="str">
        <x:v>TC-CHR-016-01</x:v>
      </x:c>
      <x:c r="AC198" s="37"/>
      <x:c r="AD198" s="37" t="str">
        <x:v>게임 기획서</x:v>
      </x:c>
      <x:c r="AE198" s="37"/>
      <x:c r="AF198" s="40" t="str">
        <x:v>2026-07-10</x:v>
      </x:c>
      <x:c r="AG198" s="37"/>
      <x:c r="AH198" s="49"/>
      <x:c r="AI198" s="49"/>
      <x:c r="AJ198" s="48" t="str">
        <x:v>착수 전</x:v>
      </x:c>
    </x:row>
    <x:row r="199" ht="42" customHeight="1">
      <x:c r="A199" s="37" t="str">
        <x:v>CHR-017</x:v>
      </x:c>
      <x:c r="B199" s="37" t="str">
        <x:v>캐릭터·커스터마이징·커머스</x:v>
      </x:c>
      <x:c r="C199" s="37" t="str">
        <x:v>커스터마이징 UX</x:v>
      </x:c>
      <x:c r="D199" s="37" t="str">
        <x:v>미리보기</x:v>
      </x:c>
      <x:c r="E199" s="37" t="str">
        <x:v>커스터마이징 미리보기 환경</x:v>
      </x:c>
      <x:c r="F199" s="37" t="str">
        <x:v>게임 규칙, 운영 요구사항과 대상 플랫폼 제약을 충족하도록 커스터마이징 미리보기 환경 기능을 구현하고 검증한다.</x:v>
      </x:c>
      <x:c r="G199" s="37" t="str">
        <x:v>앞뒤 회전, LED, 본인 색상, 등 메모 더미, 조명 조건, 장비 조합을 확인하고 장착 전에 판독성 경고를 표시한다.</x:v>
      </x:c>
      <x:c r="H199" s="37" t="str">
        <x:v>구현, 코드 리뷰, 사양 갱신, 대상 QA 케이스 실행, 로그·텔레메트리 확인과 관련 플랫폼 검증을 완료하고 미해결 P0·P1 결함이 없다.</x:v>
      </x:c>
      <x:c r="I199" s="37" t="str">
        <x:v>출시 후</x:v>
      </x:c>
      <x:c r="J199" s="37" t="str">
        <x:v>P2</x:v>
      </x:c>
      <x:c r="K199" s="37" t="str">
        <x:v>조건부</x:v>
      </x:c>
      <x:c r="L199" s="37" t="str">
        <x:v>외형</x:v>
      </x:c>
      <x:c r="M199" s="37" t="str">
        <x:v>출시 후</x:v>
      </x:c>
      <x:c r="N199" s="37" t="str">
        <x:v>캐릭터·경제 시스템 팀</x:v>
      </x:c>
      <x:c r="O199" s="37" t="str">
        <x:v>미정</x:v>
      </x:c>
      <x:c r="P199" s="37" t="str">
        <x:v>미정</x:v>
      </x:c>
      <x:c r="Q199" s="37" t="str">
        <x:v>전체</x:v>
      </x:c>
      <x:c r="R199" s="37" t="str">
        <x:v>클라이언트 로컬</x:v>
      </x:c>
      <x:c r="S199" s="37" t="str">
        <x:v>없음</x:v>
      </x:c>
      <x:c r="T199" s="37" t="str">
        <x:v>L</x:v>
      </x:c>
      <x:c r="U199" s="37" t="str">
        <x:v>미착수</x:v>
      </x:c>
      <x:c r="V199" s="42" t="n">
        <x:f>IF(U199="완료",1,IF(U199="QA 진행 중",0.8,IF(U199="코드 리뷰",0.65,IF(U199="구현 중",0.4,IF(U199="사양 확인 중",0.1,IF(U199="차단",0.4,0))))))</x:f>
        <x:v>0</x:v>
      </x:c>
      <x:c r="W199" s="37" t="str">
        <x:v>미정</x:v>
      </x:c>
      <x:c r="X199" s="40"/>
      <x:c r="Y199" s="37" t="str">
        <x:v>CHR-012,UIX-002</x:v>
      </x:c>
      <x:c r="Z199" s="37" t="str">
        <x:v>중간</x:v>
      </x:c>
      <x:c r="AA199" s="37" t="str">
        <x:v>사용성</x:v>
      </x:c>
      <x:c r="AB199" s="37" t="str">
        <x:v>TC-CHR-017-01</x:v>
      </x:c>
      <x:c r="AC199" s="37"/>
      <x:c r="AD199" s="37" t="str">
        <x:v>게임 기획서</x:v>
      </x:c>
      <x:c r="AE199" s="37"/>
      <x:c r="AF199" s="40" t="str">
        <x:v>2026-07-10</x:v>
      </x:c>
      <x:c r="AG199" s="37"/>
      <x:c r="AH199" s="49"/>
      <x:c r="AI199" s="49"/>
      <x:c r="AJ199" s="48" t="str">
        <x:v>착수 전</x:v>
      </x:c>
    </x:row>
    <x:row r="200" ht="42" customHeight="1">
      <x:c r="A200" s="37" t="str">
        <x:v>CHR-018</x:v>
      </x:c>
      <x:c r="B200" s="37" t="str">
        <x:v>캐릭터·커스터마이징·커머스</x:v>
      </x:c>
      <x:c r="C200" s="37" t="str">
        <x:v>커스터마이징</x:v>
      </x:c>
      <x:c r="D200" s="37" t="str">
        <x:v>슬롯</x:v>
      </x:c>
      <x:c r="E200" s="37" t="str">
        <x:v>장착 슬롯·충돌 규칙</x:v>
      </x:c>
      <x:c r="F200" s="37" t="str">
        <x:v>게임 규칙, 운영 요구사항과 대상 플랫폼 제약을 충족하도록 장착 슬롯·충돌 규칙 기능을 구현하고 검증한다.</x:v>
      </x:c>
      <x:c r="G200" s="37" t="str">
        <x:v>헤드, 의상, 신발, 장갑, 모자, 액세서리, LED 표정·효과의 장착 슬롯과 상호 배타 관계를 데이터로 정의한다.</x:v>
      </x:c>
      <x:c r="H200" s="37" t="str">
        <x:v>구현, 코드 리뷰, 사양 갱신, 대상 QA 케이스 실행, 로그·텔레메트리 확인과 관련 플랫폼 검증을 완료하고 미해결 P0·P1 결함이 없다.</x:v>
      </x:c>
      <x:c r="I200" s="37" t="str">
        <x:v>출시 후</x:v>
      </x:c>
      <x:c r="J200" s="37" t="str">
        <x:v>P2</x:v>
      </x:c>
      <x:c r="K200" s="37" t="str">
        <x:v>조건부</x:v>
      </x:c>
      <x:c r="L200" s="37" t="str">
        <x:v>외형</x:v>
      </x:c>
      <x:c r="M200" s="37" t="str">
        <x:v>출시 후</x:v>
      </x:c>
      <x:c r="N200" s="37" t="str">
        <x:v>캐릭터·경제 시스템 팀</x:v>
      </x:c>
      <x:c r="O200" s="37" t="str">
        <x:v>미정</x:v>
      </x:c>
      <x:c r="P200" s="37" t="str">
        <x:v>미정</x:v>
      </x:c>
      <x:c r="Q200" s="37" t="str">
        <x:v>전체</x:v>
      </x:c>
      <x:c r="R200" s="37" t="str">
        <x:v>콘텐츠 데이터</x:v>
      </x:c>
      <x:c r="S200" s="37" t="str">
        <x:v>계정</x:v>
      </x:c>
      <x:c r="T200" s="37" t="str">
        <x:v>M</x:v>
      </x:c>
      <x:c r="U200" s="37" t="str">
        <x:v>미착수</x:v>
      </x:c>
      <x:c r="V200" s="42" t="n">
        <x:f>IF(U200="완료",1,IF(U200="QA 진행 중",0.8,IF(U200="코드 리뷰",0.65,IF(U200="구현 중",0.4,IF(U200="사양 확인 중",0.1,IF(U200="차단",0.4,0))))))</x:f>
        <x:v>0</x:v>
      </x:c>
      <x:c r="W200" s="37" t="str">
        <x:v>미정</x:v>
      </x:c>
      <x:c r="X200" s="40"/>
      <x:c r="Y200" s="37" t="str">
        <x:v>CHR-014</x:v>
      </x:c>
      <x:c r="Z200" s="37" t="str">
        <x:v>중간</x:v>
      </x:c>
      <x:c r="AA200" s="37" t="str">
        <x:v>기능</x:v>
      </x:c>
      <x:c r="AB200" s="37" t="str">
        <x:v>TC-CHR-018-01</x:v>
      </x:c>
      <x:c r="AC200" s="37"/>
      <x:c r="AD200" s="37" t="str">
        <x:v>게임 기획서</x:v>
      </x:c>
      <x:c r="AE200" s="37"/>
      <x:c r="AF200" s="40" t="str">
        <x:v>2026-07-10</x:v>
      </x:c>
      <x:c r="AG200" s="37"/>
      <x:c r="AH200" s="49"/>
      <x:c r="AI200" s="49"/>
      <x:c r="AJ200" s="48" t="str">
        <x:v>착수 전</x:v>
      </x:c>
    </x:row>
    <x:row r="201" ht="42" customHeight="1">
      <x:c r="A201" s="37" t="str">
        <x:v>CHR-019</x:v>
      </x:c>
      <x:c r="B201" s="37" t="str">
        <x:v>캐릭터·커스터마이징·커머스</x:v>
      </x:c>
      <x:c r="C201" s="37" t="str">
        <x:v>커스터마이징</x:v>
      </x:c>
      <x:c r="D201" s="37" t="str">
        <x:v>검증</x:v>
      </x:c>
      <x:c r="E201" s="37" t="str">
        <x:v>장비 조합 서버·클라이언트 검증</x:v>
      </x:c>
      <x:c r="F201" s="37" t="str">
        <x:v>게임 규칙, 운영 요구사항과 대상 플랫폼 제약을 충족하도록 장비 조합 서버·클라이언트 검증 기능을 구현하고 검증한다.</x:v>
      </x:c>
      <x:c r="G201" s="37" t="str">
        <x:v>미보유, 미지원, 지역 제한, 슬롯 충돌, 판독성 부적합 조합을 거부하고 안전한 기본 외형으로 복구한다.</x:v>
      </x:c>
      <x:c r="H201" s="37" t="str">
        <x:v>구현, 코드 리뷰, 사양 갱신, 대상 QA 케이스 실행, 로그·텔레메트리 확인과 관련 플랫폼 검증을 완료하고 미해결 P0·P1 결함이 없다.</x:v>
      </x:c>
      <x:c r="I201" s="37" t="str">
        <x:v>출시 후</x:v>
      </x:c>
      <x:c r="J201" s="37" t="str">
        <x:v>P1</x:v>
      </x:c>
      <x:c r="K201" s="37" t="str">
        <x:v>조건부</x:v>
      </x:c>
      <x:c r="L201" s="37" t="str">
        <x:v>보안</x:v>
      </x:c>
      <x:c r="M201" s="37" t="str">
        <x:v>출시 후</x:v>
      </x:c>
      <x:c r="N201" s="37" t="str">
        <x:v>캐릭터·경제 시스템 팀</x:v>
      </x:c>
      <x:c r="O201" s="37" t="str">
        <x:v>미정</x:v>
      </x:c>
      <x:c r="P201" s="37" t="str">
        <x:v>미정</x:v>
      </x:c>
      <x:c r="Q201" s="37" t="str">
        <x:v>전체</x:v>
      </x:c>
      <x:c r="R201" s="37" t="str">
        <x:v>서버 권한</x:v>
      </x:c>
      <x:c r="S201" s="37" t="str">
        <x:v>계정</x:v>
      </x:c>
      <x:c r="T201" s="37" t="str">
        <x:v>L</x:v>
      </x:c>
      <x:c r="U201" s="37" t="str">
        <x:v>미착수</x:v>
      </x:c>
      <x:c r="V201" s="42" t="n">
        <x:f>IF(U201="완료",1,IF(U201="QA 진행 중",0.8,IF(U201="코드 리뷰",0.65,IF(U201="구현 중",0.4,IF(U201="사양 확인 중",0.1,IF(U201="차단",0.4,0))))))</x:f>
        <x:v>0</x:v>
      </x:c>
      <x:c r="W201" s="37" t="str">
        <x:v>미정</x:v>
      </x:c>
      <x:c r="X201" s="40"/>
      <x:c r="Y201" s="37" t="str">
        <x:v>CHR-018,BED-004</x:v>
      </x:c>
      <x:c r="Z201" s="37" t="str">
        <x:v>중간</x:v>
      </x:c>
      <x:c r="AA201" s="37" t="str">
        <x:v>보안</x:v>
      </x:c>
      <x:c r="AB201" s="37" t="str">
        <x:v>TC-CHR-019-01</x:v>
      </x:c>
      <x:c r="AC201" s="37"/>
      <x:c r="AD201" s="37" t="str">
        <x:v>게임 기획서</x:v>
      </x:c>
      <x:c r="AE201" s="37"/>
      <x:c r="AF201" s="40" t="str">
        <x:v>2026-07-10</x:v>
      </x:c>
      <x:c r="AG201" s="37"/>
      <x:c r="AH201" s="49"/>
      <x:c r="AI201" s="49"/>
      <x:c r="AJ201" s="48" t="str">
        <x:v>착수 전</x:v>
      </x:c>
    </x:row>
    <x:row r="202" ht="42" customHeight="1">
      <x:c r="A202" s="37" t="str">
        <x:v>CHR-020</x:v>
      </x:c>
      <x:c r="B202" s="37" t="str">
        <x:v>캐릭터·커스터마이징·커머스</x:v>
      </x:c>
      <x:c r="C202" s="37" t="str">
        <x:v>커스터마이징</x:v>
      </x:c>
      <x:c r="D202" s="37" t="str">
        <x:v>장착 구성</x:v>
      </x:c>
      <x:c r="E202" s="37" t="str">
        <x:v>보유·장착·즐겨찾기 로드아웃</x:v>
      </x:c>
      <x:c r="F202" s="37" t="str">
        <x:v>게임 규칙, 운영 요구사항과 대상 플랫폼 제약을 충족하도록 보유·장착·즐겨찾기 로드아웃 기능을 구현하고 검증한다.</x:v>
      </x:c>
      <x:c r="G202" s="37" t="str">
        <x:v>복수 로드아웃을 저장·동기화하고 매치 시작 시 확정 스냅샷을 사용하며 진행 중에는 변경하지 않는다.</x:v>
      </x:c>
      <x:c r="H202" s="37" t="str">
        <x:v>구현, 코드 리뷰, 사양 갱신, 대상 QA 케이스 실행, 로그·텔레메트리 확인과 관련 플랫폼 검증을 완료하고 미해결 P0·P1 결함이 없다.</x:v>
      </x:c>
      <x:c r="I202" s="37" t="str">
        <x:v>출시 후</x:v>
      </x:c>
      <x:c r="J202" s="37" t="str">
        <x:v>P2</x:v>
      </x:c>
      <x:c r="K202" s="37" t="str">
        <x:v>조건부</x:v>
      </x:c>
      <x:c r="L202" s="37" t="str">
        <x:v>외형</x:v>
      </x:c>
      <x:c r="M202" s="37" t="str">
        <x:v>출시 후</x:v>
      </x:c>
      <x:c r="N202" s="37" t="str">
        <x:v>캐릭터·경제 시스템 팀</x:v>
      </x:c>
      <x:c r="O202" s="37" t="str">
        <x:v>미정</x:v>
      </x:c>
      <x:c r="P202" s="37" t="str">
        <x:v>미정</x:v>
      </x:c>
      <x:c r="Q202" s="37" t="str">
        <x:v>전체</x:v>
      </x:c>
      <x:c r="R202" s="37" t="str">
        <x:v>백엔드 권한</x:v>
      </x:c>
      <x:c r="S202" s="37" t="str">
        <x:v>계정</x:v>
      </x:c>
      <x:c r="T202" s="37" t="str">
        <x:v>L</x:v>
      </x:c>
      <x:c r="U202" s="37" t="str">
        <x:v>미착수</x:v>
      </x:c>
      <x:c r="V202" s="42" t="n">
        <x:f>IF(U202="완료",1,IF(U202="QA 진행 중",0.8,IF(U202="코드 리뷰",0.65,IF(U202="구현 중",0.4,IF(U202="사양 확인 중",0.1,IF(U202="차단",0.4,0))))))</x:f>
        <x:v>0</x:v>
      </x:c>
      <x:c r="W202" s="37" t="str">
        <x:v>미정</x:v>
      </x:c>
      <x:c r="X202" s="40"/>
      <x:c r="Y202" s="37" t="str">
        <x:v>CHR-019,BED-004</x:v>
      </x:c>
      <x:c r="Z202" s="37" t="str">
        <x:v>중간</x:v>
      </x:c>
      <x:c r="AA202" s="37" t="str">
        <x:v>통합</x:v>
      </x:c>
      <x:c r="AB202" s="37" t="str">
        <x:v>TC-CHR-020-01</x:v>
      </x:c>
      <x:c r="AC202" s="37"/>
      <x:c r="AD202" s="37" t="str">
        <x:v>게임 기획서</x:v>
      </x:c>
      <x:c r="AE202" s="37"/>
      <x:c r="AF202" s="40" t="str">
        <x:v>2026-07-10</x:v>
      </x:c>
      <x:c r="AG202" s="37"/>
      <x:c r="AH202" s="49"/>
      <x:c r="AI202" s="49"/>
      <x:c r="AJ202" s="48" t="str">
        <x:v>착수 전</x:v>
      </x:c>
    </x:row>
    <x:row r="203" ht="42" customHeight="1">
      <x:c r="A203" s="37" t="str">
        <x:v>CHR-021</x:v>
      </x:c>
      <x:c r="B203" s="37" t="str">
        <x:v>캐릭터·커스터마이징·커머스</x:v>
      </x:c>
      <x:c r="C203" s="37" t="str">
        <x:v>콘텐츠 파이프라인</x:v>
      </x:c>
      <x:c r="D203" s="37" t="str">
        <x:v>에셋 카탈로그</x:v>
      </x:c>
      <x:c r="E203" s="37" t="str">
        <x:v>외형 에셋 대장·명명·버전 관리</x:v>
      </x:c>
      <x:c r="F203" s="37" t="str">
        <x:v>게임 규칙, 운영 요구사항과 대상 플랫폼 제약을 충족하도록 외형 에셋 대장·명명·버전 관리 기능을 구현하고 검증한다.</x:v>
      </x:c>
      <x:c r="G203" s="37" t="str">
        <x:v>SKU·에셋 ID, 범주, 지원 리그, LOD, 썸네일, 지역, 희귀도, 공개 기간, 판독성 승인을 한 곳에서 관리한다.</x:v>
      </x:c>
      <x:c r="H203" s="37" t="str">
        <x:v>구현, 코드 리뷰, 사양 갱신, 대상 QA 케이스 실행, 로그·텔레메트리 확인과 관련 플랫폼 검증을 완료하고 미해결 P0·P1 결함이 없다.</x:v>
      </x:c>
      <x:c r="I203" s="37" t="str">
        <x:v>출시 후</x:v>
      </x:c>
      <x:c r="J203" s="37" t="str">
        <x:v>P1</x:v>
      </x:c>
      <x:c r="K203" s="37" t="str">
        <x:v>조건부</x:v>
      </x:c>
      <x:c r="L203" s="37" t="str">
        <x:v>제작 기반</x:v>
      </x:c>
      <x:c r="M203" s="37" t="str">
        <x:v>출시 후</x:v>
      </x:c>
      <x:c r="N203" s="37" t="str">
        <x:v>캐릭터·경제 시스템 팀</x:v>
      </x:c>
      <x:c r="O203" s="37" t="str">
        <x:v>미정</x:v>
      </x:c>
      <x:c r="P203" s="37" t="str">
        <x:v>미정</x:v>
      </x:c>
      <x:c r="Q203" s="37" t="str">
        <x:v>도구</x:v>
      </x:c>
      <x:c r="R203" s="37" t="str">
        <x:v>콘텐츠 데이터</x:v>
      </x:c>
      <x:c r="S203" s="37" t="str">
        <x:v>백엔드</x:v>
      </x:c>
      <x:c r="T203" s="37" t="str">
        <x:v>L</x:v>
      </x:c>
      <x:c r="U203" s="37" t="str">
        <x:v>미착수</x:v>
      </x:c>
      <x:c r="V203" s="42" t="n">
        <x:f>IF(U203="완료",1,IF(U203="QA 진행 중",0.8,IF(U203="코드 리뷰",0.65,IF(U203="구현 중",0.4,IF(U203="사양 확인 중",0.1,IF(U203="차단",0.4,0))))))</x:f>
        <x:v>0</x:v>
      </x:c>
      <x:c r="W203" s="37" t="str">
        <x:v>미정</x:v>
      </x:c>
      <x:c r="X203" s="40"/>
      <x:c r="Y203" s="37" t="str">
        <x:v>CHR-018,BED-015</x:v>
      </x:c>
      <x:c r="Z203" s="37" t="str">
        <x:v>중간</x:v>
      </x:c>
      <x:c r="AA203" s="37" t="str">
        <x:v>운영</x:v>
      </x:c>
      <x:c r="AB203" s="37" t="str">
        <x:v>TC-CHR-021-01</x:v>
      </x:c>
      <x:c r="AC203" s="37"/>
      <x:c r="AD203" s="37" t="str">
        <x:v>게임 기획서</x:v>
      </x:c>
      <x:c r="AE203" s="37"/>
      <x:c r="AF203" s="40" t="str">
        <x:v>2026-07-10</x:v>
      </x:c>
      <x:c r="AG203" s="37"/>
      <x:c r="AH203" s="49"/>
      <x:c r="AI203" s="49"/>
      <x:c r="AJ203" s="48" t="str">
        <x:v>착수 전</x:v>
      </x:c>
    </x:row>
    <x:row r="204" ht="42" customHeight="1">
      <x:c r="A204" s="37" t="str">
        <x:v>CHR-022</x:v>
      </x:c>
      <x:c r="B204" s="37" t="str">
        <x:v>캐릭터·커스터마이징·커머스</x:v>
      </x:c>
      <x:c r="C204" s="37" t="str">
        <x:v>경제 시스템</x:v>
      </x:c>
      <x:c r="D204" s="37" t="str">
        <x:v>희귀도</x:v>
      </x:c>
      <x:c r="E204" s="37" t="str">
        <x:v>외형 아이템 희귀도 정의</x:v>
      </x:c>
      <x:c r="F204" s="37" t="str">
        <x:v>게임 규칙, 운영 요구사항과 대상 플랫폼 제약을 충족하도록 외형 아이템 희귀도 정의 기능을 구현하고 검증한다.</x:v>
      </x:c>
      <x:c r="G204" s="37" t="str">
        <x:v>Common, Rare, Epic, Legendary, Event 등급을 외형 희소성으로만 사용하고 충돌 크기, 속도, 시인성 등 게임 성능 차이를 만들지 않는다.</x:v>
      </x:c>
      <x:c r="H204" s="37" t="str">
        <x:v>구현, 코드 리뷰, 사양 갱신, 대상 QA 케이스 실행, 로그·텔레메트리 확인과 관련 플랫폼 검증을 완료하고 미해결 P0·P1 결함이 없다.</x:v>
      </x:c>
      <x:c r="I204" s="37" t="str">
        <x:v>출시 후</x:v>
      </x:c>
      <x:c r="J204" s="37" t="str">
        <x:v>P3</x:v>
      </x:c>
      <x:c r="K204" s="37" t="str">
        <x:v>조건부</x:v>
      </x:c>
      <x:c r="L204" s="37" t="str">
        <x:v>커머스</x:v>
      </x:c>
      <x:c r="M204" s="37" t="str">
        <x:v>출시 후</x:v>
      </x:c>
      <x:c r="N204" s="37" t="str">
        <x:v>캐릭터·경제 시스템 팀</x:v>
      </x:c>
      <x:c r="O204" s="37" t="str">
        <x:v>미정</x:v>
      </x:c>
      <x:c r="P204" s="37" t="str">
        <x:v>미정</x:v>
      </x:c>
      <x:c r="Q204" s="37" t="str">
        <x:v>전체</x:v>
      </x:c>
      <x:c r="R204" s="37" t="str">
        <x:v>콘텐츠 데이터</x:v>
      </x:c>
      <x:c r="S204" s="37" t="str">
        <x:v>백엔드</x:v>
      </x:c>
      <x:c r="T204" s="37" t="str">
        <x:v>S</x:v>
      </x:c>
      <x:c r="U204" s="37" t="str">
        <x:v>미착수</x:v>
      </x:c>
      <x:c r="V204" s="42" t="n">
        <x:f>IF(U204="완료",1,IF(U204="QA 진행 중",0.8,IF(U204="코드 리뷰",0.65,IF(U204="구현 중",0.4,IF(U204="사양 확인 중",0.1,IF(U204="차단",0.4,0))))))</x:f>
        <x:v>0</x:v>
      </x:c>
      <x:c r="W204" s="37" t="str">
        <x:v>미정</x:v>
      </x:c>
      <x:c r="X204" s="40"/>
      <x:c r="Y204" s="37" t="str">
        <x:v>CHR-021</x:v>
      </x:c>
      <x:c r="Z204" s="37" t="str">
        <x:v>중간</x:v>
      </x:c>
      <x:c r="AA204" s="37" t="str">
        <x:v>밸런스</x:v>
      </x:c>
      <x:c r="AB204" s="37" t="str">
        <x:v>TC-CHR-022-01</x:v>
      </x:c>
      <x:c r="AC204" s="37"/>
      <x:c r="AD204" s="37" t="str">
        <x:v>게임 기획서</x:v>
      </x:c>
      <x:c r="AE204" s="37"/>
      <x:c r="AF204" s="40" t="str">
        <x:v>2026-07-10</x:v>
      </x:c>
      <x:c r="AG204" s="37"/>
      <x:c r="AH204" s="49"/>
      <x:c r="AI204" s="49"/>
      <x:c r="AJ204" s="48" t="str">
        <x:v>착수 전</x:v>
      </x:c>
    </x:row>
    <x:row r="205" ht="42" customHeight="1">
      <x:c r="A205" s="37" t="str">
        <x:v>CHR-023</x:v>
      </x:c>
      <x:c r="B205" s="37" t="str">
        <x:v>캐릭터·커스터마이징·커머스</x:v>
      </x:c>
      <x:c r="C205" s="37" t="str">
        <x:v>상점 UX</x:v>
      </x:c>
      <x:c r="D205" s="37" t="str">
        <x:v>카탈로그</x:v>
      </x:c>
      <x:c r="E205" s="37" t="str">
        <x:v>일반·시즌·이벤트 상점 표시</x:v>
      </x:c>
      <x:c r="F205" s="37" t="str">
        <x:v>게임 규칙, 운영 요구사항과 대상 플랫폼 제약을 충족하도록 일반·시즌·이벤트 상점 표시 기능을 구현하고 검증한다.</x:v>
      </x:c>
      <x:c r="G205" s="37" t="str">
        <x:v>가격, 보유 여부, 장착 가능 여부, 판매 기간, 미리보기, 환불 정책을 표시하고 미성년자, 지역, 플랫폼 제한을 반영한다.</x:v>
      </x:c>
      <x:c r="H205" s="37" t="str">
        <x:v>구현, 코드 리뷰, 사양 갱신, 대상 QA 케이스 실행, 로그·텔레메트리 확인과 관련 플랫폼 검증을 완료하고 미해결 P0·P1 결함이 없다.</x:v>
      </x:c>
      <x:c r="I205" s="37" t="str">
        <x:v>출시 후</x:v>
      </x:c>
      <x:c r="J205" s="37" t="str">
        <x:v>P3</x:v>
      </x:c>
      <x:c r="K205" s="37" t="str">
        <x:v>조건부</x:v>
      </x:c>
      <x:c r="L205" s="37" t="str">
        <x:v>커머스</x:v>
      </x:c>
      <x:c r="M205" s="37" t="str">
        <x:v>출시 후</x:v>
      </x:c>
      <x:c r="N205" s="37" t="str">
        <x:v>캐릭터·경제 시스템 팀</x:v>
      </x:c>
      <x:c r="O205" s="37" t="str">
        <x:v>미정</x:v>
      </x:c>
      <x:c r="P205" s="37" t="str">
        <x:v>미정</x:v>
      </x:c>
      <x:c r="Q205" s="37" t="str">
        <x:v>전체</x:v>
      </x:c>
      <x:c r="R205" s="37" t="str">
        <x:v>백엔드 권한</x:v>
      </x:c>
      <x:c r="S205" s="37" t="str">
        <x:v>백엔드</x:v>
      </x:c>
      <x:c r="T205" s="37" t="str">
        <x:v>XL</x:v>
      </x:c>
      <x:c r="U205" s="37" t="str">
        <x:v>미착수</x:v>
      </x:c>
      <x:c r="V205" s="42" t="n">
        <x:f>IF(U205="완료",1,IF(U205="QA 진행 중",0.8,IF(U205="코드 리뷰",0.65,IF(U205="구현 중",0.4,IF(U205="사양 확인 중",0.1,IF(U205="차단",0.4,0))))))</x:f>
        <x:v>0</x:v>
      </x:c>
      <x:c r="W205" s="37" t="str">
        <x:v>미정</x:v>
      </x:c>
      <x:c r="X205" s="40"/>
      <x:c r="Y205" s="37" t="str">
        <x:v>CHR-017,CHR-021,BED-005</x:v>
      </x:c>
      <x:c r="Z205" s="37" t="str">
        <x:v>높음</x:v>
      </x:c>
      <x:c r="AA205" s="37" t="str">
        <x:v>운영</x:v>
      </x:c>
      <x:c r="AB205" s="37" t="str">
        <x:v>TC-CHR-023-01</x:v>
      </x:c>
      <x:c r="AC205" s="37"/>
      <x:c r="AD205" s="37" t="str">
        <x:v>게임 기획서</x:v>
      </x:c>
      <x:c r="AE205" s="37"/>
      <x:c r="AF205" s="40" t="str">
        <x:v>2026-07-10</x:v>
      </x:c>
      <x:c r="AG205" s="37"/>
      <x:c r="AH205" s="49"/>
      <x:c r="AI205" s="49"/>
      <x:c r="AJ205" s="48" t="str">
        <x:v>착수 전</x:v>
      </x:c>
    </x:row>
    <x:row r="206" ht="42" customHeight="1">
      <x:c r="A206" s="37" t="str">
        <x:v>CHR-024</x:v>
      </x:c>
      <x:c r="B206" s="37" t="str">
        <x:v>캐릭터·커스터마이징·커머스</x:v>
      </x:c>
      <x:c r="C206" s="37" t="str">
        <x:v>상점 UX</x:v>
      </x:c>
      <x:c r="D206" s="37" t="str">
        <x:v>랜덤 상자 설정</x:v>
      </x:c>
      <x:c r="E206" s="37" t="str">
        <x:v>랜덤 상자 구성·확률·중복 규칙</x:v>
      </x:c>
      <x:c r="F206" s="37" t="str">
        <x:v>게임 규칙, 운영 요구사항과 대상 플랫폼 제약을 충족하도록 랜덤 상자 구성·확률·중복 규칙 기능을 구현하고 검증한다.</x:v>
      </x:c>
      <x:c r="G206" s="37" t="str">
        <x:v>제공 아이템, 가중치, 확률 표시, 보장 여부, 중복 변환, 대상 지역·연령을 버전 있는 데이터로 관리하고 공개 전 승인을 필수로 한다.</x:v>
      </x:c>
      <x:c r="H206" s="37" t="str">
        <x:v>구현, 코드 리뷰, 사양 갱신, 대상 QA 케이스 실행, 로그·텔레메트리 확인과 관련 플랫폼 검증을 완료하고 미해결 P0·P1 결함이 없다.</x:v>
      </x:c>
      <x:c r="I206" s="37" t="str">
        <x:v>출시 후</x:v>
      </x:c>
      <x:c r="J206" s="37" t="str">
        <x:v>P3</x:v>
      </x:c>
      <x:c r="K206" s="37" t="str">
        <x:v>조건부</x:v>
      </x:c>
      <x:c r="L206" s="37" t="str">
        <x:v>법무</x:v>
      </x:c>
      <x:c r="M206" s="37" t="str">
        <x:v>출시 후</x:v>
      </x:c>
      <x:c r="N206" s="37" t="str">
        <x:v>캐릭터·경제 시스템 팀</x:v>
      </x:c>
      <x:c r="O206" s="37" t="str">
        <x:v>미정</x:v>
      </x:c>
      <x:c r="P206" s="37" t="str">
        <x:v>미정</x:v>
      </x:c>
      <x:c r="Q206" s="37" t="str">
        <x:v>전체</x:v>
      </x:c>
      <x:c r="R206" s="37" t="str">
        <x:v>백엔드 권한</x:v>
      </x:c>
      <x:c r="S206" s="37" t="str">
        <x:v>백엔드</x:v>
      </x:c>
      <x:c r="T206" s="37" t="str">
        <x:v>L</x:v>
      </x:c>
      <x:c r="U206" s="37" t="str">
        <x:v>미착수</x:v>
      </x:c>
      <x:c r="V206" s="42" t="n">
        <x:f>IF(U206="완료",1,IF(U206="QA 진행 중",0.8,IF(U206="코드 리뷰",0.65,IF(U206="구현 중",0.4,IF(U206="사양 확인 중",0.1,IF(U206="차단",0.4,0))))))</x:f>
        <x:v>0</x:v>
      </x:c>
      <x:c r="W206" s="37" t="str">
        <x:v>미정</x:v>
      </x:c>
      <x:c r="X206" s="40"/>
      <x:c r="Y206" s="37" t="str">
        <x:v>CHR-021,CHR-022,BED-029,BED-030</x:v>
      </x:c>
      <x:c r="Z206" s="37" t="str">
        <x:v>높음</x:v>
      </x:c>
      <x:c r="AA206" s="37" t="str">
        <x:v>운영</x:v>
      </x:c>
      <x:c r="AB206" s="37" t="str">
        <x:v>TC-CHR-024-01</x:v>
      </x:c>
      <x:c r="AC206" s="37"/>
      <x:c r="AD206" s="37" t="str">
        <x:v>게임 기획서</x:v>
      </x:c>
      <x:c r="AE206" s="37"/>
      <x:c r="AF206" s="40" t="str">
        <x:v>2026-07-10</x:v>
      </x:c>
      <x:c r="AG206" s="37"/>
      <x:c r="AH206" s="49"/>
      <x:c r="AI206" s="49"/>
      <x:c r="AJ206" s="48" t="str">
        <x:v>착수 전</x:v>
      </x:c>
    </x:row>
    <x:row r="207" ht="42" customHeight="1">
      <x:c r="A207" s="37" t="str">
        <x:v>CHR-025</x:v>
      </x:c>
      <x:c r="B207" s="37" t="str">
        <x:v>캐릭터·커스터마이징·커머스</x:v>
      </x:c>
      <x:c r="C207" s="37" t="str">
        <x:v>경제 시스템</x:v>
      </x:c>
      <x:c r="D207" s="37" t="str">
        <x:v>중복 아이템 변환</x:v>
      </x:c>
      <x:c r="E207" s="37" t="str">
        <x:v>중복 아이템 보상 변환</x:v>
      </x:c>
      <x:c r="F207" s="37" t="str">
        <x:v>게임 규칙, 운영 요구사항과 대상 플랫폼 제약을 충족하도록 중복 아이템 보상 변환 기능을 구현하고 검증한다.</x:v>
      </x:c>
      <x:c r="G207" s="37" t="str">
        <x:v>중복 획득 시 변환 대상, 수량, 상한, 예외를 서버에서 결정하고 거래 이력과 사용자 표시가 일치한다.</x:v>
      </x:c>
      <x:c r="H207" s="37" t="str">
        <x:v>구현, 코드 리뷰, 사양 갱신, 대상 QA 케이스 실행, 로그·텔레메트리 확인과 관련 플랫폼 검증을 완료하고 미해결 P0·P1 결함이 없다.</x:v>
      </x:c>
      <x:c r="I207" s="37" t="str">
        <x:v>출시 후</x:v>
      </x:c>
      <x:c r="J207" s="37" t="str">
        <x:v>P3</x:v>
      </x:c>
      <x:c r="K207" s="37" t="str">
        <x:v>조건부</x:v>
      </x:c>
      <x:c r="L207" s="37" t="str">
        <x:v>커머스</x:v>
      </x:c>
      <x:c r="M207" s="37" t="str">
        <x:v>출시 후</x:v>
      </x:c>
      <x:c r="N207" s="37" t="str">
        <x:v>캐릭터·경제 시스템 팀</x:v>
      </x:c>
      <x:c r="O207" s="37" t="str">
        <x:v>미정</x:v>
      </x:c>
      <x:c r="P207" s="37" t="str">
        <x:v>미정</x:v>
      </x:c>
      <x:c r="Q207" s="37" t="str">
        <x:v>백엔드</x:v>
      </x:c>
      <x:c r="R207" s="37" t="str">
        <x:v>백엔드 권한</x:v>
      </x:c>
      <x:c r="S207" s="37" t="str">
        <x:v>계정</x:v>
      </x:c>
      <x:c r="T207" s="37" t="str">
        <x:v>M</x:v>
      </x:c>
      <x:c r="U207" s="37" t="str">
        <x:v>미착수</x:v>
      </x:c>
      <x:c r="V207" s="42" t="n">
        <x:f>IF(U207="완료",1,IF(U207="QA 진행 중",0.8,IF(U207="코드 리뷰",0.65,IF(U207="구현 중",0.4,IF(U207="사양 확인 중",0.1,IF(U207="차단",0.4,0))))))</x:f>
        <x:v>0</x:v>
      </x:c>
      <x:c r="W207" s="37" t="str">
        <x:v>미정</x:v>
      </x:c>
      <x:c r="X207" s="40"/>
      <x:c r="Y207" s="37" t="str">
        <x:v>CHR-024,BED-029</x:v>
      </x:c>
      <x:c r="Z207" s="37" t="str">
        <x:v>높음</x:v>
      </x:c>
      <x:c r="AA207" s="37" t="str">
        <x:v>보안</x:v>
      </x:c>
      <x:c r="AB207" s="37" t="str">
        <x:v>TC-CHR-025-01</x:v>
      </x:c>
      <x:c r="AC207" s="37"/>
      <x:c r="AD207" s="37" t="str">
        <x:v>게임 기획서</x:v>
      </x:c>
      <x:c r="AE207" s="37"/>
      <x:c r="AF207" s="40" t="str">
        <x:v>2026-07-10</x:v>
      </x:c>
      <x:c r="AG207" s="37"/>
      <x:c r="AH207" s="49"/>
      <x:c r="AI207" s="49"/>
      <x:c r="AJ207" s="48" t="str">
        <x:v>착수 전</x:v>
      </x:c>
    </x:row>
    <x:row r="208" ht="42" customHeight="1">
      <x:c r="A208" s="37" t="str">
        <x:v>CHR-026</x:v>
      </x:c>
      <x:c r="B208" s="37" t="str">
        <x:v>캐릭터·커스터마이징·커머스</x:v>
      </x:c>
      <x:c r="C208" s="37" t="str">
        <x:v>라이브 콘텐츠</x:v>
      </x:c>
      <x:c r="D208" s="37" t="str">
        <x:v>시즌 에셋</x:v>
      </x:c>
      <x:c r="E208" s="37" t="str">
        <x:v>시즌·이벤트 외형 제작 템플릿</x:v>
      </x:c>
      <x:c r="F208" s="37" t="str">
        <x:v>게임 규칙, 운영 요구사항과 대상 플랫폼 제약을 충족하도록 시즌·이벤트 외형 제작 템플릿 기능을 구현하고 검증한다.</x:v>
      </x:c>
      <x:c r="G208" s="37" t="str">
        <x:v>이벤트 아이템도 동일한 판독성, LOD, 플랫폼 성능 예산, 지역 표시, 공개 종료 검사를 통과한다.</x:v>
      </x:c>
      <x:c r="H208" s="37" t="str">
        <x:v>구현, 코드 리뷰, 사양 갱신, 대상 QA 케이스 실행, 로그·텔레메트리 확인과 관련 플랫폼 검증을 완료하고 미해결 P0·P1 결함이 없다.</x:v>
      </x:c>
      <x:c r="I208" s="37" t="str">
        <x:v>출시 후</x:v>
      </x:c>
      <x:c r="J208" s="37" t="str">
        <x:v>P3</x:v>
      </x:c>
      <x:c r="K208" s="37" t="str">
        <x:v>조건부</x:v>
      </x:c>
      <x:c r="L208" s="37" t="str">
        <x:v>제작 기반</x:v>
      </x:c>
      <x:c r="M208" s="37" t="str">
        <x:v>출시 후</x:v>
      </x:c>
      <x:c r="N208" s="37" t="str">
        <x:v>캐릭터·경제 시스템 팀</x:v>
      </x:c>
      <x:c r="O208" s="37" t="str">
        <x:v>미정</x:v>
      </x:c>
      <x:c r="P208" s="37" t="str">
        <x:v>미정</x:v>
      </x:c>
      <x:c r="Q208" s="37" t="str">
        <x:v>도구</x:v>
      </x:c>
      <x:c r="R208" s="37" t="str">
        <x:v>콘텐츠 데이터</x:v>
      </x:c>
      <x:c r="S208" s="37" t="str">
        <x:v>없음</x:v>
      </x:c>
      <x:c r="T208" s="37" t="str">
        <x:v>M</x:v>
      </x:c>
      <x:c r="U208" s="37" t="str">
        <x:v>미착수</x:v>
      </x:c>
      <x:c r="V208" s="42" t="n">
        <x:f>IF(U208="완료",1,IF(U208="QA 진행 중",0.8,IF(U208="코드 리뷰",0.65,IF(U208="구현 중",0.4,IF(U208="사양 확인 중",0.1,IF(U208="차단",0.4,0))))))</x:f>
        <x:v>0</x:v>
      </x:c>
      <x:c r="W208" s="37" t="str">
        <x:v>미정</x:v>
      </x:c>
      <x:c r="X208" s="40"/>
      <x:c r="Y208" s="37" t="str">
        <x:v>CHR-014,CHR-021</x:v>
      </x:c>
      <x:c r="Z208" s="37" t="str">
        <x:v>중간</x:v>
      </x:c>
      <x:c r="AA208" s="37" t="str">
        <x:v>호환성</x:v>
      </x:c>
      <x:c r="AB208" s="37" t="str">
        <x:v>TC-CHR-026-01</x:v>
      </x:c>
      <x:c r="AC208" s="37"/>
      <x:c r="AD208" s="37" t="str">
        <x:v>게임 기획서</x:v>
      </x:c>
      <x:c r="AE208" s="37"/>
      <x:c r="AF208" s="40" t="str">
        <x:v>2026-07-10</x:v>
      </x:c>
      <x:c r="AG208" s="37"/>
      <x:c r="AH208" s="49"/>
      <x:c r="AI208" s="49"/>
      <x:c r="AJ208" s="48" t="str">
        <x:v>착수 전</x:v>
      </x:c>
    </x:row>
    <x:row r="209" ht="42" customHeight="1">
      <x:c r="A209" s="37" t="str">
        <x:v>CHR-027</x:v>
      </x:c>
      <x:c r="B209" s="37" t="str">
        <x:v>캐릭터·커스터마이징·커머스</x:v>
      </x:c>
      <x:c r="C209" s="37" t="str">
        <x:v>성능</x:v>
      </x:c>
      <x:c r="D209" s="37" t="str">
        <x:v>LOD·메모리</x:v>
      </x:c>
      <x:c r="E209" s="37" t="str">
        <x:v>캐릭터·LED·메모 LOD·메모리 예산</x:v>
      </x:c>
      <x:c r="F209" s="37" t="str">
        <x:v>게임 규칙, 운영 요구사항과 대상 플랫폼 제약을 충족하도록 캐릭터·LED·메모 LOD·메모리 예산 기능을 구현하고 검증한다.</x:v>
      </x:c>
      <x:c r="G209" s="37" t="str">
        <x:v>6명, 최대 메모, LED 효과, 기본 외형 조건에서 목표 FPS와 메모리 예산을 충족하고 낮은 품질 설정에서도 중요 정보를 제거하지 않는다.</x:v>
      </x:c>
      <x:c r="H209" s="37" t="str">
        <x:v>구현, 코드 리뷰, 사양 갱신, 대상 QA 케이스 실행, 로그·텔레메트리 확인과 관련 플랫폼 검증을 완료하고 미해결 P0·P1 결함이 없다.</x:v>
      </x:c>
      <x:c r="I209" s="37" t="str">
        <x:v>릴리스 후보</x:v>
      </x:c>
      <x:c r="J209" s="37" t="str">
        <x:v>P0</x:v>
      </x:c>
      <x:c r="K209" s="37" t="str">
        <x:v>필수</x:v>
      </x:c>
      <x:c r="L209" s="37" t="str">
        <x:v>성능</x:v>
      </x:c>
      <x:c r="M209" s="37" t="str">
        <x:v>릴리스 후보</x:v>
      </x:c>
      <x:c r="N209" s="37" t="str">
        <x:v>캐릭터·경제 시스템 팀</x:v>
      </x:c>
      <x:c r="O209" s="37" t="str">
        <x:v>미정</x:v>
      </x:c>
      <x:c r="P209" s="37" t="str">
        <x:v>미정</x:v>
      </x:c>
      <x:c r="Q209" s="37" t="str">
        <x:v>전체</x:v>
      </x:c>
      <x:c r="R209" s="37" t="str">
        <x:v>클라이언트 로컬</x:v>
      </x:c>
      <x:c r="S209" s="37" t="str">
        <x:v>없음</x:v>
      </x:c>
      <x:c r="T209" s="37" t="str">
        <x:v>L</x:v>
      </x:c>
      <x:c r="U209" s="37" t="str">
        <x:v>미착수</x:v>
      </x:c>
      <x:c r="V209" s="42" t="n">
        <x:f>IF(U209="완료",1,IF(U209="QA 진행 중",0.8,IF(U209="코드 리뷰",0.65,IF(U209="구현 중",0.4,IF(U209="사양 확인 중",0.1,IF(U209="차단",0.4,0))))))</x:f>
        <x:v>0</x:v>
      </x:c>
      <x:c r="W209" s="37" t="str">
        <x:v>미정</x:v>
      </x:c>
      <x:c r="X209" s="40"/>
      <x:c r="Y209" s="37" t="str">
        <x:v>CHR-004,CHR-010,CHR-021</x:v>
      </x:c>
      <x:c r="Z209" s="37" t="str">
        <x:v>중간</x:v>
      </x:c>
      <x:c r="AA209" s="37" t="str">
        <x:v>성능</x:v>
      </x:c>
      <x:c r="AB209" s="37" t="str">
        <x:v>TC-CHR-027-01, TC-CHR-027-02</x:v>
      </x:c>
      <x:c r="AC209" s="37"/>
      <x:c r="AD209" s="37" t="str">
        <x:v>게임 기획서</x:v>
      </x:c>
      <x:c r="AE209" s="37"/>
      <x:c r="AF209" s="40" t="str">
        <x:v>2026-07-10</x:v>
      </x:c>
      <x:c r="AG209" s="37"/>
      <x:c r="AH209" s="49"/>
      <x:c r="AI209" s="49"/>
      <x:c r="AJ209" s="48" t="str">
        <x:v>착수 전</x:v>
      </x:c>
    </x:row>
    <x:row r="210" ht="42" customHeight="1">
      <x:c r="A210" s="37" t="str">
        <x:v>CHR-028</x:v>
      </x:c>
      <x:c r="B210" s="37" t="str">
        <x:v>캐릭터·커스터마이징·커머스</x:v>
      </x:c>
      <x:c r="C210" s="37" t="str">
        <x:v>품질</x:v>
      </x:c>
      <x:c r="D210" s="37" t="str">
        <x:v>판독성 검토</x:v>
      </x:c>
      <x:c r="E210" s="37" t="str">
        <x:v>외형 판독성 리뷰 게이트</x:v>
      </x:c>
      <x:c r="F210" s="37" t="str">
        <x:v>게임 규칙, 운영 요구사항과 대상 플랫폼 제약을 충족하도록 외형 판독성 리뷰 게이트 기능을 구현하고 검증한다.</x:v>
      </x:c>
      <x:c r="G210" s="37" t="str">
        <x:v>앞·뒤, 거리, 조명, 색각, 동작, 최대 메모 조건의 시험 이미지 또는 영상을 제출하고 UI/UX, 게임 디자인, QA 승인을 받는다.</x:v>
      </x:c>
      <x:c r="H210" s="37" t="str">
        <x:v>구현, 코드 리뷰, 사양 갱신, 대상 QA 케이스 실행, 로그·텔레메트리 확인과 관련 플랫폼 검증을 완료하고 미해결 P0·P1 결함이 없다.</x:v>
      </x:c>
      <x:c r="I210" s="37" t="str">
        <x:v>MVP</x:v>
      </x:c>
      <x:c r="J210" s="37" t="str">
        <x:v>P0</x:v>
      </x:c>
      <x:c r="K210" s="37" t="str">
        <x:v>필수</x:v>
      </x:c>
      <x:c r="L210" s="37" t="str">
        <x:v>판독성</x:v>
      </x:c>
      <x:c r="M210" s="37" t="str">
        <x:v>MVP</x:v>
      </x:c>
      <x:c r="N210" s="37" t="str">
        <x:v>캐릭터·경제 시스템 팀</x:v>
      </x:c>
      <x:c r="O210" s="37" t="str">
        <x:v>미정</x:v>
      </x:c>
      <x:c r="P210" s="37" t="str">
        <x:v>미정</x:v>
      </x:c>
      <x:c r="Q210" s="37" t="str">
        <x:v>도구</x:v>
      </x:c>
      <x:c r="R210" s="37" t="str">
        <x:v>해당 없음</x:v>
      </x:c>
      <x:c r="S210" s="37" t="str">
        <x:v>감사 로그</x:v>
      </x:c>
      <x:c r="T210" s="37" t="str">
        <x:v>M</x:v>
      </x:c>
      <x:c r="U210" s="37" t="str">
        <x:v>미착수</x:v>
      </x:c>
      <x:c r="V210" s="42" t="n">
        <x:f>IF(U210="완료",1,IF(U210="QA 진행 중",0.8,IF(U210="코드 리뷰",0.65,IF(U210="구현 중",0.4,IF(U210="사양 확인 중",0.1,IF(U210="차단",0.4,0))))))</x:f>
        <x:v>0</x:v>
      </x:c>
      <x:c r="W210" s="37" t="str">
        <x:v>미정</x:v>
      </x:c>
      <x:c r="X210" s="40"/>
      <x:c r="Y210" s="37" t="str">
        <x:v>CHR-005,CHR-012,CHR-014</x:v>
      </x:c>
      <x:c r="Z210" s="37" t="str">
        <x:v>중간</x:v>
      </x:c>
      <x:c r="AA210" s="37" t="str">
        <x:v>사용성</x:v>
      </x:c>
      <x:c r="AB210" s="37" t="str">
        <x:v>TC-CHR-028-01, TC-CHR-028-02</x:v>
      </x:c>
      <x:c r="AC210" s="37"/>
      <x:c r="AD210" s="37" t="str">
        <x:v>게임 기획서</x:v>
      </x:c>
      <x:c r="AE210" s="37"/>
      <x:c r="AF210" s="40" t="str">
        <x:v>2026-07-10</x:v>
      </x:c>
      <x:c r="AG210" s="37"/>
      <x:c r="AH210" s="49"/>
      <x:c r="AI210" s="49"/>
      <x:c r="AJ210" s="48" t="str">
        <x:v>착수 전</x:v>
      </x:c>
    </x:row>
    <x:row r="211" ht="42" customHeight="1">
      <x:c r="A211" s="37" t="str">
        <x:v>CHR-029</x:v>
      </x:c>
      <x:c r="B211" s="37" t="str">
        <x:v>캐릭터·커스터마이징·커머스</x:v>
      </x:c>
      <x:c r="C211" s="37" t="str">
        <x:v>품질</x:v>
      </x:c>
      <x:c r="D211" s="37" t="str">
        <x:v>에셋 검증</x:v>
      </x:c>
      <x:c r="E211" s="37" t="str">
        <x:v>자동 에셋 검증 도구</x:v>
      </x:c>
      <x:c r="F211" s="37" t="str">
        <x:v>게임 규칙, 운영 요구사항과 대상 플랫폼 제약을 충족하도록 자동 에셋 검증 도구 기능을 구현하고 검증한다.</x:v>
      </x:c>
      <x:c r="G211" s="37" t="str">
        <x:v>명명, 스케일, 본, 소켓, 재질, LOD, 삼각형 수, 텍스처, 금지 영역, 색상을 CI에서 검사한다.</x:v>
      </x:c>
      <x:c r="H211" s="37" t="str">
        <x:v>구현, 코드 리뷰, 사양 갱신, 대상 QA 케이스 실행, 로그·텔레메트리 확인과 관련 플랫폼 검증을 완료하고 미해결 P0·P1 결함이 없다.</x:v>
      </x:c>
      <x:c r="I211" s="37" t="str">
        <x:v>알파</x:v>
      </x:c>
      <x:c r="J211" s="37" t="str">
        <x:v>P1</x:v>
      </x:c>
      <x:c r="K211" s="37" t="str">
        <x:v>필수</x:v>
      </x:c>
      <x:c r="L211" s="37" t="str">
        <x:v>제작 기반</x:v>
      </x:c>
      <x:c r="M211" s="37" t="str">
        <x:v>알파</x:v>
      </x:c>
      <x:c r="N211" s="37" t="str">
        <x:v>캐릭터·경제 시스템 팀</x:v>
      </x:c>
      <x:c r="O211" s="37" t="str">
        <x:v>미정</x:v>
      </x:c>
      <x:c r="P211" s="37" t="str">
        <x:v>미정</x:v>
      </x:c>
      <x:c r="Q211" s="37" t="str">
        <x:v>도구</x:v>
      </x:c>
      <x:c r="R211" s="37" t="str">
        <x:v>해당 없음</x:v>
      </x:c>
      <x:c r="S211" s="37" t="str">
        <x:v>없음</x:v>
      </x:c>
      <x:c r="T211" s="37" t="str">
        <x:v>XL</x:v>
      </x:c>
      <x:c r="U211" s="37" t="str">
        <x:v>미착수</x:v>
      </x:c>
      <x:c r="V211" s="42" t="n">
        <x:f>IF(U211="완료",1,IF(U211="QA 진행 중",0.8,IF(U211="코드 리뷰",0.65,IF(U211="구현 중",0.4,IF(U211="사양 확인 중",0.1,IF(U211="차단",0.4,0))))))</x:f>
        <x:v>0</x:v>
      </x:c>
      <x:c r="W211" s="37" t="str">
        <x:v>미정</x:v>
      </x:c>
      <x:c r="X211" s="40"/>
      <x:c r="Y211" s="37" t="str">
        <x:v>CHR-009,CHR-014,CHR-021</x:v>
      </x:c>
      <x:c r="Z211" s="37" t="str">
        <x:v>중간</x:v>
      </x:c>
      <x:c r="AA211" s="37" t="str">
        <x:v>운영</x:v>
      </x:c>
      <x:c r="AB211" s="37" t="str">
        <x:v>TC-CHR-029-01</x:v>
      </x:c>
      <x:c r="AC211" s="37"/>
      <x:c r="AD211" s="37" t="str">
        <x:v>게임 기획서</x:v>
      </x:c>
      <x:c r="AE211" s="37"/>
      <x:c r="AF211" s="40" t="str">
        <x:v>2026-07-10</x:v>
      </x:c>
      <x:c r="AG211" s="37"/>
      <x:c r="AH211" s="49"/>
      <x:c r="AI211" s="49"/>
      <x:c r="AJ211" s="48" t="str">
        <x:v>착수 전</x:v>
      </x:c>
    </x:row>
    <x:row r="212" ht="42" customHeight="1">
      <x:c r="A212" s="37" t="str">
        <x:v>CHR-030</x:v>
      </x:c>
      <x:c r="B212" s="37" t="str">
        <x:v>캐릭터·커스터마이징·커머스</x:v>
      </x:c>
      <x:c r="C212" s="37" t="str">
        <x:v>LED 헤드</x:v>
      </x:c>
      <x:c r="D212" s="37" t="str">
        <x:v>표정 프리셋</x:v>
      </x:c>
      <x:c r="E212" s="37" t="str">
        <x:v>MVP LED 표정·아이콘 프리셋</x:v>
      </x:c>
      <x:c r="F212" s="37" t="str">
        <x:v>게임 규칙, 운영 요구사항과 대상 플랫폼 제약을 충족하도록 MVP LED 표정·아이콘 프리셋 기능을 구현하고 검증한다.</x:v>
      </x:c>
      <x:c r="G212" s="37" t="str">
        <x:v>미소, 분노, 의심, 슬픔, 물음표, 느낌표 등을 구현하고 다른 플레이어 색상 위조나 금지 표현에 사용할 수 없도록 한다.</x:v>
      </x:c>
      <x:c r="H212" s="37" t="str">
        <x:v>구현, 코드 리뷰, 사양 갱신, 대상 QA 케이스 실행, 로그·텔레메트리 확인과 관련 플랫폼 검증을 완료하고 미해결 P0·P1 결함이 없다.</x:v>
      </x:c>
      <x:c r="I212" s="37" t="str">
        <x:v>MVP</x:v>
      </x:c>
      <x:c r="J212" s="37" t="str">
        <x:v>P1</x:v>
      </x:c>
      <x:c r="K212" s="37" t="str">
        <x:v>필수</x:v>
      </x:c>
      <x:c r="L212" s="37" t="str">
        <x:v>표현</x:v>
      </x:c>
      <x:c r="M212" s="37" t="str">
        <x:v>MVP</x:v>
      </x:c>
      <x:c r="N212" s="37" t="str">
        <x:v>캐릭터·경제 시스템 팀</x:v>
      </x:c>
      <x:c r="O212" s="37" t="str">
        <x:v>미정</x:v>
      </x:c>
      <x:c r="P212" s="37" t="str">
        <x:v>미정</x:v>
      </x:c>
      <x:c r="Q212" s="37" t="str">
        <x:v>전체</x:v>
      </x:c>
      <x:c r="R212" s="37" t="str">
        <x:v>클라이언트 로컬</x:v>
      </x:c>
      <x:c r="S212" s="37" t="str">
        <x:v>계정</x:v>
      </x:c>
      <x:c r="T212" s="37" t="str">
        <x:v>M</x:v>
      </x:c>
      <x:c r="U212" s="37" t="str">
        <x:v>미착수</x:v>
      </x:c>
      <x:c r="V212" s="42" t="n">
        <x:f>IF(U212="완료",1,IF(U212="QA 진행 중",0.8,IF(U212="코드 리뷰",0.65,IF(U212="구현 중",0.4,IF(U212="사양 확인 중",0.1,IF(U212="차단",0.4,0))))))</x:f>
        <x:v>0</x:v>
      </x:c>
      <x:c r="W212" s="37" t="str">
        <x:v>미정</x:v>
      </x:c>
      <x:c r="X212" s="40"/>
      <x:c r="Y212" s="37" t="str">
        <x:v>CHR-004,CHR-005</x:v>
      </x:c>
      <x:c r="Z212" s="37" t="str">
        <x:v>중간</x:v>
      </x:c>
      <x:c r="AA212" s="37" t="str">
        <x:v>안전</x:v>
      </x:c>
      <x:c r="AB212" s="37" t="str">
        <x:v>TC-CHR-030-01</x:v>
      </x:c>
      <x:c r="AC212" s="37"/>
      <x:c r="AD212" s="37" t="str">
        <x:v>캐릭터 사양서 §4</x:v>
      </x:c>
      <x:c r="AE212" s="37"/>
      <x:c r="AF212" s="40" t="str">
        <x:v>2026-07-10</x:v>
      </x:c>
      <x:c r="AG212" s="37"/>
      <x:c r="AH212" s="49"/>
      <x:c r="AI212" s="49"/>
      <x:c r="AJ212" s="48" t="str">
        <x:v>착수 전</x:v>
      </x:c>
    </x:row>
    <x:row r="213" ht="42" customHeight="1">
      <x:c r="A213" s="37" t="str">
        <x:v>CHR-031</x:v>
      </x:c>
      <x:c r="B213" s="37" t="str">
        <x:v>캐릭터·커스터마이징·커머스</x:v>
      </x:c>
      <x:c r="C213" s="37" t="str">
        <x:v>LED 헤드</x:v>
      </x:c>
      <x:c r="D213" s="37" t="str">
        <x:v>자유 그리기</x:v>
      </x:c>
      <x:c r="E213" s="37" t="str">
        <x:v>자유 그리기·스탬프 안전 설계</x:v>
      </x:c>
      <x:c r="F213" s="37" t="str">
        <x:v>게임 규칙, 운영 요구사항과 대상 플랫폼 제약을 충족하도록 자유 그리기·스탬프 안전 설계 기능을 구현하고 검증한다.</x:v>
      </x:c>
      <x:c r="G213" s="37" t="str">
        <x:v>자유 그리기를 활성화할 경우 해상도, 색상, 지우기, 신고, 저장, 금지 표현, 다른 색상 오인 방지 요건을 충족한다. MVP에서는 프리셋만 제공한다.</x:v>
      </x:c>
      <x:c r="H213" s="37" t="str">
        <x:v>구현, 코드 리뷰, 사양 갱신, 대상 QA 케이스 실행, 로그·텔레메트리 확인과 관련 플랫폼 검증을 완료하고 미해결 P0·P1 결함이 없다.</x:v>
      </x:c>
      <x:c r="I213" s="37" t="str">
        <x:v>출시 후</x:v>
      </x:c>
      <x:c r="J213" s="37" t="str">
        <x:v>P3</x:v>
      </x:c>
      <x:c r="K213" s="37" t="str">
        <x:v>조건부</x:v>
      </x:c>
      <x:c r="L213" s="37" t="str">
        <x:v>안전</x:v>
      </x:c>
      <x:c r="M213" s="37" t="str">
        <x:v>출시 후</x:v>
      </x:c>
      <x:c r="N213" s="37" t="str">
        <x:v>캐릭터·경제 시스템 팀</x:v>
      </x:c>
      <x:c r="O213" s="37" t="str">
        <x:v>미정</x:v>
      </x:c>
      <x:c r="P213" s="37" t="str">
        <x:v>미정</x:v>
      </x:c>
      <x:c r="Q213" s="37" t="str">
        <x:v>전체</x:v>
      </x:c>
      <x:c r="R213" s="37" t="str">
        <x:v>클라이언트 로컬</x:v>
      </x:c>
      <x:c r="S213" s="37" t="str">
        <x:v>계정</x:v>
      </x:c>
      <x:c r="T213" s="37" t="str">
        <x:v>XL</x:v>
      </x:c>
      <x:c r="U213" s="37" t="str">
        <x:v>미착수</x:v>
      </x:c>
      <x:c r="V213" s="42" t="n">
        <x:f>IF(U213="완료",1,IF(U213="QA 진행 중",0.8,IF(U213="코드 리뷰",0.65,IF(U213="구현 중",0.4,IF(U213="사양 확인 중",0.1,IF(U213="차단",0.4,0))))))</x:f>
        <x:v>0</x:v>
      </x:c>
      <x:c r="W213" s="37" t="str">
        <x:v>미정</x:v>
      </x:c>
      <x:c r="X213" s="40"/>
      <x:c r="Y213" s="37" t="str">
        <x:v>CHR-004,BED-009,BED-010</x:v>
      </x:c>
      <x:c r="Z213" s="37" t="str">
        <x:v>높음</x:v>
      </x:c>
      <x:c r="AA213" s="37" t="str">
        <x:v>보안</x:v>
      </x:c>
      <x:c r="AB213" s="37" t="str">
        <x:v>TC-CHR-031-01</x:v>
      </x:c>
      <x:c r="AC213" s="37"/>
      <x:c r="AD213" s="37" t="str">
        <x:v>게임 기획서</x:v>
      </x:c>
      <x:c r="AE213" s="37"/>
      <x:c r="AF213" s="40" t="str">
        <x:v>2026-07-10</x:v>
      </x:c>
      <x:c r="AG213" s="37"/>
      <x:c r="AH213" s="49"/>
      <x:c r="AI213" s="49"/>
      <x:c r="AJ213" s="48" t="str">
        <x:v>착수 전</x:v>
      </x:c>
    </x:row>
    <x:row r="214" ht="42" customHeight="1">
      <x:c r="A214" s="37" t="str">
        <x:v>AUD-001</x:v>
      </x:c>
      <x:c r="B214" s="37" t="str">
        <x:v>오디오·보이스 채팅</x:v>
      </x:c>
      <x:c r="C214" s="37" t="str">
        <x:v>오디오 기반</x:v>
      </x:c>
      <x:c r="D214" s="37" t="str">
        <x:v>믹싱</x:v>
      </x:c>
      <x:c r="E214" s="37" t="str">
        <x:v>BGM·효과음·UI·음성 버스·스냅샷 설계</x:v>
      </x:c>
      <x:c r="F214" s="37" t="str">
        <x:v>게임 규칙, 운영 요구사항과 대상 플랫폼 제약을 충족하도록 BGM·효과음·UI·음성 버스·스냅샷 설계 기능을 구현하고 검증한다.</x:v>
      </x:c>
      <x:c r="G214" s="37" t="str">
        <x:v>주요 버스, 우선순위, 더킹, 낮·밤·최종 재판·결과 스냅샷을 정의하고 중요한 대화와 투표 알림이 다른 소리에 묻히지 않는다.</x:v>
      </x:c>
      <x:c r="H214" s="37" t="str">
        <x:v>구현, 코드 리뷰, 사양 갱신, 대상 QA 케이스 실행, 로그·텔레메트리 확인과 관련 플랫폼 검증을 완료하고 미해결 P0·P1 결함이 없다.</x:v>
      </x:c>
      <x:c r="I214" s="37" t="str">
        <x:v>MVP</x:v>
      </x:c>
      <x:c r="J214" s="37" t="str">
        <x:v>P0</x:v>
      </x:c>
      <x:c r="K214" s="37" t="str">
        <x:v>필수</x:v>
      </x:c>
      <x:c r="L214" s="37" t="str">
        <x:v>오디오 기반</x:v>
      </x:c>
      <x:c r="M214" s="37" t="str">
        <x:v>MVP</x:v>
      </x:c>
      <x:c r="N214" s="37" t="str">
        <x:v>오디오·온라인 엔지니어링</x:v>
      </x:c>
      <x:c r="O214" s="37" t="str">
        <x:v>미정</x:v>
      </x:c>
      <x:c r="P214" s="37" t="str">
        <x:v>미정</x:v>
      </x:c>
      <x:c r="Q214" s="37" t="str">
        <x:v>전체</x:v>
      </x:c>
      <x:c r="R214" s="37" t="str">
        <x:v>콘텐츠 데이터</x:v>
      </x:c>
      <x:c r="S214" s="37" t="str">
        <x:v>없음</x:v>
      </x:c>
      <x:c r="T214" s="37" t="str">
        <x:v>L</x:v>
      </x:c>
      <x:c r="U214" s="37" t="str">
        <x:v>미착수</x:v>
      </x:c>
      <x:c r="V214" s="42" t="n">
        <x:f>IF(U214="완료",1,IF(U214="QA 진행 중",0.8,IF(U214="코드 리뷰",0.65,IF(U214="구현 중",0.4,IF(U214="사양 확인 중",0.1,IF(U214="차단",0.4,0))))))</x:f>
        <x:v>0</x:v>
      </x:c>
      <x:c r="W214" s="37" t="str">
        <x:v>미정</x:v>
      </x:c>
      <x:c r="X214" s="40"/>
      <x:c r="Y214" s="37"/>
      <x:c r="Z214" s="37" t="str">
        <x:v>중간</x:v>
      </x:c>
      <x:c r="AA214" s="37" t="str">
        <x:v>기능</x:v>
      </x:c>
      <x:c r="AB214" s="37" t="str">
        <x:v>TC-AUD-001-01, TC-AUD-001-02</x:v>
      </x:c>
      <x:c r="AC214" s="37"/>
      <x:c r="AD214" s="37" t="str">
        <x:v>게임 기획서</x:v>
      </x:c>
      <x:c r="AE214" s="37"/>
      <x:c r="AF214" s="40" t="str">
        <x:v>2026-07-10</x:v>
      </x:c>
      <x:c r="AG214" s="37"/>
      <x:c r="AH214" s="49"/>
      <x:c r="AI214" s="49"/>
      <x:c r="AJ214" s="48" t="str">
        <x:v>착수 전</x:v>
      </x:c>
    </x:row>
    <x:row r="215" ht="42" customHeight="1">
      <x:c r="A215" s="37" t="str">
        <x:v>AUD-002</x:v>
      </x:c>
      <x:c r="B215" s="37" t="str">
        <x:v>오디오·보이스 채팅</x:v>
      </x:c>
      <x:c r="C215" s="37" t="str">
        <x:v>음성 채팅</x:v>
      </x:c>
      <x:c r="D215" s="37" t="str">
        <x:v>초기화</x:v>
      </x:c>
      <x:c r="E215" s="37" t="str">
        <x:v>음성 SDK 초기화·입출력 장치</x:v>
      </x:c>
      <x:c r="F215" s="37" t="str">
        <x:v>게임 규칙, 운영 요구사항과 대상 플랫폼 제약을 충족하도록 음성 SDK 초기화·입출력 장치 기능을 구현하고 검증한다.</x:v>
      </x:c>
      <x:c r="G215" s="37" t="str">
        <x:v>권한, 동의, 입력·출력 장치, 마이크 시험, 장치 전환·분리를 처리하고 실패해도 게임 참가 정책에 따라 안전하게 계속할 수 있다.</x:v>
      </x:c>
      <x:c r="H215" s="37" t="str">
        <x:v>구현, 코드 리뷰, 사양 갱신, 대상 QA 케이스 실행, 로그·텔레메트리 확인과 관련 플랫폼 검증을 완료하고 미해결 P0·P1 결함이 없다.</x:v>
      </x:c>
      <x:c r="I215" s="37" t="str">
        <x:v>알파</x:v>
      </x:c>
      <x:c r="J215" s="37" t="str">
        <x:v>P0</x:v>
      </x:c>
      <x:c r="K215" s="37" t="str">
        <x:v>필수</x:v>
      </x:c>
      <x:c r="L215" s="37" t="str">
        <x:v>음성</x:v>
      </x:c>
      <x:c r="M215" s="37" t="str">
        <x:v>알파</x:v>
      </x:c>
      <x:c r="N215" s="37" t="str">
        <x:v>오디오·온라인 엔지니어링</x:v>
      </x:c>
      <x:c r="O215" s="37" t="str">
        <x:v>미정</x:v>
      </x:c>
      <x:c r="P215" s="37" t="str">
        <x:v>미정</x:v>
      </x:c>
      <x:c r="Q215" s="37" t="str">
        <x:v>전체</x:v>
      </x:c>
      <x:c r="R215" s="37" t="str">
        <x:v>클라이언트 로컬</x:v>
      </x:c>
      <x:c r="S215" s="37" t="str">
        <x:v>단말 로컬</x:v>
      </x:c>
      <x:c r="T215" s="37" t="str">
        <x:v>XL</x:v>
      </x:c>
      <x:c r="U215" s="37" t="str">
        <x:v>미착수</x:v>
      </x:c>
      <x:c r="V215" s="42" t="n">
        <x:f>IF(U215="완료",1,IF(U215="QA 진행 중",0.8,IF(U215="코드 리뷰",0.65,IF(U215="구현 중",0.4,IF(U215="사양 확인 중",0.1,IF(U215="차단",0.4,0))))))</x:f>
        <x:v>0</x:v>
      </x:c>
      <x:c r="W215" s="37" t="str">
        <x:v>미정</x:v>
      </x:c>
      <x:c r="X215" s="40"/>
      <x:c r="Y215" s="37" t="str">
        <x:v>SET-008,BED-012</x:v>
      </x:c>
      <x:c r="Z215" s="37" t="str">
        <x:v>중간</x:v>
      </x:c>
      <x:c r="AA215" s="37" t="str">
        <x:v>호환성</x:v>
      </x:c>
      <x:c r="AB215" s="37" t="str">
        <x:v>TC-AUD-002-01, TC-AUD-002-02</x:v>
      </x:c>
      <x:c r="AC215" s="37"/>
      <x:c r="AD215" s="37" t="str">
        <x:v>게임 기획서</x:v>
      </x:c>
      <x:c r="AE215" s="37"/>
      <x:c r="AF215" s="40" t="str">
        <x:v>2026-07-10</x:v>
      </x:c>
      <x:c r="AG215" s="37"/>
      <x:c r="AH215" s="49"/>
      <x:c r="AI215" s="49"/>
      <x:c r="AJ215" s="48" t="str">
        <x:v>착수 전</x:v>
      </x:c>
    </x:row>
    <x:row r="216" ht="42" customHeight="1">
      <x:c r="A216" s="37" t="str">
        <x:v>AUD-003</x:v>
      </x:c>
      <x:c r="B216" s="37" t="str">
        <x:v>오디오·보이스 채팅</x:v>
      </x:c>
      <x:c r="C216" s="37" t="str">
        <x:v>음성 채팅</x:v>
      </x:c>
      <x:c r="D216" s="37" t="str">
        <x:v>사전 점검</x:v>
      </x:c>
      <x:c r="E216" s="37" t="str">
        <x:v>로비 음성 연결·권한 사전 점검</x:v>
      </x:c>
      <x:c r="F216" s="37" t="str">
        <x:v>게임 규칙, 운영 요구사항과 대상 플랫폼 제약을 충족하도록 로비 음성 연결·권한 사전 점검 기능을 구현하고 검증한다.</x:v>
      </x:c>
      <x:c r="G216" s="37" t="str">
        <x:v>매치 시작 전에 채널 참가, 마이크 권한, 송수신 상태를 검사하고 문제가 있는 참가자에게 자가 해결 경로를 제공한다.</x:v>
      </x:c>
      <x:c r="H216" s="37" t="str">
        <x:v>구현, 코드 리뷰, 사양 갱신, 대상 QA 케이스 실행, 로그·텔레메트리 확인과 관련 플랫폼 검증을 완료하고 미해결 P0·P1 결함이 없다.</x:v>
      </x:c>
      <x:c r="I216" s="37" t="str">
        <x:v>알파</x:v>
      </x:c>
      <x:c r="J216" s="37" t="str">
        <x:v>P0</x:v>
      </x:c>
      <x:c r="K216" s="37" t="str">
        <x:v>필수</x:v>
      </x:c>
      <x:c r="L216" s="37" t="str">
        <x:v>음성</x:v>
      </x:c>
      <x:c r="M216" s="37" t="str">
        <x:v>알파</x:v>
      </x:c>
      <x:c r="N216" s="37" t="str">
        <x:v>오디오·온라인 엔지니어링</x:v>
      </x:c>
      <x:c r="O216" s="37" t="str">
        <x:v>미정</x:v>
      </x:c>
      <x:c r="P216" s="37" t="str">
        <x:v>미정</x:v>
      </x:c>
      <x:c r="Q216" s="37" t="str">
        <x:v>전체</x:v>
      </x:c>
      <x:c r="R216" s="37" t="str">
        <x:v>클라이언트 로컬</x:v>
      </x:c>
      <x:c r="S216" s="37" t="str">
        <x:v>세션</x:v>
      </x:c>
      <x:c r="T216" s="37" t="str">
        <x:v>L</x:v>
      </x:c>
      <x:c r="U216" s="37" t="str">
        <x:v>미착수</x:v>
      </x:c>
      <x:c r="V216" s="42" t="n">
        <x:f>IF(U216="완료",1,IF(U216="QA 진행 중",0.8,IF(U216="코드 리뷰",0.65,IF(U216="구현 중",0.4,IF(U216="사양 확인 중",0.1,IF(U216="차단",0.4,0))))))</x:f>
        <x:v>0</x:v>
      </x:c>
      <x:c r="W216" s="37" t="str">
        <x:v>미정</x:v>
      </x:c>
      <x:c r="X216" s="40"/>
      <x:c r="Y216" s="37" t="str">
        <x:v>AUD-002,ONL-011</x:v>
      </x:c>
      <x:c r="Z216" s="37" t="str">
        <x:v>중간</x:v>
      </x:c>
      <x:c r="AA216" s="37" t="str">
        <x:v>통합</x:v>
      </x:c>
      <x:c r="AB216" s="37" t="str">
        <x:v>TC-AUD-003-01, TC-AUD-003-02</x:v>
      </x:c>
      <x:c r="AC216" s="37"/>
      <x:c r="AD216" s="37" t="str">
        <x:v>게임 기획서</x:v>
      </x:c>
      <x:c r="AE216" s="37"/>
      <x:c r="AF216" s="40" t="str">
        <x:v>2026-07-10</x:v>
      </x:c>
      <x:c r="AG216" s="37"/>
      <x:c r="AH216" s="49"/>
      <x:c r="AI216" s="49"/>
      <x:c r="AJ216" s="48" t="str">
        <x:v>착수 전</x:v>
      </x:c>
    </x:row>
    <x:row r="217" ht="42" customHeight="1">
      <x:c r="A217" s="37" t="str">
        <x:v>AUD-004</x:v>
      </x:c>
      <x:c r="B217" s="37" t="str">
        <x:v>오디오·보이스 채팅</x:v>
      </x:c>
      <x:c r="C217" s="37" t="str">
        <x:v>음성 채팅</x:v>
      </x:c>
      <x:c r="D217" s="37" t="str">
        <x:v>근거리</x:v>
      </x:c>
      <x:c r="E217" s="37" t="str">
        <x:v>낮 근거리 음성 거리 감쇠</x:v>
      </x:c>
      <x:c r="F217" s="37" t="str">
        <x:v>게임 규칙, 운영 요구사항과 대상 플랫폼 제약을 충족하도록 낮 근거리 음성 거리 감쇠 기능을 구현하고 검증한다.</x:v>
      </x:c>
      <x:c r="G217" s="37" t="str">
        <x:v>근거리는 명확하게, 중거리는 감쇠하며 원거리에서는 들리지 않도록 하고 카메라가 아니라 캐릭터 위치를 기준으로 한다.</x:v>
      </x:c>
      <x:c r="H217" s="37" t="str">
        <x:v>구현, 코드 리뷰, 사양 갱신, 대상 QA 케이스 실행, 로그·텔레메트리 확인과 관련 플랫폼 검증을 완료하고 미해결 P0·P1 결함이 없다.</x:v>
      </x:c>
      <x:c r="I217" s="37" t="str">
        <x:v>MVP</x:v>
      </x:c>
      <x:c r="J217" s="37" t="str">
        <x:v>P0</x:v>
      </x:c>
      <x:c r="K217" s="37" t="str">
        <x:v>필수</x:v>
      </x:c>
      <x:c r="L217" s="37" t="str">
        <x:v>핵심 규칙</x:v>
      </x:c>
      <x:c r="M217" s="37" t="str">
        <x:v>MVP</x:v>
      </x:c>
      <x:c r="N217" s="37" t="str">
        <x:v>오디오·온라인 엔지니어링</x:v>
      </x:c>
      <x:c r="O217" s="37" t="str">
        <x:v>미정</x:v>
      </x:c>
      <x:c r="P217" s="37" t="str">
        <x:v>미정</x:v>
      </x:c>
      <x:c r="Q217" s="37" t="str">
        <x:v>전체</x:v>
      </x:c>
      <x:c r="R217" s="37" t="str">
        <x:v>클라이언트 로컬</x:v>
      </x:c>
      <x:c r="S217" s="37" t="str">
        <x:v>없음</x:v>
      </x:c>
      <x:c r="T217" s="37" t="str">
        <x:v>XL</x:v>
      </x:c>
      <x:c r="U217" s="37" t="str">
        <x:v>미착수</x:v>
      </x:c>
      <x:c r="V217" s="42" t="n">
        <x:f>IF(U217="완료",1,IF(U217="QA 진행 중",0.8,IF(U217="코드 리뷰",0.65,IF(U217="구현 중",0.4,IF(U217="사양 확인 중",0.1,IF(U217="차단",0.4,0))))))</x:f>
        <x:v>0</x:v>
      </x:c>
      <x:c r="W217" s="37" t="str">
        <x:v>미정</x:v>
      </x:c>
      <x:c r="X217" s="40"/>
      <x:c r="Y217" s="37" t="str">
        <x:v>AUD-002,NET-009</x:v>
      </x:c>
      <x:c r="Z217" s="37" t="str">
        <x:v>중간</x:v>
      </x:c>
      <x:c r="AA217" s="37" t="str">
        <x:v>사용성</x:v>
      </x:c>
      <x:c r="AB217" s="37" t="str">
        <x:v>TC-AUD-004-01, TC-AUD-004-02</x:v>
      </x:c>
      <x:c r="AC217" s="37"/>
      <x:c r="AD217" s="37" t="str">
        <x:v>게임 기획서 §6</x:v>
      </x:c>
      <x:c r="AE217" s="37"/>
      <x:c r="AF217" s="40" t="str">
        <x:v>2026-07-10</x:v>
      </x:c>
      <x:c r="AG217" s="37"/>
      <x:c r="AH217" s="49"/>
      <x:c r="AI217" s="49"/>
      <x:c r="AJ217" s="48" t="str">
        <x:v>착수 전</x:v>
      </x:c>
    </x:row>
    <x:row r="218" ht="42" customHeight="1">
      <x:c r="A218" s="37" t="str">
        <x:v>AUD-005</x:v>
      </x:c>
      <x:c r="B218" s="37" t="str">
        <x:v>오디오·보이스 채팅</x:v>
      </x:c>
      <x:c r="C218" s="37" t="str">
        <x:v>음성 채팅</x:v>
      </x:c>
      <x:c r="D218" s="37" t="str">
        <x:v>차폐</x:v>
      </x:c>
      <x:c r="E218" s="37" t="str">
        <x:v>벽·방에 따른 음성 차폐</x:v>
      </x:c>
      <x:c r="F218" s="37" t="str">
        <x:v>게임 규칙, 운영 요구사항과 대상 플랫폼 제약을 충족하도록 벽·방에 따른 음성 차폐 기능을 구현하고 검증한다.</x:v>
      </x:c>
      <x:c r="G218" s="37" t="str">
        <x:v>벽, 문, 방 경계에서 음량과 필터를 조절하고 맵 밖이나 시야 밖의 대화가 부자연스럽게 새지 않는다.</x:v>
      </x:c>
      <x:c r="H218" s="37" t="str">
        <x:v>구현, 코드 리뷰, 사양 갱신, 대상 QA 케이스 실행, 로그·텔레메트리 확인과 관련 플랫폼 검증을 완료하고 미해결 P0·P1 결함이 없다.</x:v>
      </x:c>
      <x:c r="I218" s="37" t="str">
        <x:v>알파</x:v>
      </x:c>
      <x:c r="J218" s="37" t="str">
        <x:v>P1</x:v>
      </x:c>
      <x:c r="K218" s="37" t="str">
        <x:v>필수</x:v>
      </x:c>
      <x:c r="L218" s="37" t="str">
        <x:v>음성</x:v>
      </x:c>
      <x:c r="M218" s="37" t="str">
        <x:v>알파</x:v>
      </x:c>
      <x:c r="N218" s="37" t="str">
        <x:v>오디오·온라인 엔지니어링</x:v>
      </x:c>
      <x:c r="O218" s="37" t="str">
        <x:v>미정</x:v>
      </x:c>
      <x:c r="P218" s="37" t="str">
        <x:v>미정</x:v>
      </x:c>
      <x:c r="Q218" s="37" t="str">
        <x:v>전체</x:v>
      </x:c>
      <x:c r="R218" s="37" t="str">
        <x:v>클라이언트 로컬</x:v>
      </x:c>
      <x:c r="S218" s="37" t="str">
        <x:v>없음</x:v>
      </x:c>
      <x:c r="T218" s="37" t="str">
        <x:v>L</x:v>
      </x:c>
      <x:c r="U218" s="37" t="str">
        <x:v>미착수</x:v>
      </x:c>
      <x:c r="V218" s="42" t="n">
        <x:f>IF(U218="완료",1,IF(U218="QA 진행 중",0.8,IF(U218="코드 리뷰",0.65,IF(U218="구현 중",0.4,IF(U218="사양 확인 중",0.1,IF(U218="차단",0.4,0))))))</x:f>
        <x:v>0</x:v>
      </x:c>
      <x:c r="W218" s="37" t="str">
        <x:v>미정</x:v>
      </x:c>
      <x:c r="X218" s="40"/>
      <x:c r="Y218" s="37" t="str">
        <x:v>AUD-004,CNT-007</x:v>
      </x:c>
      <x:c r="Z218" s="37" t="str">
        <x:v>중간</x:v>
      </x:c>
      <x:c r="AA218" s="37" t="str">
        <x:v>기능</x:v>
      </x:c>
      <x:c r="AB218" s="37" t="str">
        <x:v>TC-AUD-005-01</x:v>
      </x:c>
      <x:c r="AC218" s="37"/>
      <x:c r="AD218" s="37" t="str">
        <x:v>게임 기획서</x:v>
      </x:c>
      <x:c r="AE218" s="37"/>
      <x:c r="AF218" s="40" t="str">
        <x:v>2026-07-10</x:v>
      </x:c>
      <x:c r="AG218" s="37"/>
      <x:c r="AH218" s="49"/>
      <x:c r="AI218" s="49"/>
      <x:c r="AJ218" s="48" t="str">
        <x:v>착수 전</x:v>
      </x:c>
    </x:row>
    <x:row r="219" ht="42" customHeight="1">
      <x:c r="A219" s="37" t="str">
        <x:v>AUD-006</x:v>
      </x:c>
      <x:c r="B219" s="37" t="str">
        <x:v>오디오·보이스 채팅</x:v>
      </x:c>
      <x:c r="C219" s="37" t="str">
        <x:v>음성 채팅</x:v>
      </x:c>
      <x:c r="D219" s="37" t="str">
        <x:v>야간 침묵</x:v>
      </x:c>
      <x:c r="E219" s="37" t="str">
        <x:v>밤 관찰·밤 투표 완전 음소거</x:v>
      </x:c>
      <x:c r="F219" s="37" t="str">
        <x:v>게임 규칙, 운영 요구사항과 대상 플랫폼 제약을 충족하도록 밤 관찰·밤 투표 완전 음소거 기능을 구현하고 검증한다.</x:v>
      </x:c>
      <x:c r="G219" s="37" t="str">
        <x:v>밤 시작 이벤트를 서버 기준으로 모든 송신 채널에 적용하고 PTT, 오픈 마이크, 재접속, 장치 전환 상황에서도 송수신할 수 없다.</x:v>
      </x:c>
      <x:c r="H219" s="37" t="str">
        <x:v>구현, 코드 리뷰, 사양 갱신, 대상 QA 케이스 실행, 로그·텔레메트리 확인과 관련 플랫폼 검증을 완료하고 미해결 P0·P1 결함이 없다.</x:v>
      </x:c>
      <x:c r="I219" s="37" t="str">
        <x:v>MVP</x:v>
      </x:c>
      <x:c r="J219" s="37" t="str">
        <x:v>P0</x:v>
      </x:c>
      <x:c r="K219" s="37" t="str">
        <x:v>필수</x:v>
      </x:c>
      <x:c r="L219" s="37" t="str">
        <x:v>핵심 규칙</x:v>
      </x:c>
      <x:c r="M219" s="37" t="str">
        <x:v>MVP</x:v>
      </x:c>
      <x:c r="N219" s="37" t="str">
        <x:v>오디오·온라인 엔지니어링</x:v>
      </x:c>
      <x:c r="O219" s="37" t="str">
        <x:v>미정</x:v>
      </x:c>
      <x:c r="P219" s="37" t="str">
        <x:v>미정</x:v>
      </x:c>
      <x:c r="Q219" s="37" t="str">
        <x:v>전체</x:v>
      </x:c>
      <x:c r="R219" s="37" t="str">
        <x:v>서버 권한</x:v>
      </x:c>
      <x:c r="S219" s="37" t="str">
        <x:v>세션</x:v>
      </x:c>
      <x:c r="T219" s="37" t="str">
        <x:v>L</x:v>
      </x:c>
      <x:c r="U219" s="37" t="str">
        <x:v>미착수</x:v>
      </x:c>
      <x:c r="V219" s="42" t="n">
        <x:f>IF(U219="완료",1,IF(U219="QA 진행 중",0.8,IF(U219="코드 리뷰",0.65,IF(U219="구현 중",0.4,IF(U219="사양 확인 중",0.1,IF(U219="차단",0.4,0))))))</x:f>
        <x:v>0</x:v>
      </x:c>
      <x:c r="W219" s="37" t="str">
        <x:v>미정</x:v>
      </x:c>
      <x:c r="X219" s="40"/>
      <x:c r="Y219" s="37" t="str">
        <x:v>AUD-003,IGM-006,NET-010</x:v>
      </x:c>
      <x:c r="Z219" s="37" t="str">
        <x:v>중간</x:v>
      </x:c>
      <x:c r="AA219" s="37" t="str">
        <x:v>보안</x:v>
      </x:c>
      <x:c r="AB219" s="37" t="str">
        <x:v>TC-AUD-006-01, TC-AUD-006-02</x:v>
      </x:c>
      <x:c r="AC219" s="37"/>
      <x:c r="AD219" s="37" t="str">
        <x:v>게임 기획서</x:v>
      </x:c>
      <x:c r="AE219" s="37"/>
      <x:c r="AF219" s="40" t="str">
        <x:v>2026-07-10</x:v>
      </x:c>
      <x:c r="AG219" s="37"/>
      <x:c r="AH219" s="49"/>
      <x:c r="AI219" s="49"/>
      <x:c r="AJ219" s="48" t="str">
        <x:v>착수 전</x:v>
      </x:c>
    </x:row>
    <x:row r="220" ht="42" customHeight="1">
      <x:c r="A220" s="37" t="str">
        <x:v>AUD-007</x:v>
      </x:c>
      <x:c r="B220" s="37" t="str">
        <x:v>오디오·보이스 채팅</x:v>
      </x:c>
      <x:c r="C220" s="37" t="str">
        <x:v>음성 채팅</x:v>
      </x:c>
      <x:c r="D220" s="37" t="str">
        <x:v>페이즈 제한</x:v>
      </x:c>
      <x:c r="E220" s="37" t="str">
        <x:v>페이즈별 채널·발언권 제어</x:v>
      </x:c>
      <x:c r="F220" s="37" t="str">
        <x:v>게임 규칙, 운영 요구사항과 대상 플랫폼 제약을 충족하도록 페이즈별 채널·발언권 제어 기능을 구현하고 검증한다.</x:v>
      </x:c>
      <x:c r="G220" s="37" t="str">
        <x:v>로비, 낮, 밤, 최종 발언, 결과의 채널과 발언권을 상태표로 관리하고 지연 이벤트로 잘못된 채널에 남지 않는다.</x:v>
      </x:c>
      <x:c r="H220" s="37" t="str">
        <x:v>구현, 코드 리뷰, 사양 갱신, 대상 QA 케이스 실행, 로그·텔레메트리 확인과 관련 플랫폼 검증을 완료하고 미해결 P0·P1 결함이 없다.</x:v>
      </x:c>
      <x:c r="I220" s="37" t="str">
        <x:v>MVP</x:v>
      </x:c>
      <x:c r="J220" s="37" t="str">
        <x:v>P0</x:v>
      </x:c>
      <x:c r="K220" s="37" t="str">
        <x:v>필수</x:v>
      </x:c>
      <x:c r="L220" s="37" t="str">
        <x:v>핵심 규칙</x:v>
      </x:c>
      <x:c r="M220" s="37" t="str">
        <x:v>MVP</x:v>
      </x:c>
      <x:c r="N220" s="37" t="str">
        <x:v>오디오·온라인 엔지니어링</x:v>
      </x:c>
      <x:c r="O220" s="37" t="str">
        <x:v>미정</x:v>
      </x:c>
      <x:c r="P220" s="37" t="str">
        <x:v>미정</x:v>
      </x:c>
      <x:c r="Q220" s="37" t="str">
        <x:v>전체</x:v>
      </x:c>
      <x:c r="R220" s="37" t="str">
        <x:v>서버 권한</x:v>
      </x:c>
      <x:c r="S220" s="37" t="str">
        <x:v>세션</x:v>
      </x:c>
      <x:c r="T220" s="37" t="str">
        <x:v>L</x:v>
      </x:c>
      <x:c r="U220" s="37" t="str">
        <x:v>미착수</x:v>
      </x:c>
      <x:c r="V220" s="42" t="n">
        <x:f>IF(U220="완료",1,IF(U220="QA 진행 중",0.8,IF(U220="코드 리뷰",0.65,IF(U220="구현 중",0.4,IF(U220="사양 확인 중",0.1,IF(U220="차단",0.4,0))))))</x:f>
        <x:v>0</x:v>
      </x:c>
      <x:c r="W220" s="37" t="str">
        <x:v>미정</x:v>
      </x:c>
      <x:c r="X220" s="40"/>
      <x:c r="Y220" s="37" t="str">
        <x:v>AUD-003,IGM-001,NET-010</x:v>
      </x:c>
      <x:c r="Z220" s="37" t="str">
        <x:v>중간</x:v>
      </x:c>
      <x:c r="AA220" s="37" t="str">
        <x:v>네트워크</x:v>
      </x:c>
      <x:c r="AB220" s="37" t="str">
        <x:v>TC-AUD-007-01, TC-AUD-007-02</x:v>
      </x:c>
      <x:c r="AC220" s="37"/>
      <x:c r="AD220" s="37" t="str">
        <x:v>게임 기획서</x:v>
      </x:c>
      <x:c r="AE220" s="37"/>
      <x:c r="AF220" s="40" t="str">
        <x:v>2026-07-10</x:v>
      </x:c>
      <x:c r="AG220" s="37"/>
      <x:c r="AH220" s="49"/>
      <x:c r="AI220" s="49"/>
      <x:c r="AJ220" s="48" t="str">
        <x:v>착수 전</x:v>
      </x:c>
    </x:row>
    <x:row r="221" ht="42" customHeight="1">
      <x:c r="A221" s="37" t="str">
        <x:v>AUD-008</x:v>
      </x:c>
      <x:c r="B221" s="37" t="str">
        <x:v>오디오·보이스 채팅</x:v>
      </x:c>
      <x:c r="C221" s="37" t="str">
        <x:v>음성 채팅</x:v>
      </x:c>
      <x:c r="D221" s="37" t="str">
        <x:v>최종 발언</x:v>
      </x:c>
      <x:c r="E221" s="37" t="str">
        <x:v>최종 발언자만 송신 허용</x:v>
      </x:c>
      <x:c r="F221" s="37" t="str">
        <x:v>게임 규칙, 운영 요구사항과 대상 플랫폼 제약을 충족하도록 최종 발언자만 송신 허용 기능을 구현하고 검증한다.</x:v>
      </x:c>
      <x:c r="G221" s="37" t="str">
        <x:v>서버가 지정한 플레이어 1명만 송신하고 다른 플레이어는 수신만 한다. 시간 종료, 연결 끊김, 건너뛰기 시 다음 발언자로 안전하게 전환한다.</x:v>
      </x:c>
      <x:c r="H221" s="37" t="str">
        <x:v>구현, 코드 리뷰, 사양 갱신, 대상 QA 케이스 실행, 로그·텔레메트리 확인과 관련 플랫폼 검증을 완료하고 미해결 P0·P1 결함이 없다.</x:v>
      </x:c>
      <x:c r="I221" s="37" t="str">
        <x:v>MVP</x:v>
      </x:c>
      <x:c r="J221" s="37" t="str">
        <x:v>P0</x:v>
      </x:c>
      <x:c r="K221" s="37" t="str">
        <x:v>필수</x:v>
      </x:c>
      <x:c r="L221" s="37" t="str">
        <x:v>핵심 규칙</x:v>
      </x:c>
      <x:c r="M221" s="37" t="str">
        <x:v>MVP</x:v>
      </x:c>
      <x:c r="N221" s="37" t="str">
        <x:v>오디오·온라인 엔지니어링</x:v>
      </x:c>
      <x:c r="O221" s="37" t="str">
        <x:v>미정</x:v>
      </x:c>
      <x:c r="P221" s="37" t="str">
        <x:v>미정</x:v>
      </x:c>
      <x:c r="Q221" s="37" t="str">
        <x:v>전체</x:v>
      </x:c>
      <x:c r="R221" s="37" t="str">
        <x:v>서버 권한</x:v>
      </x:c>
      <x:c r="S221" s="37" t="str">
        <x:v>매치</x:v>
      </x:c>
      <x:c r="T221" s="37" t="str">
        <x:v>L</x:v>
      </x:c>
      <x:c r="U221" s="37" t="str">
        <x:v>미착수</x:v>
      </x:c>
      <x:c r="V221" s="42" t="n">
        <x:f>IF(U221="완료",1,IF(U221="QA 진행 중",0.8,IF(U221="코드 리뷰",0.65,IF(U221="구현 중",0.4,IF(U221="사양 확인 중",0.1,IF(U221="차단",0.4,0))))))</x:f>
        <x:v>0</x:v>
      </x:c>
      <x:c r="W221" s="37" t="str">
        <x:v>미정</x:v>
      </x:c>
      <x:c r="X221" s="40"/>
      <x:c r="Y221" s="37" t="str">
        <x:v>AUD-007,IGM-030</x:v>
      </x:c>
      <x:c r="Z221" s="37" t="str">
        <x:v>중간</x:v>
      </x:c>
      <x:c r="AA221" s="37" t="str">
        <x:v>보안</x:v>
      </x:c>
      <x:c r="AB221" s="37" t="str">
        <x:v>TC-AUD-008-01, TC-AUD-008-02</x:v>
      </x:c>
      <x:c r="AC221" s="37"/>
      <x:c r="AD221" s="37" t="str">
        <x:v>게임 기획서</x:v>
      </x:c>
      <x:c r="AE221" s="37"/>
      <x:c r="AF221" s="40" t="str">
        <x:v>2026-07-10</x:v>
      </x:c>
      <x:c r="AG221" s="37"/>
      <x:c r="AH221" s="49"/>
      <x:c r="AI221" s="49"/>
      <x:c r="AJ221" s="48" t="str">
        <x:v>착수 전</x:v>
      </x:c>
    </x:row>
    <x:row r="222" ht="42" customHeight="1">
      <x:c r="A222" s="37" t="str">
        <x:v>AUD-009</x:v>
      </x:c>
      <x:c r="B222" s="37" t="str">
        <x:v>오디오·보이스 채팅</x:v>
      </x:c>
      <x:c r="C222" s="37" t="str">
        <x:v>음성 채팅</x:v>
      </x:c>
      <x:c r="D222" s="37" t="str">
        <x:v>공간 방향 표시</x:v>
      </x:c>
      <x:c r="E222" s="37" t="str">
        <x:v>발언자·마이크 상태 표시</x:v>
      </x:c>
      <x:c r="F222" s="37" t="str">
        <x:v>게임 규칙, 운영 요구사항과 대상 플랫폼 제약을 충족하도록 발언자·마이크 상태 표시 기능을 구현하고 검증한다.</x:v>
      </x:c>
      <x:c r="G222" s="37" t="str">
        <x:v>발언 중, 음소거, 연결 불량, 발언 금지를 색상만이 아닌 아이콘과 텍스트로 표시하고 개인 정보 설정을 따른다.</x:v>
      </x:c>
      <x:c r="H222" s="37" t="str">
        <x:v>구현, 코드 리뷰, 사양 갱신, 대상 QA 케이스 실행, 로그·텔레메트리 확인과 관련 플랫폼 검증을 완료하고 미해결 P0·P1 결함이 없다.</x:v>
      </x:c>
      <x:c r="I222" s="37" t="str">
        <x:v>알파</x:v>
      </x:c>
      <x:c r="J222" s="37" t="str">
        <x:v>P1</x:v>
      </x:c>
      <x:c r="K222" s="37" t="str">
        <x:v>필수</x:v>
      </x:c>
      <x:c r="L222" s="37" t="str">
        <x:v>음성 UX</x:v>
      </x:c>
      <x:c r="M222" s="37" t="str">
        <x:v>알파</x:v>
      </x:c>
      <x:c r="N222" s="37" t="str">
        <x:v>오디오·온라인 엔지니어링</x:v>
      </x:c>
      <x:c r="O222" s="37" t="str">
        <x:v>미정</x:v>
      </x:c>
      <x:c r="P222" s="37" t="str">
        <x:v>미정</x:v>
      </x:c>
      <x:c r="Q222" s="37" t="str">
        <x:v>전체</x:v>
      </x:c>
      <x:c r="R222" s="37" t="str">
        <x:v>클라이언트 로컬</x:v>
      </x:c>
      <x:c r="S222" s="37" t="str">
        <x:v>없음</x:v>
      </x:c>
      <x:c r="T222" s="37" t="str">
        <x:v>M</x:v>
      </x:c>
      <x:c r="U222" s="37" t="str">
        <x:v>미착수</x:v>
      </x:c>
      <x:c r="V222" s="42" t="n">
        <x:f>IF(U222="완료",1,IF(U222="QA 진행 중",0.8,IF(U222="코드 리뷰",0.65,IF(U222="구현 중",0.4,IF(U222="사양 확인 중",0.1,IF(U222="차단",0.4,0))))))</x:f>
        <x:v>0</x:v>
      </x:c>
      <x:c r="W222" s="37" t="str">
        <x:v>미정</x:v>
      </x:c>
      <x:c r="X222" s="40"/>
      <x:c r="Y222" s="37" t="str">
        <x:v>AUD-002,UIX-001</x:v>
      </x:c>
      <x:c r="Z222" s="37" t="str">
        <x:v>중간</x:v>
      </x:c>
      <x:c r="AA222" s="37" t="str">
        <x:v>접근성</x:v>
      </x:c>
      <x:c r="AB222" s="37" t="str">
        <x:v>TC-AUD-009-01</x:v>
      </x:c>
      <x:c r="AC222" s="37"/>
      <x:c r="AD222" s="37" t="str">
        <x:v>게임 기획서</x:v>
      </x:c>
      <x:c r="AE222" s="37"/>
      <x:c r="AF222" s="40" t="str">
        <x:v>2026-07-10</x:v>
      </x:c>
      <x:c r="AG222" s="37"/>
      <x:c r="AH222" s="49"/>
      <x:c r="AI222" s="49"/>
      <x:c r="AJ222" s="48" t="str">
        <x:v>착수 전</x:v>
      </x:c>
    </x:row>
    <x:row r="223" ht="42" customHeight="1">
      <x:c r="A223" s="37" t="str">
        <x:v>AUD-010</x:v>
      </x:c>
      <x:c r="B223" s="37" t="str">
        <x:v>오디오·보이스 채팅</x:v>
      </x:c>
      <x:c r="C223" s="37" t="str">
        <x:v>음성 채팅</x:v>
      </x:c>
      <x:c r="D223" s="37" t="str">
        <x:v>PTT·VAD</x:v>
      </x:c>
      <x:c r="E223" s="37" t="str">
        <x:v>PTT·오픈 마이크·VAD</x:v>
      </x:c>
      <x:c r="F223" s="37" t="str">
        <x:v>게임 규칙, 운영 요구사항과 대상 플랫폼 제약을 충족하도록 PTT·오픈 마이크·VAD 기능을 구현하고 검증한다.</x:v>
      </x:c>
      <x:c r="G223" s="37" t="str">
        <x:v>입력 방식 전환, 감도, 노이즈 게이트, 키·버튼 충돌을 처리하고 밤 또는 발언권이 없을 때는 로컬 UI에서도 송신 불가 상태를 표시한다.</x:v>
      </x:c>
      <x:c r="H223" s="37" t="str">
        <x:v>구현, 코드 리뷰, 사양 갱신, 대상 QA 케이스 실행, 로그·텔레메트리 확인과 관련 플랫폼 검증을 완료하고 미해결 P0·P1 결함이 없다.</x:v>
      </x:c>
      <x:c r="I223" s="37" t="str">
        <x:v>알파</x:v>
      </x:c>
      <x:c r="J223" s="37" t="str">
        <x:v>P1</x:v>
      </x:c>
      <x:c r="K223" s="37" t="str">
        <x:v>필수</x:v>
      </x:c>
      <x:c r="L223" s="37" t="str">
        <x:v>음성</x:v>
      </x:c>
      <x:c r="M223" s="37" t="str">
        <x:v>알파</x:v>
      </x:c>
      <x:c r="N223" s="37" t="str">
        <x:v>오디오·온라인 엔지니어링</x:v>
      </x:c>
      <x:c r="O223" s="37" t="str">
        <x:v>미정</x:v>
      </x:c>
      <x:c r="P223" s="37" t="str">
        <x:v>미정</x:v>
      </x:c>
      <x:c r="Q223" s="37" t="str">
        <x:v>전체</x:v>
      </x:c>
      <x:c r="R223" s="37" t="str">
        <x:v>클라이언트 로컬</x:v>
      </x:c>
      <x:c r="S223" s="37" t="str">
        <x:v>단말 로컬</x:v>
      </x:c>
      <x:c r="T223" s="37" t="str">
        <x:v>L</x:v>
      </x:c>
      <x:c r="U223" s="37" t="str">
        <x:v>미착수</x:v>
      </x:c>
      <x:c r="V223" s="42" t="n">
        <x:f>IF(U223="완료",1,IF(U223="QA 진행 중",0.8,IF(U223="코드 리뷰",0.65,IF(U223="구현 중",0.4,IF(U223="사양 확인 중",0.1,IF(U223="차단",0.4,0))))))</x:f>
        <x:v>0</x:v>
      </x:c>
      <x:c r="W223" s="37" t="str">
        <x:v>미정</x:v>
      </x:c>
      <x:c r="X223" s="40"/>
      <x:c r="Y223" s="37" t="str">
        <x:v>AUD-002,SET-006,SET-008</x:v>
      </x:c>
      <x:c r="Z223" s="37" t="str">
        <x:v>중간</x:v>
      </x:c>
      <x:c r="AA223" s="37" t="str">
        <x:v>호환성</x:v>
      </x:c>
      <x:c r="AB223" s="37" t="str">
        <x:v>TC-AUD-010-01</x:v>
      </x:c>
      <x:c r="AC223" s="37"/>
      <x:c r="AD223" s="37" t="str">
        <x:v>게임 기획서</x:v>
      </x:c>
      <x:c r="AE223" s="37"/>
      <x:c r="AF223" s="40" t="str">
        <x:v>2026-07-10</x:v>
      </x:c>
      <x:c r="AG223" s="37"/>
      <x:c r="AH223" s="49"/>
      <x:c r="AI223" s="49"/>
      <x:c r="AJ223" s="48" t="str">
        <x:v>착수 전</x:v>
      </x:c>
    </x:row>
    <x:row r="224" ht="42" customHeight="1">
      <x:c r="A224" s="37" t="str">
        <x:v>AUD-011</x:v>
      </x:c>
      <x:c r="B224" s="37" t="str">
        <x:v>오디오·보이스 채팅</x:v>
      </x:c>
      <x:c r="C224" s="37" t="str">
        <x:v>안전</x:v>
      </x:c>
      <x:c r="D224" s="37" t="str">
        <x:v>음소거·신고</x:v>
      </x:c>
      <x:c r="E224" s="37" t="str">
        <x:v>개별 음소거·신고 경로</x:v>
      </x:c>
      <x:c r="F224" s="37" t="str">
        <x:v>게임 규칙, 운영 요구사항과 대상 플랫폼 제약을 충족하도록 개별 음소거·신고 경로 기능을 구현하고 검증한다.</x:v>
      </x:c>
      <x:c r="G224" s="37" t="str">
        <x:v>로비, 매치, 결과 화면에서 대상을 음소거·신고할 수 있고 음소거는 즉시 적용·기기 저장하며 신고에는 매치 ID와 대상 ID를 포함한다.</x:v>
      </x:c>
      <x:c r="H224" s="37" t="str">
        <x:v>구현, 코드 리뷰, 사양 갱신, 대상 QA 케이스 실행, 로그·텔레메트리 확인과 관련 플랫폼 검증을 완료하고 미해결 P0·P1 결함이 없다.</x:v>
      </x:c>
      <x:c r="I224" s="37" t="str">
        <x:v>베타</x:v>
      </x:c>
      <x:c r="J224" s="37" t="str">
        <x:v>P0</x:v>
      </x:c>
      <x:c r="K224" s="37" t="str">
        <x:v>필수</x:v>
      </x:c>
      <x:c r="L224" s="37" t="str">
        <x:v>안전</x:v>
      </x:c>
      <x:c r="M224" s="37" t="str">
        <x:v>베타</x:v>
      </x:c>
      <x:c r="N224" s="37" t="str">
        <x:v>오디오·온라인 엔지니어링</x:v>
      </x:c>
      <x:c r="O224" s="37" t="str">
        <x:v>미정</x:v>
      </x:c>
      <x:c r="P224" s="37" t="str">
        <x:v>미정</x:v>
      </x:c>
      <x:c r="Q224" s="37" t="str">
        <x:v>전체</x:v>
      </x:c>
      <x:c r="R224" s="37" t="str">
        <x:v>클라이언트 로컬</x:v>
      </x:c>
      <x:c r="S224" s="37" t="str">
        <x:v>계정</x:v>
      </x:c>
      <x:c r="T224" s="37" t="str">
        <x:v>L</x:v>
      </x:c>
      <x:c r="U224" s="37" t="str">
        <x:v>미착수</x:v>
      </x:c>
      <x:c r="V224" s="42" t="n">
        <x:f>IF(U224="완료",1,IF(U224="QA 진행 중",0.8,IF(U224="코드 리뷰",0.65,IF(U224="구현 중",0.4,IF(U224="사양 확인 중",0.1,IF(U224="차단",0.4,0))))))</x:f>
        <x:v>0</x:v>
      </x:c>
      <x:c r="W224" s="37" t="str">
        <x:v>미정</x:v>
      </x:c>
      <x:c r="X224" s="40"/>
      <x:c r="Y224" s="37" t="str">
        <x:v>AUD-002,BED-009</x:v>
      </x:c>
      <x:c r="Z224" s="37" t="str">
        <x:v>중간</x:v>
      </x:c>
      <x:c r="AA224" s="37" t="str">
        <x:v>운영</x:v>
      </x:c>
      <x:c r="AB224" s="37" t="str">
        <x:v>TC-AUD-011-01, TC-AUD-011-02</x:v>
      </x:c>
      <x:c r="AC224" s="37"/>
      <x:c r="AD224" s="37" t="str">
        <x:v>게임 기획서</x:v>
      </x:c>
      <x:c r="AE224" s="37"/>
      <x:c r="AF224" s="40" t="str">
        <x:v>2026-07-10</x:v>
      </x:c>
      <x:c r="AG224" s="37"/>
      <x:c r="AH224" s="49"/>
      <x:c r="AI224" s="49"/>
      <x:c r="AJ224" s="48" t="str">
        <x:v>착수 전</x:v>
      </x:c>
    </x:row>
    <x:row r="225" ht="42" customHeight="1">
      <x:c r="A225" s="37" t="str">
        <x:v>AUD-012</x:v>
      </x:c>
      <x:c r="B225" s="37" t="str">
        <x:v>오디오·보이스 채팅</x:v>
      </x:c>
      <x:c r="C225" s="37" t="str">
        <x:v>개인정보</x:v>
      </x:c>
      <x:c r="D225" s="37" t="str">
        <x:v>동의·증빙</x:v>
      </x:c>
      <x:c r="E225" s="37" t="str">
        <x:v>음성 동의·녹음·신고 증거 표시</x:v>
      </x:c>
      <x:c r="F225" s="37" t="str">
        <x:v>게임 규칙, 운영 요구사항과 대상 플랫폼 제약을 충족하도록 음성 동의·녹음·신고 증거 표시 기능을 구현하고 검증한다.</x:v>
      </x:c>
      <x:c r="G225" s="37" t="str">
        <x:v>최초 동의, 녹음 정책, 신고 시 처리, 지역 차이를 안내하고 동의하지 않으면 음성 송수신을 시작하지 않는다.</x:v>
      </x:c>
      <x:c r="H225" s="37" t="str">
        <x:v>구현, 코드 리뷰, 사양 갱신, 대상 QA 케이스 실행, 로그·텔레메트리 확인과 관련 플랫폼 검증을 완료하고 미해결 P0·P1 결함이 없다.</x:v>
      </x:c>
      <x:c r="I225" s="37" t="str">
        <x:v>출시</x:v>
      </x:c>
      <x:c r="J225" s="37" t="str">
        <x:v>P0</x:v>
      </x:c>
      <x:c r="K225" s="37" t="str">
        <x:v>필수</x:v>
      </x:c>
      <x:c r="L225" s="37" t="str">
        <x:v>개인정보</x:v>
      </x:c>
      <x:c r="M225" s="37" t="str">
        <x:v>출시</x:v>
      </x:c>
      <x:c r="N225" s="37" t="str">
        <x:v>오디오·온라인 엔지니어링</x:v>
      </x:c>
      <x:c r="O225" s="37" t="str">
        <x:v>미정</x:v>
      </x:c>
      <x:c r="P225" s="37" t="str">
        <x:v>미정</x:v>
      </x:c>
      <x:c r="Q225" s="37" t="str">
        <x:v>전체</x:v>
      </x:c>
      <x:c r="R225" s="37" t="str">
        <x:v>백엔드 권한</x:v>
      </x:c>
      <x:c r="S225" s="37" t="str">
        <x:v>감사 로그</x:v>
      </x:c>
      <x:c r="T225" s="37" t="str">
        <x:v>L</x:v>
      </x:c>
      <x:c r="U225" s="37" t="str">
        <x:v>미착수</x:v>
      </x:c>
      <x:c r="V225" s="42" t="n">
        <x:f>IF(U225="완료",1,IF(U225="QA 진행 중",0.8,IF(U225="코드 리뷰",0.65,IF(U225="구현 중",0.4,IF(U225="사양 확인 중",0.1,IF(U225="차단",0.4,0))))))</x:f>
        <x:v>0</x:v>
      </x:c>
      <x:c r="W225" s="37" t="str">
        <x:v>미정</x:v>
      </x:c>
      <x:c r="X225" s="40"/>
      <x:c r="Y225" s="37" t="str">
        <x:v>AUD-002,BED-011,BED-012</x:v>
      </x:c>
      <x:c r="Z225" s="37" t="str">
        <x:v>중간</x:v>
      </x:c>
      <x:c r="AA225" s="37" t="str">
        <x:v>운영</x:v>
      </x:c>
      <x:c r="AB225" s="37" t="str">
        <x:v>TC-AUD-012-01, TC-AUD-012-02</x:v>
      </x:c>
      <x:c r="AC225" s="37"/>
      <x:c r="AD225" s="37" t="str">
        <x:v>게임 기획서</x:v>
      </x:c>
      <x:c r="AE225" s="37"/>
      <x:c r="AF225" s="40" t="str">
        <x:v>2026-07-10</x:v>
      </x:c>
      <x:c r="AG225" s="37"/>
      <x:c r="AH225" s="49"/>
      <x:c r="AI225" s="49"/>
      <x:c r="AJ225" s="48" t="str">
        <x:v>착수 전</x:v>
      </x:c>
    </x:row>
    <x:row r="226" ht="42" customHeight="1">
      <x:c r="A226" s="37" t="str">
        <x:v>AUD-013</x:v>
      </x:c>
      <x:c r="B226" s="37" t="str">
        <x:v>오디오·보이스 채팅</x:v>
      </x:c>
      <x:c r="C226" s="37" t="str">
        <x:v>음성 채팅</x:v>
      </x:c>
      <x:c r="D226" s="37" t="str">
        <x:v>품질</x:v>
      </x:c>
      <x:c r="E226" s="37" t="str">
        <x:v>패킷 손실·지터·대역폭 음성 적응</x:v>
      </x:c>
      <x:c r="F226" s="37" t="str">
        <x:v>게임 규칙, 운영 요구사항과 대상 플랫폼 제약을 충족하도록 패킷 손실·지터·대역폭 음성 적응 기능을 구현하고 검증한다.</x:v>
      </x:c>
      <x:c r="G226" s="37" t="str">
        <x:v>네트워크 열화 시 음질을 단계적으로 조절하고 게임 동기화 대역폭을 압박하지 않으며 품질 저하 상태는 본인에게만 적절히 표시한다.</x:v>
      </x:c>
      <x:c r="H226" s="37" t="str">
        <x:v>구현, 코드 리뷰, 사양 갱신, 대상 QA 케이스 실행, 로그·텔레메트리 확인과 관련 플랫폼 검증을 완료하고 미해결 P0·P1 결함이 없다.</x:v>
      </x:c>
      <x:c r="I226" s="37" t="str">
        <x:v>알파</x:v>
      </x:c>
      <x:c r="J226" s="37" t="str">
        <x:v>P0</x:v>
      </x:c>
      <x:c r="K226" s="37" t="str">
        <x:v>필수</x:v>
      </x:c>
      <x:c r="L226" s="37" t="str">
        <x:v>성능</x:v>
      </x:c>
      <x:c r="M226" s="37" t="str">
        <x:v>알파</x:v>
      </x:c>
      <x:c r="N226" s="37" t="str">
        <x:v>오디오·온라인 엔지니어링</x:v>
      </x:c>
      <x:c r="O226" s="37" t="str">
        <x:v>미정</x:v>
      </x:c>
      <x:c r="P226" s="37" t="str">
        <x:v>미정</x:v>
      </x:c>
      <x:c r="Q226" s="37" t="str">
        <x:v>전체</x:v>
      </x:c>
      <x:c r="R226" s="37" t="str">
        <x:v>클라이언트 로컬</x:v>
      </x:c>
      <x:c r="S226" s="37" t="str">
        <x:v>없음</x:v>
      </x:c>
      <x:c r="T226" s="37" t="str">
        <x:v>L</x:v>
      </x:c>
      <x:c r="U226" s="37" t="str">
        <x:v>미착수</x:v>
      </x:c>
      <x:c r="V226" s="42" t="n">
        <x:f>IF(U226="완료",1,IF(U226="QA 진행 중",0.8,IF(U226="코드 리뷰",0.65,IF(U226="구현 중",0.4,IF(U226="사양 확인 중",0.1,IF(U226="차단",0.4,0))))))</x:f>
        <x:v>0</x:v>
      </x:c>
      <x:c r="W226" s="37" t="str">
        <x:v>미정</x:v>
      </x:c>
      <x:c r="X226" s="40"/>
      <x:c r="Y226" s="37" t="str">
        <x:v>NET-022,NET-023</x:v>
      </x:c>
      <x:c r="Z226" s="37" t="str">
        <x:v>중간</x:v>
      </x:c>
      <x:c r="AA226" s="37" t="str">
        <x:v>네트워크</x:v>
      </x:c>
      <x:c r="AB226" s="37" t="str">
        <x:v>TC-AUD-013-01, TC-AUD-013-02</x:v>
      </x:c>
      <x:c r="AC226" s="37"/>
      <x:c r="AD226" s="37" t="str">
        <x:v>게임 기획서</x:v>
      </x:c>
      <x:c r="AE226" s="37"/>
      <x:c r="AF226" s="40" t="str">
        <x:v>2026-07-10</x:v>
      </x:c>
      <x:c r="AG226" s="37"/>
      <x:c r="AH226" s="49"/>
      <x:c r="AI226" s="49"/>
      <x:c r="AJ226" s="48" t="str">
        <x:v>착수 전</x:v>
      </x:c>
    </x:row>
    <x:row r="227" ht="42" customHeight="1">
      <x:c r="A227" s="37" t="str">
        <x:v>AUD-014</x:v>
      </x:c>
      <x:c r="B227" s="37" t="str">
        <x:v>오디오·보이스 채팅</x:v>
      </x:c>
      <x:c r="C227" s="37" t="str">
        <x:v>접근성</x:v>
      </x:c>
      <x:c r="D227" s="37" t="str">
        <x:v>저자극</x:v>
      </x:c>
      <x:c r="E227" s="37" t="str">
        <x:v>저자극 오디오·중요 알림 대체</x:v>
      </x:c>
      <x:c r="F227" s="37" t="str">
        <x:v>게임 규칙, 운영 요구사항과 대상 플랫폼 제약을 충족하도록 저자극 오디오·중요 알림 대체 기능을 구현하고 검증한다.</x:v>
      </x:c>
      <x:c r="G227" s="37" t="str">
        <x:v>갑작스러운 큰 소리, 과도한 저음, 반복 경고를 줄이는 설정을 제공하고 중요한 페이즈 알림은 시각 정보와 자막으로도 전달한다.</x:v>
      </x:c>
      <x:c r="H227" s="37" t="str">
        <x:v>구현, 코드 리뷰, 사양 갱신, 대상 QA 케이스 실행, 로그·텔레메트리 확인과 관련 플랫폼 검증을 완료하고 미해결 P0·P1 결함이 없다.</x:v>
      </x:c>
      <x:c r="I227" s="37" t="str">
        <x:v>베타</x:v>
      </x:c>
      <x:c r="J227" s="37" t="str">
        <x:v>P1</x:v>
      </x:c>
      <x:c r="K227" s="37" t="str">
        <x:v>필수</x:v>
      </x:c>
      <x:c r="L227" s="37" t="str">
        <x:v>접근성</x:v>
      </x:c>
      <x:c r="M227" s="37" t="str">
        <x:v>베타</x:v>
      </x:c>
      <x:c r="N227" s="37" t="str">
        <x:v>오디오·온라인 엔지니어링</x:v>
      </x:c>
      <x:c r="O227" s="37" t="str">
        <x:v>미정</x:v>
      </x:c>
      <x:c r="P227" s="37" t="str">
        <x:v>미정</x:v>
      </x:c>
      <x:c r="Q227" s="37" t="str">
        <x:v>전체</x:v>
      </x:c>
      <x:c r="R227" s="37" t="str">
        <x:v>클라이언트 로컬</x:v>
      </x:c>
      <x:c r="S227" s="37" t="str">
        <x:v>단말 로컬</x:v>
      </x:c>
      <x:c r="T227" s="37" t="str">
        <x:v>M</x:v>
      </x:c>
      <x:c r="U227" s="37" t="str">
        <x:v>미착수</x:v>
      </x:c>
      <x:c r="V227" s="42" t="n">
        <x:f>IF(U227="완료",1,IF(U227="QA 진행 중",0.8,IF(U227="코드 리뷰",0.65,IF(U227="구현 중",0.4,IF(U227="사양 확인 중",0.1,IF(U227="차단",0.4,0))))))</x:f>
        <x:v>0</x:v>
      </x:c>
      <x:c r="W227" s="37" t="str">
        <x:v>미정</x:v>
      </x:c>
      <x:c r="X227" s="40"/>
      <x:c r="Y227" s="37" t="str">
        <x:v>AUD-001,SET-025</x:v>
      </x:c>
      <x:c r="Z227" s="37" t="str">
        <x:v>중간</x:v>
      </x:c>
      <x:c r="AA227" s="37" t="str">
        <x:v>접근성</x:v>
      </x:c>
      <x:c r="AB227" s="37" t="str">
        <x:v>TC-AUD-014-01</x:v>
      </x:c>
      <x:c r="AC227" s="37"/>
      <x:c r="AD227" s="37" t="str">
        <x:v>게임 기획서</x:v>
      </x:c>
      <x:c r="AE227" s="37"/>
      <x:c r="AF227" s="40" t="str">
        <x:v>2026-07-10</x:v>
      </x:c>
      <x:c r="AG227" s="37"/>
      <x:c r="AH227" s="49"/>
      <x:c r="AI227" s="49"/>
      <x:c r="AJ227" s="48" t="str">
        <x:v>착수 전</x:v>
      </x:c>
    </x:row>
    <x:row r="228" ht="42" customHeight="1">
      <x:c r="A228" s="37" t="str">
        <x:v>AUD-015</x:v>
      </x:c>
      <x:c r="B228" s="37" t="str">
        <x:v>오디오·보이스 채팅</x:v>
      </x:c>
      <x:c r="C228" s="37" t="str">
        <x:v>접근성</x:v>
      </x:c>
      <x:c r="D228" s="37" t="str">
        <x:v>효과음 자막</x:v>
      </x:c>
      <x:c r="E228" s="37" t="str">
        <x:v>시스템 소리·방향·중요도 자막</x:v>
      </x:c>
      <x:c r="F228" s="37" t="str">
        <x:v>게임 규칙, 운영 요구사항과 대상 플랫폼 제약을 충족하도록 시스템 소리·방향·중요도 자막 기능을 구현하고 검증한다.</x:v>
      </x:c>
      <x:c r="G228" s="37" t="str">
        <x:v>메모 부착, 투표 시작, 페이즈 변경, 미니게임 성공 등을 짧은 자막과 방향 정보로 표시하고 대화 자동 자막 기능과 분리한다.</x:v>
      </x:c>
      <x:c r="H228" s="37" t="str">
        <x:v>구현, 코드 리뷰, 사양 갱신, 대상 QA 케이스 실행, 로그·텔레메트리 확인과 관련 플랫폼 검증을 완료하고 미해결 P0·P1 결함이 없다.</x:v>
      </x:c>
      <x:c r="I228" s="37" t="str">
        <x:v>베타</x:v>
      </x:c>
      <x:c r="J228" s="37" t="str">
        <x:v>P0</x:v>
      </x:c>
      <x:c r="K228" s="37" t="str">
        <x:v>필수</x:v>
      </x:c>
      <x:c r="L228" s="37" t="str">
        <x:v>접근성</x:v>
      </x:c>
      <x:c r="M228" s="37" t="str">
        <x:v>베타</x:v>
      </x:c>
      <x:c r="N228" s="37" t="str">
        <x:v>오디오·온라인 엔지니어링</x:v>
      </x:c>
      <x:c r="O228" s="37" t="str">
        <x:v>미정</x:v>
      </x:c>
      <x:c r="P228" s="37" t="str">
        <x:v>미정</x:v>
      </x:c>
      <x:c r="Q228" s="37" t="str">
        <x:v>전체</x:v>
      </x:c>
      <x:c r="R228" s="37" t="str">
        <x:v>클라이언트 로컬</x:v>
      </x:c>
      <x:c r="S228" s="37" t="str">
        <x:v>단말 로컬</x:v>
      </x:c>
      <x:c r="T228" s="37" t="str">
        <x:v>L</x:v>
      </x:c>
      <x:c r="U228" s="37" t="str">
        <x:v>미착수</x:v>
      </x:c>
      <x:c r="V228" s="42" t="n">
        <x:f>IF(U228="완료",1,IF(U228="QA 진행 중",0.8,IF(U228="코드 리뷰",0.65,IF(U228="구현 중",0.4,IF(U228="사양 확인 중",0.1,IF(U228="차단",0.4,0))))))</x:f>
        <x:v>0</x:v>
      </x:c>
      <x:c r="W228" s="37" t="str">
        <x:v>미정</x:v>
      </x:c>
      <x:c r="X228" s="40"/>
      <x:c r="Y228" s="37" t="str">
        <x:v>AUD-016,SET-023</x:v>
      </x:c>
      <x:c r="Z228" s="37" t="str">
        <x:v>중간</x:v>
      </x:c>
      <x:c r="AA228" s="37" t="str">
        <x:v>접근성</x:v>
      </x:c>
      <x:c r="AB228" s="37" t="str">
        <x:v>TC-AUD-015-01, TC-AUD-015-02</x:v>
      </x:c>
      <x:c r="AC228" s="37"/>
      <x:c r="AD228" s="37" t="str">
        <x:v>게임 기획서</x:v>
      </x:c>
      <x:c r="AE228" s="37"/>
      <x:c r="AF228" s="40" t="str">
        <x:v>2026-07-10</x:v>
      </x:c>
      <x:c r="AG228" s="37"/>
      <x:c r="AH228" s="49"/>
      <x:c r="AI228" s="49"/>
      <x:c r="AJ228" s="48" t="str">
        <x:v>착수 전</x:v>
      </x:c>
    </x:row>
    <x:row r="229" ht="42" customHeight="1">
      <x:c r="A229" s="37" t="str">
        <x:v>AUD-016</x:v>
      </x:c>
      <x:c r="B229" s="37" t="str">
        <x:v>오디오·보이스 채팅</x:v>
      </x:c>
      <x:c r="C229" s="37" t="str">
        <x:v>오디오 콘텐츠</x:v>
      </x:c>
      <x:c r="D229" s="37" t="str">
        <x:v>이벤트 카탈로그</x:v>
      </x:c>
      <x:c r="E229" s="37" t="str">
        <x:v>오디오 이벤트 ID·우선순위·자막 키 대장</x:v>
      </x:c>
      <x:c r="F229" s="37" t="str">
        <x:v>게임 규칙, 운영 요구사항과 대상 플랫폼 제약을 충족하도록 오디오 이벤트 ID·우선순위·자막 키 대장 기능을 구현하고 검증한다.</x:v>
      </x:c>
      <x:c r="G229" s="37" t="str">
        <x:v>모든 효과음, BGM, UI 이벤트에 고유 ID, 발생 조건, 버스, 우선순위, 최대 동시 재생 수, 자막 키, 반복 여부, 담당자를 정의한다.</x:v>
      </x:c>
      <x:c r="H229" s="37" t="str">
        <x:v>구현, 코드 리뷰, 사양 갱신, 대상 QA 케이스 실행, 로그·텔레메트리 확인과 관련 플랫폼 검증을 완료하고 미해결 P0·P1 결함이 없다.</x:v>
      </x:c>
      <x:c r="I229" s="37" t="str">
        <x:v>MVP</x:v>
      </x:c>
      <x:c r="J229" s="37" t="str">
        <x:v>P0</x:v>
      </x:c>
      <x:c r="K229" s="37" t="str">
        <x:v>필수</x:v>
      </x:c>
      <x:c r="L229" s="37" t="str">
        <x:v>제작 기반</x:v>
      </x:c>
      <x:c r="M229" s="37" t="str">
        <x:v>MVP</x:v>
      </x:c>
      <x:c r="N229" s="37" t="str">
        <x:v>오디오·온라인 엔지니어링</x:v>
      </x:c>
      <x:c r="O229" s="37" t="str">
        <x:v>미정</x:v>
      </x:c>
      <x:c r="P229" s="37" t="str">
        <x:v>미정</x:v>
      </x:c>
      <x:c r="Q229" s="37" t="str">
        <x:v>도구</x:v>
      </x:c>
      <x:c r="R229" s="37" t="str">
        <x:v>콘텐츠 데이터</x:v>
      </x:c>
      <x:c r="S229" s="37" t="str">
        <x:v>없음</x:v>
      </x:c>
      <x:c r="T229" s="37" t="str">
        <x:v>M</x:v>
      </x:c>
      <x:c r="U229" s="37" t="str">
        <x:v>미착수</x:v>
      </x:c>
      <x:c r="V229" s="42" t="n">
        <x:f>IF(U229="완료",1,IF(U229="QA 진행 중",0.8,IF(U229="코드 리뷰",0.65,IF(U229="구현 중",0.4,IF(U229="사양 확인 중",0.1,IF(U229="차단",0.4,0))))))</x:f>
        <x:v>0</x:v>
      </x:c>
      <x:c r="W229" s="37" t="str">
        <x:v>미정</x:v>
      </x:c>
      <x:c r="X229" s="40"/>
      <x:c r="Y229" s="37" t="str">
        <x:v>AUD-001</x:v>
      </x:c>
      <x:c r="Z229" s="37" t="str">
        <x:v>중간</x:v>
      </x:c>
      <x:c r="AA229" s="37" t="str">
        <x:v>운영</x:v>
      </x:c>
      <x:c r="AB229" s="37" t="str">
        <x:v>TC-AUD-016-01, TC-AUD-016-02</x:v>
      </x:c>
      <x:c r="AC229" s="37"/>
      <x:c r="AD229" s="37" t="str">
        <x:v>게임 기획서</x:v>
      </x:c>
      <x:c r="AE229" s="37"/>
      <x:c r="AF229" s="40" t="str">
        <x:v>2026-07-10</x:v>
      </x:c>
      <x:c r="AG229" s="37"/>
      <x:c r="AH229" s="49"/>
      <x:c r="AI229" s="49"/>
      <x:c r="AJ229" s="48" t="str">
        <x:v>착수 전</x:v>
      </x:c>
    </x:row>
    <x:row r="230" ht="42" customHeight="1">
      <x:c r="A230" s="37" t="str">
        <x:v>AUD-017</x:v>
      </x:c>
      <x:c r="B230" s="37" t="str">
        <x:v>오디오·보이스 채팅</x:v>
      </x:c>
      <x:c r="C230" s="37" t="str">
        <x:v>오디오 콘텐츠</x:v>
      </x:c>
      <x:c r="D230" s="37" t="str">
        <x:v>메모 신호</x:v>
      </x:c>
      <x:c r="E230" s="37" t="str">
        <x:v>메모 작성·부착·실패 효과음</x:v>
      </x:c>
      <x:c r="F230" s="37" t="str">
        <x:v>게임 규칙, 운영 요구사항과 대상 플랫폼 제약을 충족하도록 메모 작성·부착·실패 효과음 기능을 구현하고 검증한다.</x:v>
      </x:c>
      <x:c r="G230" s="37" t="str">
        <x:v>주변 플레이어가 부착 행동을 인지할 수 있지만 원거리에서 색상, 내용, 성공 여부를 확정할 정도의 과도한 소리를 사용하지 않는다. 본인 보유 수 갱신은 별도 UI음으로 구분한다.</x:v>
      </x:c>
      <x:c r="H230" s="37" t="str">
        <x:v>구현, 코드 리뷰, 사양 갱신, 대상 QA 케이스 실행, 로그·텔레메트리 확인과 관련 플랫폼 검증을 완료하고 미해결 P0·P1 결함이 없다.</x:v>
      </x:c>
      <x:c r="I230" s="37" t="str">
        <x:v>MVP</x:v>
      </x:c>
      <x:c r="J230" s="37" t="str">
        <x:v>P1</x:v>
      </x:c>
      <x:c r="K230" s="37" t="str">
        <x:v>필수</x:v>
      </x:c>
      <x:c r="L230" s="37" t="str">
        <x:v>밸런스</x:v>
      </x:c>
      <x:c r="M230" s="37" t="str">
        <x:v>MVP</x:v>
      </x:c>
      <x:c r="N230" s="37" t="str">
        <x:v>오디오·온라인 엔지니어링</x:v>
      </x:c>
      <x:c r="O230" s="37" t="str">
        <x:v>미정</x:v>
      </x:c>
      <x:c r="P230" s="37" t="str">
        <x:v>미정</x:v>
      </x:c>
      <x:c r="Q230" s="37" t="str">
        <x:v>전체</x:v>
      </x:c>
      <x:c r="R230" s="37" t="str">
        <x:v>클라이언트 로컬</x:v>
      </x:c>
      <x:c r="S230" s="37" t="str">
        <x:v>없음</x:v>
      </x:c>
      <x:c r="T230" s="37" t="str">
        <x:v>M</x:v>
      </x:c>
      <x:c r="U230" s="37" t="str">
        <x:v>미착수</x:v>
      </x:c>
      <x:c r="V230" s="42" t="n">
        <x:f>IF(U230="완료",1,IF(U230="QA 진행 중",0.8,IF(U230="코드 리뷰",0.65,IF(U230="구현 중",0.4,IF(U230="사양 확인 중",0.1,IF(U230="차단",0.4,0))))))</x:f>
        <x:v>0</x:v>
      </x:c>
      <x:c r="W230" s="37" t="str">
        <x:v>미정</x:v>
      </x:c>
      <x:c r="X230" s="40"/>
      <x:c r="Y230" s="37" t="str">
        <x:v>AUD-016,IGM-017,IGM-018</x:v>
      </x:c>
      <x:c r="Z230" s="37" t="str">
        <x:v>중간</x:v>
      </x:c>
      <x:c r="AA230" s="37" t="str">
        <x:v>밸런스</x:v>
      </x:c>
      <x:c r="AB230" s="37" t="str">
        <x:v>TC-AUD-017-01</x:v>
      </x:c>
      <x:c r="AC230" s="37"/>
      <x:c r="AD230" s="37" t="str">
        <x:v>게임 기획서</x:v>
      </x:c>
      <x:c r="AE230" s="37"/>
      <x:c r="AF230" s="40" t="str">
        <x:v>2026-07-10</x:v>
      </x:c>
      <x:c r="AG230" s="37"/>
      <x:c r="AH230" s="49"/>
      <x:c r="AI230" s="49"/>
      <x:c r="AJ230" s="48" t="str">
        <x:v>착수 전</x:v>
      </x:c>
    </x:row>
    <x:row r="231" ht="42" customHeight="1">
      <x:c r="A231" s="37" t="str">
        <x:v>AUD-018</x:v>
      </x:c>
      <x:c r="B231" s="37" t="str">
        <x:v>오디오·보이스 채팅</x:v>
      </x:c>
      <x:c r="C231" s="37" t="str">
        <x:v>오디오 콘텐츠</x:v>
      </x:c>
      <x:c r="D231" s="37" t="str">
        <x:v>미니게임 신호</x:v>
      </x:c>
      <x:c r="E231" s="37" t="str">
        <x:v>미니게임 공통·개별 효과음</x:v>
      </x:c>
      <x:c r="F231" s="37" t="str">
        <x:v>게임 규칙, 운영 요구사항과 대상 플랫폼 제약을 충족하도록 미니게임 공통·개별 효과음 기능을 구현하고 검증한다.</x:v>
      </x:c>
      <x:c r="G231" s="37" t="str">
        <x:v>시작, 입력, 정답, 오답, 성공, 실패에 즉각적인 피드백을 제공하되 음성 대화를 과도하게 가리지 않는 음량과 주파수 대역을 사용한다.</x:v>
      </x:c>
      <x:c r="H231" s="37" t="str">
        <x:v>구현, 코드 리뷰, 사양 갱신, 대상 QA 케이스 실행, 로그·텔레메트리 확인과 관련 플랫폼 검증을 완료하고 미해결 P0·P1 결함이 없다.</x:v>
      </x:c>
      <x:c r="I231" s="37" t="str">
        <x:v>MVP</x:v>
      </x:c>
      <x:c r="J231" s="37" t="str">
        <x:v>P1</x:v>
      </x:c>
      <x:c r="K231" s="37" t="str">
        <x:v>필수</x:v>
      </x:c>
      <x:c r="L231" s="37" t="str">
        <x:v>콘텐츠</x:v>
      </x:c>
      <x:c r="M231" s="37" t="str">
        <x:v>MVP</x:v>
      </x:c>
      <x:c r="N231" s="37" t="str">
        <x:v>오디오·온라인 엔지니어링</x:v>
      </x:c>
      <x:c r="O231" s="37" t="str">
        <x:v>미정</x:v>
      </x:c>
      <x:c r="P231" s="37" t="str">
        <x:v>미정</x:v>
      </x:c>
      <x:c r="Q231" s="37" t="str">
        <x:v>전체</x:v>
      </x:c>
      <x:c r="R231" s="37" t="str">
        <x:v>클라이언트 로컬</x:v>
      </x:c>
      <x:c r="S231" s="37" t="str">
        <x:v>없음</x:v>
      </x:c>
      <x:c r="T231" s="37" t="str">
        <x:v>L</x:v>
      </x:c>
      <x:c r="U231" s="37" t="str">
        <x:v>미착수</x:v>
      </x:c>
      <x:c r="V231" s="42" t="n">
        <x:f>IF(U231="완료",1,IF(U231="QA 진행 중",0.8,IF(U231="코드 리뷰",0.65,IF(U231="구현 중",0.4,IF(U231="사양 확인 중",0.1,IF(U231="차단",0.4,0))))))</x:f>
        <x:v>0</x:v>
      </x:c>
      <x:c r="W231" s="37" t="str">
        <x:v>미정</x:v>
      </x:c>
      <x:c r="X231" s="40"/>
      <x:c r="Y231" s="37" t="str">
        <x:v>AUD-016,CNT-020</x:v>
      </x:c>
      <x:c r="Z231" s="37" t="str">
        <x:v>중간</x:v>
      </x:c>
      <x:c r="AA231" s="37" t="str">
        <x:v>사용성</x:v>
      </x:c>
      <x:c r="AB231" s="37" t="str">
        <x:v>TC-AUD-018-01</x:v>
      </x:c>
      <x:c r="AC231" s="37"/>
      <x:c r="AD231" s="37" t="str">
        <x:v>게임 기획서</x:v>
      </x:c>
      <x:c r="AE231" s="37"/>
      <x:c r="AF231" s="40" t="str">
        <x:v>2026-07-10</x:v>
      </x:c>
      <x:c r="AG231" s="37"/>
      <x:c r="AH231" s="49"/>
      <x:c r="AI231" s="49"/>
      <x:c r="AJ231" s="48" t="str">
        <x:v>착수 전</x:v>
      </x:c>
    </x:row>
    <x:row r="232" ht="42" customHeight="1">
      <x:c r="A232" s="37" t="str">
        <x:v>AUD-019</x:v>
      </x:c>
      <x:c r="B232" s="37" t="str">
        <x:v>오디오·보이스 채팅</x:v>
      </x:c>
      <x:c r="C232" s="37" t="str">
        <x:v>오디오 콘텐츠</x:v>
      </x:c>
      <x:c r="D232" s="37" t="str">
        <x:v>페이즈·음악</x:v>
      </x:c>
      <x:c r="E232" s="37" t="str">
        <x:v>낮·밤·최종 재판·결과 음악 전환</x:v>
      </x:c>
      <x:c r="F232" s="37" t="str">
        <x:v>게임 규칙, 운영 요구사항과 대상 플랫폼 제약을 충족하도록 낮·밤·최종 재판·결과 음악 전환 기능을 구현하고 검증한다.</x:v>
      </x:c>
      <x:c r="G232" s="37" t="str">
        <x:v>페이즈 변경을 인지할 수 있지만 밤 시작 전에 역할이나 승패를 암시하지 않으며 반복, 교차 페이드, 재접속 복귀 위치를 정의한다.</x:v>
      </x:c>
      <x:c r="H232" s="37" t="str">
        <x:v>구현, 코드 리뷰, 사양 갱신, 대상 QA 케이스 실행, 로그·텔레메트리 확인과 관련 플랫폼 검증을 완료하고 미해결 P0·P1 결함이 없다.</x:v>
      </x:c>
      <x:c r="I232" s="37" t="str">
        <x:v>MVP</x:v>
      </x:c>
      <x:c r="J232" s="37" t="str">
        <x:v>P1</x:v>
      </x:c>
      <x:c r="K232" s="37" t="str">
        <x:v>필수</x:v>
      </x:c>
      <x:c r="L232" s="37" t="str">
        <x:v>연출</x:v>
      </x:c>
      <x:c r="M232" s="37" t="str">
        <x:v>MVP</x:v>
      </x:c>
      <x:c r="N232" s="37" t="str">
        <x:v>오디오·온라인 엔지니어링</x:v>
      </x:c>
      <x:c r="O232" s="37" t="str">
        <x:v>미정</x:v>
      </x:c>
      <x:c r="P232" s="37" t="str">
        <x:v>미정</x:v>
      </x:c>
      <x:c r="Q232" s="37" t="str">
        <x:v>전체</x:v>
      </x:c>
      <x:c r="R232" s="37" t="str">
        <x:v>클라이언트 로컬</x:v>
      </x:c>
      <x:c r="S232" s="37" t="str">
        <x:v>없음</x:v>
      </x:c>
      <x:c r="T232" s="37" t="str">
        <x:v>L</x:v>
      </x:c>
      <x:c r="U232" s="37" t="str">
        <x:v>미착수</x:v>
      </x:c>
      <x:c r="V232" s="42" t="n">
        <x:f>IF(U232="완료",1,IF(U232="QA 진행 중",0.8,IF(U232="코드 리뷰",0.65,IF(U232="구현 중",0.4,IF(U232="사양 확인 중",0.1,IF(U232="차단",0.4,0))))))</x:f>
        <x:v>0</x:v>
      </x:c>
      <x:c r="W232" s="37" t="str">
        <x:v>미정</x:v>
      </x:c>
      <x:c r="X232" s="40"/>
      <x:c r="Y232" s="37" t="str">
        <x:v>AUD-001,IGM-001</x:v>
      </x:c>
      <x:c r="Z232" s="37" t="str">
        <x:v>중간</x:v>
      </x:c>
      <x:c r="AA232" s="37" t="str">
        <x:v>기능</x:v>
      </x:c>
      <x:c r="AB232" s="37" t="str">
        <x:v>TC-AUD-019-01</x:v>
      </x:c>
      <x:c r="AC232" s="37"/>
      <x:c r="AD232" s="37" t="str">
        <x:v>게임 기획서</x:v>
      </x:c>
      <x:c r="AE232" s="37"/>
      <x:c r="AF232" s="40" t="str">
        <x:v>2026-07-10</x:v>
      </x:c>
      <x:c r="AG232" s="37"/>
      <x:c r="AH232" s="49"/>
      <x:c r="AI232" s="49"/>
      <x:c r="AJ232" s="48" t="str">
        <x:v>착수 전</x:v>
      </x:c>
    </x:row>
    <x:row r="233" ht="42" customHeight="1">
      <x:c r="A233" s="37" t="str">
        <x:v>AUD-020</x:v>
      </x:c>
      <x:c r="B233" s="37" t="str">
        <x:v>오디오·보이스 채팅</x:v>
      </x:c>
      <x:c r="C233" s="37" t="str">
        <x:v>확장</x:v>
      </x:c>
      <x:c r="D233" s="37" t="str">
        <x:v>조수 전용 채널</x:v>
      </x:c>
      <x:c r="E233" s="37" t="str">
        <x:v>마피아·조수 비밀 통신 채널</x:v>
      </x:c>
      <x:c r="F233" s="37" t="str">
        <x:v>게임 규칙, 운영 요구사항과 대상 플랫폼 제약을 충족하도록 마피아·조수 비밀 통신 채널 기능을 구현하고 검증한다.</x:v>
      </x:c>
      <x:c r="G233" s="37" t="str">
        <x:v>조수 규칙이 켜졌을 때만 두 대상에게 채널을 열고 마피아 추방 후에도 정책에 따라 유지한다. 다른 플레이어, 관전자, 일반 로그에 내용이 유출되지 않는다.</x:v>
      </x:c>
      <x:c r="H233" s="37" t="str">
        <x:v>구현, 코드 리뷰, 사양 갱신, 대상 QA 케이스 실행, 로그·텔레메트리 확인과 관련 플랫폼 검증을 완료하고 미해결 P0·P1 결함이 없다.</x:v>
      </x:c>
      <x:c r="I233" s="37" t="str">
        <x:v>출시 후</x:v>
      </x:c>
      <x:c r="J233" s="37" t="str">
        <x:v>P3</x:v>
      </x:c>
      <x:c r="K233" s="37" t="str">
        <x:v>조건부</x:v>
      </x:c>
      <x:c r="L233" s="37" t="str">
        <x:v>정보 비공개</x:v>
      </x:c>
      <x:c r="M233" s="37" t="str">
        <x:v>출시 후</x:v>
      </x:c>
      <x:c r="N233" s="37" t="str">
        <x:v>오디오·온라인 엔지니어링</x:v>
      </x:c>
      <x:c r="O233" s="37" t="str">
        <x:v>미정</x:v>
      </x:c>
      <x:c r="P233" s="37" t="str">
        <x:v>미정</x:v>
      </x:c>
      <x:c r="Q233" s="37" t="str">
        <x:v>전체</x:v>
      </x:c>
      <x:c r="R233" s="37" t="str">
        <x:v>서버 권한</x:v>
      </x:c>
      <x:c r="S233" s="37" t="str">
        <x:v>세션</x:v>
      </x:c>
      <x:c r="T233" s="37" t="str">
        <x:v>XL</x:v>
      </x:c>
      <x:c r="U233" s="37" t="str">
        <x:v>미착수</x:v>
      </x:c>
      <x:c r="V233" s="42" t="n">
        <x:f>IF(U233="완료",1,IF(U233="QA 진행 중",0.8,IF(U233="코드 리뷰",0.65,IF(U233="구현 중",0.4,IF(U233="사양 확인 중",0.1,IF(U233="차단",0.4,0))))))</x:f>
        <x:v>0</x:v>
      </x:c>
      <x:c r="W233" s="37" t="str">
        <x:v>미정</x:v>
      </x:c>
      <x:c r="X233" s="40"/>
      <x:c r="Y233" s="37" t="str">
        <x:v>IGM-038,AUD-007,NET-018</x:v>
      </x:c>
      <x:c r="Z233" s="37" t="str">
        <x:v>높음</x:v>
      </x:c>
      <x:c r="AA233" s="37" t="str">
        <x:v>보안</x:v>
      </x:c>
      <x:c r="AB233" s="37" t="str">
        <x:v>TC-AUD-020-01</x:v>
      </x:c>
      <x:c r="AC233" s="37"/>
      <x:c r="AD233" s="37" t="str">
        <x:v>게임 기획서</x:v>
      </x:c>
      <x:c r="AE233" s="37"/>
      <x:c r="AF233" s="40" t="str">
        <x:v>2026-07-10</x:v>
      </x:c>
      <x:c r="AG233" s="37"/>
      <x:c r="AH233" s="49"/>
      <x:c r="AI233" s="49"/>
      <x:c r="AJ233" s="48" t="str">
        <x:v>착수 전</x:v>
      </x:c>
    </x:row>
    <x:row r="234" ht="42" customHeight="1">
      <x:c r="A234" s="37" t="str">
        <x:v>AUD-021</x:v>
      </x:c>
      <x:c r="B234" s="37" t="str">
        <x:v>오디오·보이스 채팅</x:v>
      </x:c>
      <x:c r="C234" s="37" t="str">
        <x:v>현지화</x:v>
      </x:c>
      <x:c r="D234" s="37" t="str">
        <x:v>음성 대사·문구</x:v>
      </x:c>
      <x:c r="E234" s="37" t="str">
        <x:v>음성·자막·UI 문구 현지화</x:v>
      </x:c>
      <x:c r="F234" s="37" t="str">
        <x:v>게임 규칙, 운영 요구사항과 대상 플랫폼 제약을 충족하도록 음성·자막·UI 문구 현지화 기능을 구현하고 검증한다.</x:v>
      </x:c>
      <x:c r="G234" s="37" t="str">
        <x:v>자막 키, 음성 교체, 언어 대체 처리, 문맥 주석, 길이 제한을 관리하고 언어 변경 시 재시작이 필요한 범위를 명확히 한다.</x:v>
      </x:c>
      <x:c r="H234" s="37" t="str">
        <x:v>구현, 코드 리뷰, 사양 갱신, 대상 QA 케이스 실행, 로그·텔레메트리 확인과 관련 플랫폼 검증을 완료하고 미해결 P0·P1 결함이 없다.</x:v>
      </x:c>
      <x:c r="I234" s="37" t="str">
        <x:v>베타</x:v>
      </x:c>
      <x:c r="J234" s="37" t="str">
        <x:v>P1</x:v>
      </x:c>
      <x:c r="K234" s="37" t="str">
        <x:v>필수</x:v>
      </x:c>
      <x:c r="L234" s="37" t="str">
        <x:v>현지화</x:v>
      </x:c>
      <x:c r="M234" s="37" t="str">
        <x:v>베타</x:v>
      </x:c>
      <x:c r="N234" s="37" t="str">
        <x:v>오디오·온라인 엔지니어링</x:v>
      </x:c>
      <x:c r="O234" s="37" t="str">
        <x:v>미정</x:v>
      </x:c>
      <x:c r="P234" s="37" t="str">
        <x:v>미정</x:v>
      </x:c>
      <x:c r="Q234" s="37" t="str">
        <x:v>전체</x:v>
      </x:c>
      <x:c r="R234" s="37" t="str">
        <x:v>콘텐츠 데이터</x:v>
      </x:c>
      <x:c r="S234" s="37" t="str">
        <x:v>없음</x:v>
      </x:c>
      <x:c r="T234" s="37" t="str">
        <x:v>L</x:v>
      </x:c>
      <x:c r="U234" s="37" t="str">
        <x:v>미착수</x:v>
      </x:c>
      <x:c r="V234" s="42" t="n">
        <x:f>IF(U234="완료",1,IF(U234="QA 진행 중",0.8,IF(U234="코드 리뷰",0.65,IF(U234="구현 중",0.4,IF(U234="사양 확인 중",0.1,IF(U234="차단",0.4,0))))))</x:f>
        <x:v>0</x:v>
      </x:c>
      <x:c r="W234" s="37" t="str">
        <x:v>미정</x:v>
      </x:c>
      <x:c r="X234" s="40"/>
      <x:c r="Y234" s="37" t="str">
        <x:v>AUD-016,SET-004</x:v>
      </x:c>
      <x:c r="Z234" s="37" t="str">
        <x:v>중간</x:v>
      </x:c>
      <x:c r="AA234" s="37" t="str">
        <x:v>현지화</x:v>
      </x:c>
      <x:c r="AB234" s="37" t="str">
        <x:v>TC-AUD-021-01</x:v>
      </x:c>
      <x:c r="AC234" s="37"/>
      <x:c r="AD234" s="37" t="str">
        <x:v>게임 기획서</x:v>
      </x:c>
      <x:c r="AE234" s="37"/>
      <x:c r="AF234" s="40" t="str">
        <x:v>2026-07-10</x:v>
      </x:c>
      <x:c r="AG234" s="37"/>
      <x:c r="AH234" s="49"/>
      <x:c r="AI234" s="49"/>
      <x:c r="AJ234" s="48" t="str">
        <x:v>착수 전</x:v>
      </x:c>
    </x:row>
    <x:row r="235" ht="42" customHeight="1">
      <x:c r="A235" s="37" t="str">
        <x:v>AUD-022</x:v>
      </x:c>
      <x:c r="B235" s="37" t="str">
        <x:v>오디오·보이스 채팅</x:v>
      </x:c>
      <x:c r="C235" s="37" t="str">
        <x:v>성능</x:v>
      </x:c>
      <x:c r="D235" s="37" t="str">
        <x:v>음성 부하</x:v>
      </x:c>
      <x:c r="E235" s="37" t="str">
        <x:v>6인 음성·효과음 최대 부하·메모리 예산</x:v>
      </x:c>
      <x:c r="F235" s="37" t="str">
        <x:v>게임 규칙, 운영 요구사항과 대상 플랫폼 제약을 충족하도록 6인 음성·효과음 최대 부하·메모리 예산 기능을 구현하고 검증한다.</x:v>
      </x:c>
      <x:c r="G235" s="37" t="str">
        <x:v>전원 발언, 다중 효과음, 미니게임, 최대 메모 표시 조건에서 CPU, 메모리, 대역폭, 음 끊김이 목표 기준 안에 들어온다.</x:v>
      </x:c>
      <x:c r="H235" s="37" t="str">
        <x:v>구현, 코드 리뷰, 사양 갱신, 대상 QA 케이스 실행, 로그·텔레메트리 확인과 관련 플랫폼 검증을 완료하고 미해결 P0·P1 결함이 없다.</x:v>
      </x:c>
      <x:c r="I235" s="37" t="str">
        <x:v>릴리스 후보</x:v>
      </x:c>
      <x:c r="J235" s="37" t="str">
        <x:v>P0</x:v>
      </x:c>
      <x:c r="K235" s="37" t="str">
        <x:v>필수</x:v>
      </x:c>
      <x:c r="L235" s="37" t="str">
        <x:v>성능</x:v>
      </x:c>
      <x:c r="M235" s="37" t="str">
        <x:v>릴리스 후보</x:v>
      </x:c>
      <x:c r="N235" s="37" t="str">
        <x:v>오디오·온라인 엔지니어링</x:v>
      </x:c>
      <x:c r="O235" s="37" t="str">
        <x:v>미정</x:v>
      </x:c>
      <x:c r="P235" s="37" t="str">
        <x:v>미정</x:v>
      </x:c>
      <x:c r="Q235" s="37" t="str">
        <x:v>전체</x:v>
      </x:c>
      <x:c r="R235" s="37" t="str">
        <x:v>해당 없음</x:v>
      </x:c>
      <x:c r="S235" s="37" t="str">
        <x:v>없음</x:v>
      </x:c>
      <x:c r="T235" s="37" t="str">
        <x:v>L</x:v>
      </x:c>
      <x:c r="U235" s="37" t="str">
        <x:v>미착수</x:v>
      </x:c>
      <x:c r="V235" s="42" t="n">
        <x:f>IF(U235="완료",1,IF(U235="QA 진행 중",0.8,IF(U235="코드 리뷰",0.65,IF(U235="구현 중",0.4,IF(U235="사양 확인 중",0.1,IF(U235="차단",0.4,0))))))</x:f>
        <x:v>0</x:v>
      </x:c>
      <x:c r="W235" s="37" t="str">
        <x:v>미정</x:v>
      </x:c>
      <x:c r="X235" s="40"/>
      <x:c r="Y235" s="37" t="str">
        <x:v>AUD-004,AUD-013,AUD-018,QAR-020</x:v>
      </x:c>
      <x:c r="Z235" s="37" t="str">
        <x:v>중간</x:v>
      </x:c>
      <x:c r="AA235" s="37" t="str">
        <x:v>성능</x:v>
      </x:c>
      <x:c r="AB235" s="37" t="str">
        <x:v>TC-AUD-022-01, TC-AUD-022-02</x:v>
      </x:c>
      <x:c r="AC235" s="37"/>
      <x:c r="AD235" s="37" t="str">
        <x:v>게임 기획서</x:v>
      </x:c>
      <x:c r="AE235" s="37"/>
      <x:c r="AF235" s="40" t="str">
        <x:v>2026-07-10</x:v>
      </x:c>
      <x:c r="AG235" s="37"/>
      <x:c r="AH235" s="49"/>
      <x:c r="AI235" s="49"/>
      <x:c r="AJ235" s="48" t="str">
        <x:v>착수 전</x:v>
      </x:c>
    </x:row>
    <x:row r="236" ht="42" customHeight="1">
      <x:c r="A236" s="37" t="str">
        <x:v>AUD-023</x:v>
      </x:c>
      <x:c r="B236" s="37" t="str">
        <x:v>오디오·보이스 채팅</x:v>
      </x:c>
      <x:c r="C236" s="37" t="str">
        <x:v>플랫폼 규정 준수</x:v>
      </x:c>
      <x:c r="D236" s="37" t="str">
        <x:v>음성 정책</x:v>
      </x:c>
      <x:c r="E236" s="37" t="str">
        <x:v>플랫폼별 음성·음소거·차단 요건</x:v>
      </x:c>
      <x:c r="F236" s="37" t="str">
        <x:v>게임 규칙, 운영 요구사항과 대상 플랫폼 제약을 충족하도록 플랫폼별 음성·음소거·차단 요건 기능을 구현하고 검증한다.</x:v>
      </x:c>
      <x:c r="G236" s="37" t="str">
        <x:v>각 플랫폼의 개인정보, 보호자 설정, 시스템 음소거, 차단, 크로스플레이 음성 요건을 충족한다.</x:v>
      </x:c>
      <x:c r="H236" s="37" t="str">
        <x:v>구현, 코드 리뷰, 사양 갱신, 대상 QA 케이스 실행, 로그·텔레메트리 확인과 관련 플랫폼 검증을 완료하고 미해결 P0·P1 결함이 없다.</x:v>
      </x:c>
      <x:c r="I236" s="37" t="str">
        <x:v>출시</x:v>
      </x:c>
      <x:c r="J236" s="37" t="str">
        <x:v>P0</x:v>
      </x:c>
      <x:c r="K236" s="37" t="str">
        <x:v>필수</x:v>
      </x:c>
      <x:c r="L236" s="37" t="str">
        <x:v>인증·약관</x:v>
      </x:c>
      <x:c r="M236" s="37" t="str">
        <x:v>출시</x:v>
      </x:c>
      <x:c r="N236" s="37" t="str">
        <x:v>오디오·온라인 엔지니어링</x:v>
      </x:c>
      <x:c r="O236" s="37" t="str">
        <x:v>미정</x:v>
      </x:c>
      <x:c r="P236" s="37" t="str">
        <x:v>미정</x:v>
      </x:c>
      <x:c r="Q236" s="37" t="str">
        <x:v>전체</x:v>
      </x:c>
      <x:c r="R236" s="37" t="str">
        <x:v>백엔드 권한</x:v>
      </x:c>
      <x:c r="S236" s="37" t="str">
        <x:v>계정</x:v>
      </x:c>
      <x:c r="T236" s="37" t="str">
        <x:v>XL</x:v>
      </x:c>
      <x:c r="U236" s="37" t="str">
        <x:v>미착수</x:v>
      </x:c>
      <x:c r="V236" s="42" t="n">
        <x:f>IF(U236="완료",1,IF(U236="QA 진행 중",0.8,IF(U236="코드 리뷰",0.65,IF(U236="구현 중",0.4,IF(U236="사양 확인 중",0.1,IF(U236="차단",0.4,0))))))</x:f>
        <x:v>0</x:v>
      </x:c>
      <x:c r="W236" s="37" t="str">
        <x:v>미정</x:v>
      </x:c>
      <x:c r="X236" s="40"/>
      <x:c r="Y236" s="37" t="str">
        <x:v>AUD-011,AUD-012,BED-013</x:v>
      </x:c>
      <x:c r="Z236" s="37" t="str">
        <x:v>중간</x:v>
      </x:c>
      <x:c r="AA236" s="37" t="str">
        <x:v>호환성</x:v>
      </x:c>
      <x:c r="AB236" s="37" t="str">
        <x:v>TC-AUD-023-01, TC-AUD-023-02</x:v>
      </x:c>
      <x:c r="AC236" s="37"/>
      <x:c r="AD236" s="37" t="str">
        <x:v>게임 기획서</x:v>
      </x:c>
      <x:c r="AE236" s="37"/>
      <x:c r="AF236" s="40" t="str">
        <x:v>2026-07-10</x:v>
      </x:c>
      <x:c r="AG236" s="37"/>
      <x:c r="AH236" s="49"/>
      <x:c r="AI236" s="49"/>
      <x:c r="AJ236" s="48" t="str">
        <x:v>착수 전</x:v>
      </x:c>
    </x:row>
    <x:row r="237" ht="42" customHeight="1">
      <x:c r="A237" s="37" t="str">
        <x:v>AUD-024</x:v>
      </x:c>
      <x:c r="B237" s="37" t="str">
        <x:v>오디오·보이스 채팅</x:v>
      </x:c>
      <x:c r="C237" s="37" t="str">
        <x:v>품질</x:v>
      </x:c>
      <x:c r="D237" s="37" t="str">
        <x:v>음향 시험</x:v>
      </x:c>
      <x:c r="E237" s="37" t="str">
        <x:v>맵별 음성 감쇠·차폐 리뷰</x:v>
      </x:c>
      <x:c r="F237" s="37" t="str">
        <x:v>게임 규칙, 운영 요구사항과 대상 플랫폼 제약을 충족하도록 맵별 음성 감쇠·차폐 리뷰 기능을 구현하고 검증한다.</x:v>
      </x:c>
      <x:c r="G237" s="37" t="str">
        <x:v>모든 주요 방, 문, 통로, 중앙 관찰 구역에서 거리와 차폐를 측정하고 대화 도달 범위가 게임 디자인 의도와 일치한다.</x:v>
      </x:c>
      <x:c r="H237" s="37" t="str">
        <x:v>구현, 코드 리뷰, 사양 갱신, 대상 QA 케이스 실행, 로그·텔레메트리 확인과 관련 플랫폼 검증을 완료하고 미해결 P0·P1 결함이 없다.</x:v>
      </x:c>
      <x:c r="I237" s="37" t="str">
        <x:v>알파</x:v>
      </x:c>
      <x:c r="J237" s="37" t="str">
        <x:v>P0</x:v>
      </x:c>
      <x:c r="K237" s="37" t="str">
        <x:v>필수</x:v>
      </x:c>
      <x:c r="L237" s="37" t="str">
        <x:v>밸런스</x:v>
      </x:c>
      <x:c r="M237" s="37" t="str">
        <x:v>알파</x:v>
      </x:c>
      <x:c r="N237" s="37" t="str">
        <x:v>오디오·온라인 엔지니어링</x:v>
      </x:c>
      <x:c r="O237" s="37" t="str">
        <x:v>미정</x:v>
      </x:c>
      <x:c r="P237" s="37" t="str">
        <x:v>미정</x:v>
      </x:c>
      <x:c r="Q237" s="37" t="str">
        <x:v>전체</x:v>
      </x:c>
      <x:c r="R237" s="37" t="str">
        <x:v>해당 없음</x:v>
      </x:c>
      <x:c r="S237" s="37" t="str">
        <x:v>감사 로그</x:v>
      </x:c>
      <x:c r="T237" s="37" t="str">
        <x:v>M</x:v>
      </x:c>
      <x:c r="U237" s="37" t="str">
        <x:v>미착수</x:v>
      </x:c>
      <x:c r="V237" s="42" t="n">
        <x:f>IF(U237="완료",1,IF(U237="QA 진행 중",0.8,IF(U237="코드 리뷰",0.65,IF(U237="구현 중",0.4,IF(U237="사양 확인 중",0.1,IF(U237="차단",0.4,0))))))</x:f>
        <x:v>0</x:v>
      </x:c>
      <x:c r="W237" s="37" t="str">
        <x:v>미정</x:v>
      </x:c>
      <x:c r="X237" s="40"/>
      <x:c r="Y237" s="37" t="str">
        <x:v>AUD-004,AUD-005,CNT-007</x:v>
      </x:c>
      <x:c r="Z237" s="37" t="str">
        <x:v>중간</x:v>
      </x:c>
      <x:c r="AA237" s="37" t="str">
        <x:v>사용성</x:v>
      </x:c>
      <x:c r="AB237" s="37" t="str">
        <x:v>TC-AUD-024-01, TC-AUD-024-02</x:v>
      </x:c>
      <x:c r="AC237" s="37"/>
      <x:c r="AD237" s="37" t="str">
        <x:v>게임 기획서</x:v>
      </x:c>
      <x:c r="AE237" s="37"/>
      <x:c r="AF237" s="40" t="str">
        <x:v>2026-07-10</x:v>
      </x:c>
      <x:c r="AG237" s="37"/>
      <x:c r="AH237" s="49"/>
      <x:c r="AI237" s="49"/>
      <x:c r="AJ237" s="48" t="str">
        <x:v>착수 전</x:v>
      </x:c>
    </x:row>
    <x:row r="238" ht="42" customHeight="1">
      <x:c r="A238" s="37" t="str">
        <x:v>CNT-001</x:v>
      </x:c>
      <x:c r="B238" s="37" t="str">
        <x:v>콘텐츠·맵·미니게임</x:v>
      </x:c>
      <x:c r="C238" s="37" t="str">
        <x:v>맵 디자인</x:v>
      </x:c>
      <x:c r="D238" s="37" t="str">
        <x:v>목표</x:v>
      </x:c>
      <x:c r="E238" s="37" t="str">
        <x:v>MVP 맵 게임플레이 설계 원칙</x:v>
      </x:c>
      <x:c r="F238" s="37" t="str">
        <x:v>게임 규칙, 운영 요구사항과 대상 플랫폼 제약을 충족하도록 MVP 맵 게임플레이 설계 원칙 기능을 구현하고 검증한다.</x:v>
      </x:c>
      <x:c r="G238" s="37" t="str">
        <x:v>근거리 대화, 등 뒤 접근, 관찰, 분산, 재집결이 자연스럽게 발생하는 동선과 4~6명에서 과밀·과소가 되지 않는 면적 기준을 정의한다.</x:v>
      </x:c>
      <x:c r="H238" s="37" t="str">
        <x:v>구현, 코드 리뷰, 사양 갱신, 대상 QA 케이스 실행, 로그·텔레메트리 확인과 관련 플랫폼 검증을 완료하고 미해결 P0·P1 결함이 없다.</x:v>
      </x:c>
      <x:c r="I238" s="37" t="str">
        <x:v>MVP</x:v>
      </x:c>
      <x:c r="J238" s="37" t="str">
        <x:v>P0</x:v>
      </x:c>
      <x:c r="K238" s="37" t="str">
        <x:v>필수</x:v>
      </x:c>
      <x:c r="L238" s="37" t="str">
        <x:v>맵</x:v>
      </x:c>
      <x:c r="M238" s="37" t="str">
        <x:v>MVP</x:v>
      </x:c>
      <x:c r="N238" s="37" t="str">
        <x:v>레벨·게임 디자인</x:v>
      </x:c>
      <x:c r="O238" s="37" t="str">
        <x:v>미정</x:v>
      </x:c>
      <x:c r="P238" s="37" t="str">
        <x:v>미정</x:v>
      </x:c>
      <x:c r="Q238" s="37" t="str">
        <x:v>전체</x:v>
      </x:c>
      <x:c r="R238" s="37" t="str">
        <x:v>콘텐츠 데이터</x:v>
      </x:c>
      <x:c r="S238" s="37" t="str">
        <x:v>없음</x:v>
      </x:c>
      <x:c r="T238" s="37" t="str">
        <x:v>L</x:v>
      </x:c>
      <x:c r="U238" s="37" t="str">
        <x:v>미착수</x:v>
      </x:c>
      <x:c r="V238" s="42" t="n">
        <x:f>IF(U238="완료",1,IF(U238="QA 진행 중",0.8,IF(U238="코드 리뷰",0.65,IF(U238="구현 중",0.4,IF(U238="사양 확인 중",0.1,IF(U238="차단",0.4,0))))))</x:f>
        <x:v>0</x:v>
      </x:c>
      <x:c r="W238" s="37" t="str">
        <x:v>미정</x:v>
      </x:c>
      <x:c r="X238" s="40"/>
      <x:c r="Y238" s="37"/>
      <x:c r="Z238" s="37" t="str">
        <x:v>중간</x:v>
      </x:c>
      <x:c r="AA238" s="37" t="str">
        <x:v>밸런스</x:v>
      </x:c>
      <x:c r="AB238" s="37" t="str">
        <x:v>TC-CNT-001-01, TC-CNT-001-02</x:v>
      </x:c>
      <x:c r="AC238" s="37"/>
      <x:c r="AD238" s="37" t="str">
        <x:v>게임 기획서</x:v>
      </x:c>
      <x:c r="AE238" s="37"/>
      <x:c r="AF238" s="40" t="str">
        <x:v>2026-07-10</x:v>
      </x:c>
      <x:c r="AG238" s="37"/>
      <x:c r="AH238" s="49"/>
      <x:c r="AI238" s="49"/>
      <x:c r="AJ238" s="48" t="str">
        <x:v>착수 전</x:v>
      </x:c>
    </x:row>
    <x:row r="239" ht="42" customHeight="1">
      <x:c r="A239" s="37" t="str">
        <x:v>CNT-002</x:v>
      </x:c>
      <x:c r="B239" s="37" t="str">
        <x:v>콘텐츠·맵·미니게임</x:v>
      </x:c>
      <x:c r="C239" s="37" t="str">
        <x:v>맵 디자인</x:v>
      </x:c>
      <x:c r="D239" s="37" t="str">
        <x:v>동선</x:v>
      </x:c>
      <x:c r="E239" s="37" t="str">
        <x:v>주요 순환 동선·이동 시간·분기</x:v>
      </x:c>
      <x:c r="F239" s="37" t="str">
        <x:v>게임 규칙, 운영 요구사항과 대상 플랫폼 제약을 충족하도록 주요 순환 동선·이동 시간·분기 기능을 구현하고 검증한다.</x:v>
      </x:c>
      <x:c r="G239" s="37" t="str">
        <x:v>주요 지점 사이의 이동 시간, 순환로 수, 막다른 길, 지름길을 측정하고 한 플레이어가 항상 추적할 수 있는 지나치게 단순한 구조를 피한다.</x:v>
      </x:c>
      <x:c r="H239" s="37" t="str">
        <x:v>구현, 코드 리뷰, 사양 갱신, 대상 QA 케이스 실행, 로그·텔레메트리 확인과 관련 플랫폼 검증을 완료하고 미해결 P0·P1 결함이 없다.</x:v>
      </x:c>
      <x:c r="I239" s="37" t="str">
        <x:v>MVP</x:v>
      </x:c>
      <x:c r="J239" s="37" t="str">
        <x:v>P0</x:v>
      </x:c>
      <x:c r="K239" s="37" t="str">
        <x:v>필수</x:v>
      </x:c>
      <x:c r="L239" s="37" t="str">
        <x:v>맵</x:v>
      </x:c>
      <x:c r="M239" s="37" t="str">
        <x:v>MVP</x:v>
      </x:c>
      <x:c r="N239" s="37" t="str">
        <x:v>레벨·게임 디자인</x:v>
      </x:c>
      <x:c r="O239" s="37" t="str">
        <x:v>미정</x:v>
      </x:c>
      <x:c r="P239" s="37" t="str">
        <x:v>미정</x:v>
      </x:c>
      <x:c r="Q239" s="37" t="str">
        <x:v>전체</x:v>
      </x:c>
      <x:c r="R239" s="37" t="str">
        <x:v>콘텐츠 데이터</x:v>
      </x:c>
      <x:c r="S239" s="37" t="str">
        <x:v>없음</x:v>
      </x:c>
      <x:c r="T239" s="37" t="str">
        <x:v>XL</x:v>
      </x:c>
      <x:c r="U239" s="37" t="str">
        <x:v>미착수</x:v>
      </x:c>
      <x:c r="V239" s="42" t="n">
        <x:f>IF(U239="완료",1,IF(U239="QA 진행 중",0.8,IF(U239="코드 리뷰",0.65,IF(U239="구현 중",0.4,IF(U239="사양 확인 중",0.1,IF(U239="차단",0.4,0))))))</x:f>
        <x:v>0</x:v>
      </x:c>
      <x:c r="W239" s="37" t="str">
        <x:v>미정</x:v>
      </x:c>
      <x:c r="X239" s="40"/>
      <x:c r="Y239" s="37" t="str">
        <x:v>CNT-001</x:v>
      </x:c>
      <x:c r="Z239" s="37" t="str">
        <x:v>중간</x:v>
      </x:c>
      <x:c r="AA239" s="37" t="str">
        <x:v>밸런스</x:v>
      </x:c>
      <x:c r="AB239" s="37" t="str">
        <x:v>TC-CNT-002-01, TC-CNT-002-02</x:v>
      </x:c>
      <x:c r="AC239" s="37"/>
      <x:c r="AD239" s="37" t="str">
        <x:v>게임 기획서</x:v>
      </x:c>
      <x:c r="AE239" s="37"/>
      <x:c r="AF239" s="40" t="str">
        <x:v>2026-07-10</x:v>
      </x:c>
      <x:c r="AG239" s="37"/>
      <x:c r="AH239" s="49"/>
      <x:c r="AI239" s="49"/>
      <x:c r="AJ239" s="48" t="str">
        <x:v>착수 전</x:v>
      </x:c>
    </x:row>
    <x:row r="240" ht="42" customHeight="1">
      <x:c r="A240" s="37" t="str">
        <x:v>CNT-003</x:v>
      </x:c>
      <x:c r="B240" s="37" t="str">
        <x:v>콘텐츠·맵·미니게임</x:v>
      </x:c>
      <x:c r="C240" s="37" t="str">
        <x:v>맵 디자인</x:v>
      </x:c>
      <x:c r="D240" s="37" t="str">
        <x:v>야간 중앙 집결</x:v>
      </x:c>
      <x:c r="E240" s="37" t="str">
        <x:v>밤 중앙 관찰·투표 구역</x:v>
      </x:c>
      <x:c r="F240" s="37" t="str">
        <x:v>게임 규칙, 운영 요구사항과 대상 플랫폼 제약을 충족하도록 밤 중앙 관찰·투표 구역 기능을 구현하고 검증한다.</x:v>
      </x:c>
      <x:c r="G240" s="37" t="str">
        <x:v>모든 생존자가 서로의 등 메모를 관찰할 수 있고 차폐, 겹침, 이름표 간섭, 카메라 충돌이 적은 배치를 제공한다.</x:v>
      </x:c>
      <x:c r="H240" s="37" t="str">
        <x:v>구현, 코드 리뷰, 사양 갱신, 대상 QA 케이스 실행, 로그·텔레메트리 확인과 관련 플랫폼 검증을 완료하고 미해결 P0·P1 결함이 없다.</x:v>
      </x:c>
      <x:c r="I240" s="37" t="str">
        <x:v>MVP</x:v>
      </x:c>
      <x:c r="J240" s="37" t="str">
        <x:v>P0</x:v>
      </x:c>
      <x:c r="K240" s="37" t="str">
        <x:v>필수</x:v>
      </x:c>
      <x:c r="L240" s="37" t="str">
        <x:v>핵심 규칙</x:v>
      </x:c>
      <x:c r="M240" s="37" t="str">
        <x:v>MVP</x:v>
      </x:c>
      <x:c r="N240" s="37" t="str">
        <x:v>레벨·게임 디자인</x:v>
      </x:c>
      <x:c r="O240" s="37" t="str">
        <x:v>미정</x:v>
      </x:c>
      <x:c r="P240" s="37" t="str">
        <x:v>미정</x:v>
      </x:c>
      <x:c r="Q240" s="37" t="str">
        <x:v>전체</x:v>
      </x:c>
      <x:c r="R240" s="37" t="str">
        <x:v>콘텐츠 데이터</x:v>
      </x:c>
      <x:c r="S240" s="37" t="str">
        <x:v>없음</x:v>
      </x:c>
      <x:c r="T240" s="37" t="str">
        <x:v>L</x:v>
      </x:c>
      <x:c r="U240" s="37" t="str">
        <x:v>미착수</x:v>
      </x:c>
      <x:c r="V240" s="42" t="n">
        <x:f>IF(U240="완료",1,IF(U240="QA 진행 중",0.8,IF(U240="코드 리뷰",0.65,IF(U240="구현 중",0.4,IF(U240="사양 확인 중",0.1,IF(U240="차단",0.4,0))))))</x:f>
        <x:v>0</x:v>
      </x:c>
      <x:c r="W240" s="37" t="str">
        <x:v>미정</x:v>
      </x:c>
      <x:c r="X240" s="40"/>
      <x:c r="Y240" s="37" t="str">
        <x:v>CNT-001,CHR-012</x:v>
      </x:c>
      <x:c r="Z240" s="37" t="str">
        <x:v>중간</x:v>
      </x:c>
      <x:c r="AA240" s="37" t="str">
        <x:v>사용성</x:v>
      </x:c>
      <x:c r="AB240" s="37" t="str">
        <x:v>TC-CNT-003-01, TC-CNT-003-02</x:v>
      </x:c>
      <x:c r="AC240" s="37"/>
      <x:c r="AD240" s="37" t="str">
        <x:v>게임 기획서</x:v>
      </x:c>
      <x:c r="AE240" s="37"/>
      <x:c r="AF240" s="40" t="str">
        <x:v>2026-07-10</x:v>
      </x:c>
      <x:c r="AG240" s="37"/>
      <x:c r="AH240" s="49"/>
      <x:c r="AI240" s="49"/>
      <x:c r="AJ240" s="48" t="str">
        <x:v>착수 전</x:v>
      </x:c>
    </x:row>
    <x:row r="241" ht="42" customHeight="1">
      <x:c r="A241" s="37" t="str">
        <x:v>CNT-004</x:v>
      </x:c>
      <x:c r="B241" s="37" t="str">
        <x:v>콘텐츠·맵·미니게임</x:v>
      </x:c>
      <x:c r="C241" s="37" t="str">
        <x:v>맵 디자인</x:v>
      </x:c>
      <x:c r="D241" s="37" t="str">
        <x:v>스폰</x:v>
      </x:c>
      <x:c r="E241" s="37" t="str">
        <x:v>시작·재접속·밤 집결 스폰</x:v>
      </x:c>
      <x:c r="F241" s="37" t="str">
        <x:v>게임 규칙, 운영 요구사항과 대상 플랫폼 제약을 충족하도록 시작·재접속·밤 집결 스폰 기능을 구현하고 검증한다.</x:v>
      </x:c>
      <x:c r="G241" s="37" t="str">
        <x:v>참가 인원별 시작 위치, 재접속 위치, 중앙 집결 위치를 정의하고 다른 캐릭터, 벽, 위험 구역과 겹치지 않는다.</x:v>
      </x:c>
      <x:c r="H241" s="37" t="str">
        <x:v>구현, 코드 리뷰, 사양 갱신, 대상 QA 케이스 실행, 로그·텔레메트리 확인과 관련 플랫폼 검증을 완료하고 미해결 P0·P1 결함이 없다.</x:v>
      </x:c>
      <x:c r="I241" s="37" t="str">
        <x:v>MVP</x:v>
      </x:c>
      <x:c r="J241" s="37" t="str">
        <x:v>P0</x:v>
      </x:c>
      <x:c r="K241" s="37" t="str">
        <x:v>필수</x:v>
      </x:c>
      <x:c r="L241" s="37" t="str">
        <x:v>맵</x:v>
      </x:c>
      <x:c r="M241" s="37" t="str">
        <x:v>MVP</x:v>
      </x:c>
      <x:c r="N241" s="37" t="str">
        <x:v>레벨·게임 디자인</x:v>
      </x:c>
      <x:c r="O241" s="37" t="str">
        <x:v>미정</x:v>
      </x:c>
      <x:c r="P241" s="37" t="str">
        <x:v>미정</x:v>
      </x:c>
      <x:c r="Q241" s="37" t="str">
        <x:v>전체</x:v>
      </x:c>
      <x:c r="R241" s="37" t="str">
        <x:v>서버 권한</x:v>
      </x:c>
      <x:c r="S241" s="37" t="str">
        <x:v>없음</x:v>
      </x:c>
      <x:c r="T241" s="37" t="str">
        <x:v>M</x:v>
      </x:c>
      <x:c r="U241" s="37" t="str">
        <x:v>미착수</x:v>
      </x:c>
      <x:c r="V241" s="42" t="n">
        <x:f>IF(U241="완료",1,IF(U241="QA 진행 중",0.8,IF(U241="코드 리뷰",0.65,IF(U241="구현 중",0.4,IF(U241="사양 확인 중",0.1,IF(U241="차단",0.4,0))))))</x:f>
        <x:v>0</x:v>
      </x:c>
      <x:c r="W241" s="37" t="str">
        <x:v>미정</x:v>
      </x:c>
      <x:c r="X241" s="40"/>
      <x:c r="Y241" s="37" t="str">
        <x:v>CNT-002,CNT-003</x:v>
      </x:c>
      <x:c r="Z241" s="37" t="str">
        <x:v>중간</x:v>
      </x:c>
      <x:c r="AA241" s="37" t="str">
        <x:v>경계값</x:v>
      </x:c>
      <x:c r="AB241" s="37" t="str">
        <x:v>TC-CNT-004-01, TC-CNT-004-02</x:v>
      </x:c>
      <x:c r="AC241" s="37"/>
      <x:c r="AD241" s="37" t="str">
        <x:v>게임 기획서</x:v>
      </x:c>
      <x:c r="AE241" s="37"/>
      <x:c r="AF241" s="40" t="str">
        <x:v>2026-07-10</x:v>
      </x:c>
      <x:c r="AG241" s="37"/>
      <x:c r="AH241" s="49"/>
      <x:c r="AI241" s="49"/>
      <x:c r="AJ241" s="48" t="str">
        <x:v>착수 전</x:v>
      </x:c>
    </x:row>
    <x:row r="242" ht="42" customHeight="1">
      <x:c r="A242" s="37" t="str">
        <x:v>CNT-005</x:v>
      </x:c>
      <x:c r="B242" s="37" t="str">
        <x:v>콘텐츠·맵·미니게임</x:v>
      </x:c>
      <x:c r="C242" s="37" t="str">
        <x:v>맵 디자인</x:v>
      </x:c>
      <x:c r="D242" s="37" t="str">
        <x:v>룸</x:v>
      </x:c>
      <x:c r="E242" s="37" t="str">
        <x:v>대화·미니게임용 방 구성</x:v>
      </x:c>
      <x:c r="F242" s="37" t="str">
        <x:v>게임 규칙, 운영 요구사항과 대상 플랫폼 제약을 충족하도록 대화·미니게임용 방 구성 기능을 구현하고 검증한다.</x:v>
      </x:c>
      <x:c r="G242" s="37" t="str">
        <x:v>여러 소형 방과 공유 공간을 구성해 근거리 대화가 지역화되면서도 완전히 고립되지 않도록 하고 각 방에 입구, 출구, 고유 이름을 둔다.</x:v>
      </x:c>
      <x:c r="H242" s="37" t="str">
        <x:v>구현, 코드 리뷰, 사양 갱신, 대상 QA 케이스 실행, 로그·텔레메트리 확인과 관련 플랫폼 검증을 완료하고 미해결 P0·P1 결함이 없다.</x:v>
      </x:c>
      <x:c r="I242" s="37" t="str">
        <x:v>MVP</x:v>
      </x:c>
      <x:c r="J242" s="37" t="str">
        <x:v>P0</x:v>
      </x:c>
      <x:c r="K242" s="37" t="str">
        <x:v>필수</x:v>
      </x:c>
      <x:c r="L242" s="37" t="str">
        <x:v>맵</x:v>
      </x:c>
      <x:c r="M242" s="37" t="str">
        <x:v>MVP</x:v>
      </x:c>
      <x:c r="N242" s="37" t="str">
        <x:v>레벨·게임 디자인</x:v>
      </x:c>
      <x:c r="O242" s="37" t="str">
        <x:v>미정</x:v>
      </x:c>
      <x:c r="P242" s="37" t="str">
        <x:v>미정</x:v>
      </x:c>
      <x:c r="Q242" s="37" t="str">
        <x:v>전체</x:v>
      </x:c>
      <x:c r="R242" s="37" t="str">
        <x:v>콘텐츠 데이터</x:v>
      </x:c>
      <x:c r="S242" s="37" t="str">
        <x:v>없음</x:v>
      </x:c>
      <x:c r="T242" s="37" t="str">
        <x:v>L</x:v>
      </x:c>
      <x:c r="U242" s="37" t="str">
        <x:v>미착수</x:v>
      </x:c>
      <x:c r="V242" s="42" t="n">
        <x:f>IF(U242="완료",1,IF(U242="QA 진행 중",0.8,IF(U242="코드 리뷰",0.65,IF(U242="구현 중",0.4,IF(U242="사양 확인 중",0.1,IF(U242="차단",0.4,0))))))</x:f>
        <x:v>0</x:v>
      </x:c>
      <x:c r="W242" s="37" t="str">
        <x:v>미정</x:v>
      </x:c>
      <x:c r="X242" s="40"/>
      <x:c r="Y242" s="37" t="str">
        <x:v>CNT-002</x:v>
      </x:c>
      <x:c r="Z242" s="37" t="str">
        <x:v>중간</x:v>
      </x:c>
      <x:c r="AA242" s="37" t="str">
        <x:v>밸런스</x:v>
      </x:c>
      <x:c r="AB242" s="37" t="str">
        <x:v>TC-CNT-005-01, TC-CNT-005-02</x:v>
      </x:c>
      <x:c r="AC242" s="37"/>
      <x:c r="AD242" s="37" t="str">
        <x:v>게임 기획서</x:v>
      </x:c>
      <x:c r="AE242" s="37"/>
      <x:c r="AF242" s="40" t="str">
        <x:v>2026-07-10</x:v>
      </x:c>
      <x:c r="AG242" s="37"/>
      <x:c r="AH242" s="49"/>
      <x:c r="AI242" s="49"/>
      <x:c r="AJ242" s="48" t="str">
        <x:v>착수 전</x:v>
      </x:c>
    </x:row>
    <x:row r="243" ht="42" customHeight="1">
      <x:c r="A243" s="37" t="str">
        <x:v>CNT-006</x:v>
      </x:c>
      <x:c r="B243" s="37" t="str">
        <x:v>콘텐츠·맵·미니게임</x:v>
      </x:c>
      <x:c r="C243" s="37" t="str">
        <x:v>맵 디자인</x:v>
      </x:c>
      <x:c r="D243" s="37" t="str">
        <x:v>시야선</x:v>
      </x:c>
      <x:c r="E243" s="37" t="str">
        <x:v>등 뒤 접근·관찰·도주 시야 설계</x:v>
      </x:c>
      <x:c r="F243" s="37" t="str">
        <x:v>게임 규칙, 운영 요구사항과 대상 플랫폼 제약을 충족하도록 등 뒤 접근·관찰·도주 시야 설계 기능을 구현하고 검증한다.</x:v>
      </x:c>
      <x:c r="G243" s="37" t="str">
        <x:v>제3자가 메모 부착 동작을 관찰할 수 있는 시야와 완전 감시를 피하는 차폐를 함께 제공하고 카메라 각도 악용 지점을 제거한다.</x:v>
      </x:c>
      <x:c r="H243" s="37" t="str">
        <x:v>구현, 코드 리뷰, 사양 갱신, 대상 QA 케이스 실행, 로그·텔레메트리 확인과 관련 플랫폼 검증을 완료하고 미해결 P0·P1 결함이 없다.</x:v>
      </x:c>
      <x:c r="I243" s="37" t="str">
        <x:v>MVP</x:v>
      </x:c>
      <x:c r="J243" s="37" t="str">
        <x:v>P0</x:v>
      </x:c>
      <x:c r="K243" s="37" t="str">
        <x:v>필수</x:v>
      </x:c>
      <x:c r="L243" s="37" t="str">
        <x:v>핵심 규칙</x:v>
      </x:c>
      <x:c r="M243" s="37" t="str">
        <x:v>MVP</x:v>
      </x:c>
      <x:c r="N243" s="37" t="str">
        <x:v>레벨·게임 디자인</x:v>
      </x:c>
      <x:c r="O243" s="37" t="str">
        <x:v>미정</x:v>
      </x:c>
      <x:c r="P243" s="37" t="str">
        <x:v>미정</x:v>
      </x:c>
      <x:c r="Q243" s="37" t="str">
        <x:v>전체</x:v>
      </x:c>
      <x:c r="R243" s="37" t="str">
        <x:v>콘텐츠 데이터</x:v>
      </x:c>
      <x:c r="S243" s="37" t="str">
        <x:v>없음</x:v>
      </x:c>
      <x:c r="T243" s="37" t="str">
        <x:v>L</x:v>
      </x:c>
      <x:c r="U243" s="37" t="str">
        <x:v>미착수</x:v>
      </x:c>
      <x:c r="V243" s="42" t="n">
        <x:f>IF(U243="완료",1,IF(U243="QA 진행 중",0.8,IF(U243="코드 리뷰",0.65,IF(U243="구현 중",0.4,IF(U243="사양 확인 중",0.1,IF(U243="차단",0.4,0))))))</x:f>
        <x:v>0</x:v>
      </x:c>
      <x:c r="W243" s="37" t="str">
        <x:v>미정</x:v>
      </x:c>
      <x:c r="X243" s="40"/>
      <x:c r="Y243" s="37" t="str">
        <x:v>CNT-005,CHR-008</x:v>
      </x:c>
      <x:c r="Z243" s="37" t="str">
        <x:v>중간</x:v>
      </x:c>
      <x:c r="AA243" s="37" t="str">
        <x:v>밸런스</x:v>
      </x:c>
      <x:c r="AB243" s="37" t="str">
        <x:v>TC-CNT-006-01, TC-CNT-006-02</x:v>
      </x:c>
      <x:c r="AC243" s="37"/>
      <x:c r="AD243" s="37" t="str">
        <x:v>게임 기획서</x:v>
      </x:c>
      <x:c r="AE243" s="37"/>
      <x:c r="AF243" s="40" t="str">
        <x:v>2026-07-10</x:v>
      </x:c>
      <x:c r="AG243" s="37"/>
      <x:c r="AH243" s="49"/>
      <x:c r="AI243" s="49"/>
      <x:c r="AJ243" s="48" t="str">
        <x:v>착수 전</x:v>
      </x:c>
    </x:row>
    <x:row r="244" ht="42" customHeight="1">
      <x:c r="A244" s="37" t="str">
        <x:v>CNT-007</x:v>
      </x:c>
      <x:c r="B244" s="37" t="str">
        <x:v>콘텐츠·맵·미니게임</x:v>
      </x:c>
      <x:c r="C244" s="37" t="str">
        <x:v>맵 디자인</x:v>
      </x:c>
      <x:c r="D244" s="37" t="str">
        <x:v>음향 구역</x:v>
      </x:c>
      <x:c r="E244" s="37" t="str">
        <x:v>음성 거리·벽 차폐용 음향 볼륨</x:v>
      </x:c>
      <x:c r="F244" s="37" t="str">
        <x:v>게임 규칙, 운영 요구사항과 대상 플랫폼 제약을 충족하도록 음성 거리·벽 차폐용 음향 볼륨 기능을 구현하고 검증한다.</x:v>
      </x:c>
      <x:c r="G244" s="37" t="str">
        <x:v>방, 문, 통로, 층간에 음향 경계를 설정하고 시각적 벽과 음성 차폐 결과가 일치한다.</x:v>
      </x:c>
      <x:c r="H244" s="37" t="str">
        <x:v>구현, 코드 리뷰, 사양 갱신, 대상 QA 케이스 실행, 로그·텔레메트리 확인과 관련 플랫폼 검증을 완료하고 미해결 P0·P1 결함이 없다.</x:v>
      </x:c>
      <x:c r="I244" s="37" t="str">
        <x:v>알파</x:v>
      </x:c>
      <x:c r="J244" s="37" t="str">
        <x:v>P1</x:v>
      </x:c>
      <x:c r="K244" s="37" t="str">
        <x:v>필수</x:v>
      </x:c>
      <x:c r="L244" s="37" t="str">
        <x:v>음성</x:v>
      </x:c>
      <x:c r="M244" s="37" t="str">
        <x:v>알파</x:v>
      </x:c>
      <x:c r="N244" s="37" t="str">
        <x:v>레벨·게임 디자인</x:v>
      </x:c>
      <x:c r="O244" s="37" t="str">
        <x:v>미정</x:v>
      </x:c>
      <x:c r="P244" s="37" t="str">
        <x:v>미정</x:v>
      </x:c>
      <x:c r="Q244" s="37" t="str">
        <x:v>전체</x:v>
      </x:c>
      <x:c r="R244" s="37" t="str">
        <x:v>콘텐츠 데이터</x:v>
      </x:c>
      <x:c r="S244" s="37" t="str">
        <x:v>없음</x:v>
      </x:c>
      <x:c r="T244" s="37" t="str">
        <x:v>L</x:v>
      </x:c>
      <x:c r="U244" s="37" t="str">
        <x:v>미착수</x:v>
      </x:c>
      <x:c r="V244" s="42" t="n">
        <x:f>IF(U244="완료",1,IF(U244="QA 진행 중",0.8,IF(U244="코드 리뷰",0.65,IF(U244="구현 중",0.4,IF(U244="사양 확인 중",0.1,IF(U244="차단",0.4,0))))))</x:f>
        <x:v>0</x:v>
      </x:c>
      <x:c r="W244" s="37" t="str">
        <x:v>미정</x:v>
      </x:c>
      <x:c r="X244" s="40"/>
      <x:c r="Y244" s="37" t="str">
        <x:v>CNT-005,AUD-005</x:v>
      </x:c>
      <x:c r="Z244" s="37" t="str">
        <x:v>중간</x:v>
      </x:c>
      <x:c r="AA244" s="37" t="str">
        <x:v>사용성</x:v>
      </x:c>
      <x:c r="AB244" s="37" t="str">
        <x:v>TC-CNT-007-01</x:v>
      </x:c>
      <x:c r="AC244" s="37"/>
      <x:c r="AD244" s="37" t="str">
        <x:v>게임 기획서</x:v>
      </x:c>
      <x:c r="AE244" s="37"/>
      <x:c r="AF244" s="40" t="str">
        <x:v>2026-07-10</x:v>
      </x:c>
      <x:c r="AG244" s="37"/>
      <x:c r="AH244" s="49"/>
      <x:c r="AI244" s="49"/>
      <x:c r="AJ244" s="48" t="str">
        <x:v>착수 전</x:v>
      </x:c>
    </x:row>
    <x:row r="245" ht="42" customHeight="1">
      <x:c r="A245" s="37" t="str">
        <x:v>CNT-008</x:v>
      </x:c>
      <x:c r="B245" s="37" t="str">
        <x:v>콘텐츠·맵·미니게임</x:v>
      </x:c>
      <x:c r="C245" s="37" t="str">
        <x:v>맵 디자인</x:v>
      </x:c>
      <x:c r="D245" s="37" t="str">
        <x:v>부착 여유 공간</x:v>
      </x:c>
      <x:c r="E245" s="37" t="str">
        <x:v>메모 부착용 등 뒤 여유 공간</x:v>
      </x:c>
      <x:c r="F245" s="37" t="str">
        <x:v>게임 규칙, 운영 요구사항과 대상 플랫폼 제약을 충족하도록 메모 부착용 등 뒤 여유 공간 기능을 구현하고 검증한다.</x:v>
      </x:c>
      <x:c r="G245" s="37" t="str">
        <x:v>미니게임 단말, 벽 근처, 좁은 통로에서도 등 뒤 판정이 불가능하거나 잘못 동작하지 않도록 필요한 폭을 확보하고 문제 지점을 자동 탐지한다.</x:v>
      </x:c>
      <x:c r="H245" s="37" t="str">
        <x:v>구현, 코드 리뷰, 사양 갱신, 대상 QA 케이스 실행, 로그·텔레메트리 확인과 관련 플랫폼 검증을 완료하고 미해결 P0·P1 결함이 없다.</x:v>
      </x:c>
      <x:c r="I245" s="37" t="str">
        <x:v>MVP</x:v>
      </x:c>
      <x:c r="J245" s="37" t="str">
        <x:v>P0</x:v>
      </x:c>
      <x:c r="K245" s="37" t="str">
        <x:v>필수</x:v>
      </x:c>
      <x:c r="L245" s="37" t="str">
        <x:v>메모</x:v>
      </x:c>
      <x:c r="M245" s="37" t="str">
        <x:v>MVP</x:v>
      </x:c>
      <x:c r="N245" s="37" t="str">
        <x:v>레벨·게임 디자인</x:v>
      </x:c>
      <x:c r="O245" s="37" t="str">
        <x:v>미정</x:v>
      </x:c>
      <x:c r="P245" s="37" t="str">
        <x:v>미정</x:v>
      </x:c>
      <x:c r="Q245" s="37" t="str">
        <x:v>전체</x:v>
      </x:c>
      <x:c r="R245" s="37" t="str">
        <x:v>콘텐츠 데이터</x:v>
      </x:c>
      <x:c r="S245" s="37" t="str">
        <x:v>없음</x:v>
      </x:c>
      <x:c r="T245" s="37" t="str">
        <x:v>M</x:v>
      </x:c>
      <x:c r="U245" s="37" t="str">
        <x:v>미착수</x:v>
      </x:c>
      <x:c r="V245" s="42" t="n">
        <x:f>IF(U245="완료",1,IF(U245="QA 진행 중",0.8,IF(U245="코드 리뷰",0.65,IF(U245="구현 중",0.4,IF(U245="사양 확인 중",0.1,IF(U245="차단",0.4,0))))))</x:f>
        <x:v>0</x:v>
      </x:c>
      <x:c r="W245" s="37" t="str">
        <x:v>미정</x:v>
      </x:c>
      <x:c r="X245" s="40"/>
      <x:c r="Y245" s="37" t="str">
        <x:v>CNT-002,IGM-016</x:v>
      </x:c>
      <x:c r="Z245" s="37" t="str">
        <x:v>중간</x:v>
      </x:c>
      <x:c r="AA245" s="37" t="str">
        <x:v>기능</x:v>
      </x:c>
      <x:c r="AB245" s="37" t="str">
        <x:v>TC-CNT-008-01, TC-CNT-008-02</x:v>
      </x:c>
      <x:c r="AC245" s="37"/>
      <x:c r="AD245" s="37" t="str">
        <x:v>게임 기획서</x:v>
      </x:c>
      <x:c r="AE245" s="37"/>
      <x:c r="AF245" s="40" t="str">
        <x:v>2026-07-10</x:v>
      </x:c>
      <x:c r="AG245" s="37"/>
      <x:c r="AH245" s="49"/>
      <x:c r="AI245" s="49"/>
      <x:c r="AJ245" s="48" t="str">
        <x:v>착수 전</x:v>
      </x:c>
    </x:row>
    <x:row r="246" ht="42" customHeight="1">
      <x:c r="A246" s="37" t="str">
        <x:v>CNT-009</x:v>
      </x:c>
      <x:c r="B246" s="37" t="str">
        <x:v>콘텐츠·맵·미니게임</x:v>
      </x:c>
      <x:c r="C246" s="37" t="str">
        <x:v>맵 디자인</x:v>
      </x:c>
      <x:c r="D246" s="37" t="str">
        <x:v>스테이션 배치</x:v>
      </x:c>
      <x:c r="E246" s="37" t="str">
        <x:v>미니게임 단말 배치·분산</x:v>
      </x:c>
      <x:c r="F246" s="37" t="str">
        <x:v>게임 규칙, 운영 요구사항과 대상 플랫폼 제약을 충족하도록 미니게임 단말 배치·분산 기능을 구현하고 검증한다.</x:v>
      </x:c>
      <x:c r="G246" s="37" t="str">
        <x:v>3~5종의 단말을 편중 없이 배치해 모든 플레이어가 한 지점에 지나치게 집중하지 않고 고립과 알리바이 선택이 발생하도록 한다.</x:v>
      </x:c>
      <x:c r="H246" s="37" t="str">
        <x:v>구현, 코드 리뷰, 사양 갱신, 대상 QA 케이스 실행, 로그·텔레메트리 확인과 관련 플랫폼 검증을 완료하고 미해결 P0·P1 결함이 없다.</x:v>
      </x:c>
      <x:c r="I246" s="37" t="str">
        <x:v>MVP</x:v>
      </x:c>
      <x:c r="J246" s="37" t="str">
        <x:v>P0</x:v>
      </x:c>
      <x:c r="K246" s="37" t="str">
        <x:v>필수</x:v>
      </x:c>
      <x:c r="L246" s="37" t="str">
        <x:v>콘텐츠</x:v>
      </x:c>
      <x:c r="M246" s="37" t="str">
        <x:v>MVP</x:v>
      </x:c>
      <x:c r="N246" s="37" t="str">
        <x:v>레벨·게임 디자인</x:v>
      </x:c>
      <x:c r="O246" s="37" t="str">
        <x:v>미정</x:v>
      </x:c>
      <x:c r="P246" s="37" t="str">
        <x:v>미정</x:v>
      </x:c>
      <x:c r="Q246" s="37" t="str">
        <x:v>전체</x:v>
      </x:c>
      <x:c r="R246" s="37" t="str">
        <x:v>콘텐츠 데이터</x:v>
      </x:c>
      <x:c r="S246" s="37" t="str">
        <x:v>없음</x:v>
      </x:c>
      <x:c r="T246" s="37" t="str">
        <x:v>M</x:v>
      </x:c>
      <x:c r="U246" s="37" t="str">
        <x:v>미착수</x:v>
      </x:c>
      <x:c r="V246" s="42" t="n">
        <x:f>IF(U246="완료",1,IF(U246="QA 진행 중",0.8,IF(U246="코드 리뷰",0.65,IF(U246="구현 중",0.4,IF(U246="사양 확인 중",0.1,IF(U246="차단",0.4,0))))))</x:f>
        <x:v>0</x:v>
      </x:c>
      <x:c r="W246" s="37" t="str">
        <x:v>미정</x:v>
      </x:c>
      <x:c r="X246" s="40"/>
      <x:c r="Y246" s="37" t="str">
        <x:v>CNT-002,CNT-017</x:v>
      </x:c>
      <x:c r="Z246" s="37" t="str">
        <x:v>중간</x:v>
      </x:c>
      <x:c r="AA246" s="37" t="str">
        <x:v>밸런스</x:v>
      </x:c>
      <x:c r="AB246" s="37" t="str">
        <x:v>TC-CNT-009-01, TC-CNT-009-02</x:v>
      </x:c>
      <x:c r="AC246" s="37"/>
      <x:c r="AD246" s="37" t="str">
        <x:v>게임 기획서</x:v>
      </x:c>
      <x:c r="AE246" s="37"/>
      <x:c r="AF246" s="40" t="str">
        <x:v>2026-07-10</x:v>
      </x:c>
      <x:c r="AG246" s="37"/>
      <x:c r="AH246" s="49"/>
      <x:c r="AI246" s="49"/>
      <x:c r="AJ246" s="48" t="str">
        <x:v>착수 전</x:v>
      </x:c>
    </x:row>
    <x:row r="247" ht="42" customHeight="1">
      <x:c r="A247" s="37" t="str">
        <x:v>CNT-010</x:v>
      </x:c>
      <x:c r="B247" s="37" t="str">
        <x:v>콘텐츠·맵·미니게임</x:v>
      </x:c>
      <x:c r="C247" s="37" t="str">
        <x:v>맵 UX</x:v>
      </x:c>
      <x:c r="D247" s="37" t="str">
        <x:v>랜드마크</x:v>
      </x:c>
      <x:c r="E247" s="37" t="str">
        <x:v>랜드마크·방 이름·방향 안내</x:v>
      </x:c>
      <x:c r="F247" s="37" t="str">
        <x:v>게임 규칙, 운영 요구사항과 대상 플랫폼 제약을 충족하도록 랜드마크·방 이름·방향 안내 기능을 구현하고 검증한다.</x:v>
      </x:c>
      <x:c r="G247" s="37" t="str">
        <x:v>플레이어가 대화로 위치를 공유할 수 있는 고유한 외형과 이름을 제공하고 색상만에 의존하지 않는 길 안내를 사용한다.</x:v>
      </x:c>
      <x:c r="H247" s="37" t="str">
        <x:v>구현, 코드 리뷰, 사양 갱신, 대상 QA 케이스 실행, 로그·텔레메트리 확인과 관련 플랫폼 검증을 완료하고 미해결 P0·P1 결함이 없다.</x:v>
      </x:c>
      <x:c r="I247" s="37" t="str">
        <x:v>MVP</x:v>
      </x:c>
      <x:c r="J247" s="37" t="str">
        <x:v>P1</x:v>
      </x:c>
      <x:c r="K247" s="37" t="str">
        <x:v>필수</x:v>
      </x:c>
      <x:c r="L247" s="37" t="str">
        <x:v>이해도</x:v>
      </x:c>
      <x:c r="M247" s="37" t="str">
        <x:v>MVP</x:v>
      </x:c>
      <x:c r="N247" s="37" t="str">
        <x:v>레벨·게임 디자인</x:v>
      </x:c>
      <x:c r="O247" s="37" t="str">
        <x:v>미정</x:v>
      </x:c>
      <x:c r="P247" s="37" t="str">
        <x:v>미정</x:v>
      </x:c>
      <x:c r="Q247" s="37" t="str">
        <x:v>전체</x:v>
      </x:c>
      <x:c r="R247" s="37" t="str">
        <x:v>콘텐츠 데이터</x:v>
      </x:c>
      <x:c r="S247" s="37" t="str">
        <x:v>없음</x:v>
      </x:c>
      <x:c r="T247" s="37" t="str">
        <x:v>M</x:v>
      </x:c>
      <x:c r="U247" s="37" t="str">
        <x:v>미착수</x:v>
      </x:c>
      <x:c r="V247" s="42" t="n">
        <x:f>IF(U247="완료",1,IF(U247="QA 진행 중",0.8,IF(U247="코드 리뷰",0.65,IF(U247="구현 중",0.4,IF(U247="사양 확인 중",0.1,IF(U247="차단",0.4,0))))))</x:f>
        <x:v>0</x:v>
      </x:c>
      <x:c r="W247" s="37" t="str">
        <x:v>미정</x:v>
      </x:c>
      <x:c r="X247" s="40"/>
      <x:c r="Y247" s="37" t="str">
        <x:v>CNT-005,UIX-001</x:v>
      </x:c>
      <x:c r="Z247" s="37" t="str">
        <x:v>중간</x:v>
      </x:c>
      <x:c r="AA247" s="37" t="str">
        <x:v>사용성</x:v>
      </x:c>
      <x:c r="AB247" s="37" t="str">
        <x:v>TC-CNT-010-01</x:v>
      </x:c>
      <x:c r="AC247" s="37"/>
      <x:c r="AD247" s="37" t="str">
        <x:v>게임 기획서</x:v>
      </x:c>
      <x:c r="AE247" s="37"/>
      <x:c r="AF247" s="40" t="str">
        <x:v>2026-07-10</x:v>
      </x:c>
      <x:c r="AG247" s="37"/>
      <x:c r="AH247" s="49"/>
      <x:c r="AI247" s="49"/>
      <x:c r="AJ247" s="48" t="str">
        <x:v>착수 전</x:v>
      </x:c>
    </x:row>
    <x:row r="248" ht="42" customHeight="1">
      <x:c r="A248" s="37" t="str">
        <x:v>CNT-011</x:v>
      </x:c>
      <x:c r="B248" s="37" t="str">
        <x:v>콘텐츠·맵·미니게임</x:v>
      </x:c>
      <x:c r="C248" s="37" t="str">
        <x:v>맵 아트</x:v>
      </x:c>
      <x:c r="D248" s="37" t="str">
        <x:v>조명</x:v>
      </x:c>
      <x:c r="E248" s="37" t="str">
        <x:v>색상·LED·메모 판독성 조명</x:v>
      </x:c>
      <x:c r="F248" s="37" t="str">
        <x:v>게임 규칙, 운영 요구사항과 대상 플랫폼 제약을 충족하도록 색상·LED·메모 판독성 조명 기능을 구현하고 검증한다.</x:v>
      </x:c>
      <x:c r="G248" s="37" t="str">
        <x:v>낮·밤 연출에서도 플레이어 색상과 메모 색상을 식별할 수 있고 과도한 색 번짐, 블룸, 암부, 점멸을 피한다.</x:v>
      </x:c>
      <x:c r="H248" s="37" t="str">
        <x:v>구현, 코드 리뷰, 사양 갱신, 대상 QA 케이스 실행, 로그·텔레메트리 확인과 관련 플랫폼 검증을 완료하고 미해결 P0·P1 결함이 없다.</x:v>
      </x:c>
      <x:c r="I248" s="37" t="str">
        <x:v>MVP</x:v>
      </x:c>
      <x:c r="J248" s="37" t="str">
        <x:v>P0</x:v>
      </x:c>
      <x:c r="K248" s="37" t="str">
        <x:v>필수</x:v>
      </x:c>
      <x:c r="L248" s="37" t="str">
        <x:v>판독성</x:v>
      </x:c>
      <x:c r="M248" s="37" t="str">
        <x:v>MVP</x:v>
      </x:c>
      <x:c r="N248" s="37" t="str">
        <x:v>레벨·게임 디자인</x:v>
      </x:c>
      <x:c r="O248" s="37" t="str">
        <x:v>미정</x:v>
      </x:c>
      <x:c r="P248" s="37" t="str">
        <x:v>미정</x:v>
      </x:c>
      <x:c r="Q248" s="37" t="str">
        <x:v>전체</x:v>
      </x:c>
      <x:c r="R248" s="37" t="str">
        <x:v>콘텐츠 데이터</x:v>
      </x:c>
      <x:c r="S248" s="37" t="str">
        <x:v>없음</x:v>
      </x:c>
      <x:c r="T248" s="37" t="str">
        <x:v>L</x:v>
      </x:c>
      <x:c r="U248" s="37" t="str">
        <x:v>미착수</x:v>
      </x:c>
      <x:c r="V248" s="42" t="n">
        <x:f>IF(U248="완료",1,IF(U248="QA 진행 중",0.8,IF(U248="코드 리뷰",0.65,IF(U248="구현 중",0.4,IF(U248="사양 확인 중",0.1,IF(U248="차단",0.4,0))))))</x:f>
        <x:v>0</x:v>
      </x:c>
      <x:c r="W248" s="37" t="str">
        <x:v>미정</x:v>
      </x:c>
      <x:c r="X248" s="40"/>
      <x:c r="Y248" s="37" t="str">
        <x:v>CHR-005,CHR-011,CNT-003</x:v>
      </x:c>
      <x:c r="Z248" s="37" t="str">
        <x:v>중간</x:v>
      </x:c>
      <x:c r="AA248" s="37" t="str">
        <x:v>접근성</x:v>
      </x:c>
      <x:c r="AB248" s="37" t="str">
        <x:v>TC-CNT-011-01, TC-CNT-011-02</x:v>
      </x:c>
      <x:c r="AC248" s="37"/>
      <x:c r="AD248" s="37" t="str">
        <x:v>게임 기획서</x:v>
      </x:c>
      <x:c r="AE248" s="37"/>
      <x:c r="AF248" s="40" t="str">
        <x:v>2026-07-10</x:v>
      </x:c>
      <x:c r="AG248" s="37"/>
      <x:c r="AH248" s="49"/>
      <x:c r="AI248" s="49"/>
      <x:c r="AJ248" s="48" t="str">
        <x:v>착수 전</x:v>
      </x:c>
    </x:row>
    <x:row r="249" ht="42" customHeight="1">
      <x:c r="A249" s="37" t="str">
        <x:v>CNT-012</x:v>
      </x:c>
      <x:c r="B249" s="37" t="str">
        <x:v>콘텐츠·맵·미니게임</x:v>
      </x:c>
      <x:c r="C249" s="37" t="str">
        <x:v>맵 테크</x:v>
      </x:c>
      <x:c r="D249" s="37" t="str">
        <x:v>충돌·경계</x:v>
      </x:c>
      <x:c r="E249" s="37" t="str">
        <x:v>충돌·낙하·끼임·맵 이탈 방지</x:v>
      </x:c>
      <x:c r="F249" s="37" t="str">
        <x:v>게임 규칙, 운영 요구사항과 대상 플랫폼 제약을 충족하도록 충돌·낙하·끼임·맵 이탈 방지 기능을 구현하고 검증한다.</x:v>
      </x:c>
      <x:c r="G249" s="37" t="str">
        <x:v>이동, 밤 집결, 재접속, 메모 부착 중 끼임, 낙하, 맵 이탈이 없고 복귀 볼륨과 서버 위치 검증을 제공한다.</x:v>
      </x:c>
      <x:c r="H249" s="37" t="str">
        <x:v>구현, 코드 리뷰, 사양 갱신, 대상 QA 케이스 실행, 로그·텔레메트리 확인과 관련 플랫폼 검증을 완료하고 미해결 P0·P1 결함이 없다.</x:v>
      </x:c>
      <x:c r="I249" s="37" t="str">
        <x:v>MVP</x:v>
      </x:c>
      <x:c r="J249" s="37" t="str">
        <x:v>P0</x:v>
      </x:c>
      <x:c r="K249" s="37" t="str">
        <x:v>필수</x:v>
      </x:c>
      <x:c r="L249" s="37" t="str">
        <x:v>안정성</x:v>
      </x:c>
      <x:c r="M249" s="37" t="str">
        <x:v>MVP</x:v>
      </x:c>
      <x:c r="N249" s="37" t="str">
        <x:v>레벨·게임 디자인</x:v>
      </x:c>
      <x:c r="O249" s="37" t="str">
        <x:v>미정</x:v>
      </x:c>
      <x:c r="P249" s="37" t="str">
        <x:v>미정</x:v>
      </x:c>
      <x:c r="Q249" s="37" t="str">
        <x:v>전체</x:v>
      </x:c>
      <x:c r="R249" s="37" t="str">
        <x:v>서버 권한</x:v>
      </x:c>
      <x:c r="S249" s="37" t="str">
        <x:v>없음</x:v>
      </x:c>
      <x:c r="T249" s="37" t="str">
        <x:v>L</x:v>
      </x:c>
      <x:c r="U249" s="37" t="str">
        <x:v>미착수</x:v>
      </x:c>
      <x:c r="V249" s="42" t="n">
        <x:f>IF(U249="완료",1,IF(U249="QA 진행 중",0.8,IF(U249="코드 리뷰",0.65,IF(U249="구현 중",0.4,IF(U249="사양 확인 중",0.1,IF(U249="차단",0.4,0))))))</x:f>
        <x:v>0</x:v>
      </x:c>
      <x:c r="W249" s="37" t="str">
        <x:v>미정</x:v>
      </x:c>
      <x:c r="X249" s="40"/>
      <x:c r="Y249" s="37" t="str">
        <x:v>CNT-002,NET-009</x:v>
      </x:c>
      <x:c r="Z249" s="37" t="str">
        <x:v>중간</x:v>
      </x:c>
      <x:c r="AA249" s="37" t="str">
        <x:v>기능</x:v>
      </x:c>
      <x:c r="AB249" s="37" t="str">
        <x:v>TC-CNT-012-01, TC-CNT-012-02</x:v>
      </x:c>
      <x:c r="AC249" s="37"/>
      <x:c r="AD249" s="37" t="str">
        <x:v>게임 기획서</x:v>
      </x:c>
      <x:c r="AE249" s="37"/>
      <x:c r="AF249" s="40" t="str">
        <x:v>2026-07-10</x:v>
      </x:c>
      <x:c r="AG249" s="37"/>
      <x:c r="AH249" s="49"/>
      <x:c r="AI249" s="49"/>
      <x:c r="AJ249" s="48" t="str">
        <x:v>착수 전</x:v>
      </x:c>
    </x:row>
    <x:row r="250" ht="42" customHeight="1">
      <x:c r="A250" s="37" t="str">
        <x:v>CNT-013</x:v>
      </x:c>
      <x:c r="B250" s="37" t="str">
        <x:v>콘텐츠·맵·미니게임</x:v>
      </x:c>
      <x:c r="C250" s="37" t="str">
        <x:v>맵 테크</x:v>
      </x:c>
      <x:c r="D250" s="37" t="str">
        <x:v>카메라·FOV</x:v>
      </x:c>
      <x:c r="E250" s="37" t="str">
        <x:v>카메라 충돌·FOV별 판독성</x:v>
      </x:c>
      <x:c r="F250" s="37" t="str">
        <x:v>게임 규칙, 운영 요구사항과 대상 플랫폼 제약을 충족하도록 카메라 충돌·FOV별 판독성 기능을 구현하고 검증한다.</x:v>
      </x:c>
      <x:c r="G250" s="37" t="str">
        <x:v>벽 근처와 좁은 공간에서 카메라가 등 메모를 투시하거나 가리지 않고 지원 FOV와 화면 비율에서 주요 정보가 표시된다.</x:v>
      </x:c>
      <x:c r="H250" s="37" t="str">
        <x:v>구현, 코드 리뷰, 사양 갱신, 대상 QA 케이스 실행, 로그·텔레메트리 확인과 관련 플랫폼 검증을 완료하고 미해결 P0·P1 결함이 없다.</x:v>
      </x:c>
      <x:c r="I250" s="37" t="str">
        <x:v>MVP</x:v>
      </x:c>
      <x:c r="J250" s="37" t="str">
        <x:v>P0</x:v>
      </x:c>
      <x:c r="K250" s="37" t="str">
        <x:v>필수</x:v>
      </x:c>
      <x:c r="L250" s="37" t="str">
        <x:v>판독성</x:v>
      </x:c>
      <x:c r="M250" s="37" t="str">
        <x:v>MVP</x:v>
      </x:c>
      <x:c r="N250" s="37" t="str">
        <x:v>레벨·게임 디자인</x:v>
      </x:c>
      <x:c r="O250" s="37" t="str">
        <x:v>미정</x:v>
      </x:c>
      <x:c r="P250" s="37" t="str">
        <x:v>미정</x:v>
      </x:c>
      <x:c r="Q250" s="37" t="str">
        <x:v>전체</x:v>
      </x:c>
      <x:c r="R250" s="37" t="str">
        <x:v>클라이언트 로컬</x:v>
      </x:c>
      <x:c r="S250" s="37" t="str">
        <x:v>없음</x:v>
      </x:c>
      <x:c r="T250" s="37" t="str">
        <x:v>L</x:v>
      </x:c>
      <x:c r="U250" s="37" t="str">
        <x:v>미착수</x:v>
      </x:c>
      <x:c r="V250" s="42" t="n">
        <x:f>IF(U250="완료",1,IF(U250="QA 진행 중",0.8,IF(U250="코드 리뷰",0.65,IF(U250="구현 중",0.4,IF(U250="사양 확인 중",0.1,IF(U250="차단",0.4,0))))))</x:f>
        <x:v>0</x:v>
      </x:c>
      <x:c r="W250" s="37" t="str">
        <x:v>미정</x:v>
      </x:c>
      <x:c r="X250" s="40"/>
      <x:c r="Y250" s="37" t="str">
        <x:v>CNT-005,UIX-014,SET-005</x:v>
      </x:c>
      <x:c r="Z250" s="37" t="str">
        <x:v>중간</x:v>
      </x:c>
      <x:c r="AA250" s="37" t="str">
        <x:v>호환성</x:v>
      </x:c>
      <x:c r="AB250" s="37" t="str">
        <x:v>TC-CNT-013-01, TC-CNT-013-02</x:v>
      </x:c>
      <x:c r="AC250" s="37"/>
      <x:c r="AD250" s="37" t="str">
        <x:v>게임 기획서</x:v>
      </x:c>
      <x:c r="AE250" s="37"/>
      <x:c r="AF250" s="40" t="str">
        <x:v>2026-07-10</x:v>
      </x:c>
      <x:c r="AG250" s="37"/>
      <x:c r="AH250" s="49"/>
      <x:c r="AI250" s="49"/>
      <x:c r="AJ250" s="48" t="str">
        <x:v>착수 전</x:v>
      </x:c>
    </x:row>
    <x:row r="251" ht="42" customHeight="1">
      <x:c r="A251" s="37" t="str">
        <x:v>CNT-014</x:v>
      </x:c>
      <x:c r="B251" s="37" t="str">
        <x:v>콘텐츠·맵·미니게임</x:v>
      </x:c>
      <x:c r="C251" s="37" t="str">
        <x:v>맵 테크</x:v>
      </x:c>
      <x:c r="D251" s="37" t="str">
        <x:v>성능</x:v>
      </x:c>
      <x:c r="E251" s="37" t="str">
        <x:v>렌더링·물리·음향·메모 표시 예산</x:v>
      </x:c>
      <x:c r="F251" s="37" t="str">
        <x:v>게임 규칙, 운영 요구사항과 대상 플랫폼 제약을 충족하도록 렌더링·물리·음향·메모 표시 예산 기능을 구현하고 검증한다.</x:v>
      </x:c>
      <x:c r="G251" s="37" t="str">
        <x:v>6명, 최대 메모, 모든 단말, 음성, LED가 동작하는 조건에서 최소·권장 환경의 CPU, GPU, 메모리 예산을 충족한다.</x:v>
      </x:c>
      <x:c r="H251" s="37" t="str">
        <x:v>구현, 코드 리뷰, 사양 갱신, 대상 QA 케이스 실행, 로그·텔레메트리 확인과 관련 플랫폼 검증을 완료하고 미해결 P0·P1 결함이 없다.</x:v>
      </x:c>
      <x:c r="I251" s="37" t="str">
        <x:v>릴리스 후보</x:v>
      </x:c>
      <x:c r="J251" s="37" t="str">
        <x:v>P0</x:v>
      </x:c>
      <x:c r="K251" s="37" t="str">
        <x:v>필수</x:v>
      </x:c>
      <x:c r="L251" s="37" t="str">
        <x:v>성능</x:v>
      </x:c>
      <x:c r="M251" s="37" t="str">
        <x:v>릴리스 후보</x:v>
      </x:c>
      <x:c r="N251" s="37" t="str">
        <x:v>레벨·게임 디자인</x:v>
      </x:c>
      <x:c r="O251" s="37" t="str">
        <x:v>미정</x:v>
      </x:c>
      <x:c r="P251" s="37" t="str">
        <x:v>미정</x:v>
      </x:c>
      <x:c r="Q251" s="37" t="str">
        <x:v>전체</x:v>
      </x:c>
      <x:c r="R251" s="37" t="str">
        <x:v>해당 없음</x:v>
      </x:c>
      <x:c r="S251" s="37" t="str">
        <x:v>없음</x:v>
      </x:c>
      <x:c r="T251" s="37" t="str">
        <x:v>XL</x:v>
      </x:c>
      <x:c r="U251" s="37" t="str">
        <x:v>미착수</x:v>
      </x:c>
      <x:c r="V251" s="42" t="n">
        <x:f>IF(U251="완료",1,IF(U251="QA 진행 중",0.8,IF(U251="코드 리뷰",0.65,IF(U251="구현 중",0.4,IF(U251="사양 확인 중",0.1,IF(U251="차단",0.4,0))))))</x:f>
        <x:v>0</x:v>
      </x:c>
      <x:c r="W251" s="37" t="str">
        <x:v>미정</x:v>
      </x:c>
      <x:c r="X251" s="40"/>
      <x:c r="Y251" s="37" t="str">
        <x:v>CNT-011,CNT-012,CHR-027,AUD-022</x:v>
      </x:c>
      <x:c r="Z251" s="37" t="str">
        <x:v>중간</x:v>
      </x:c>
      <x:c r="AA251" s="37" t="str">
        <x:v>성능</x:v>
      </x:c>
      <x:c r="AB251" s="37" t="str">
        <x:v>TC-CNT-014-01, TC-CNT-014-02</x:v>
      </x:c>
      <x:c r="AC251" s="37"/>
      <x:c r="AD251" s="37" t="str">
        <x:v>게임 기획서</x:v>
      </x:c>
      <x:c r="AE251" s="37"/>
      <x:c r="AF251" s="40" t="str">
        <x:v>2026-07-10</x:v>
      </x:c>
      <x:c r="AG251" s="37"/>
      <x:c r="AH251" s="49"/>
      <x:c r="AI251" s="49"/>
      <x:c r="AJ251" s="48" t="str">
        <x:v>착수 전</x:v>
      </x:c>
    </x:row>
    <x:row r="252" ht="42" customHeight="1">
      <x:c r="A252" s="37" t="str">
        <x:v>CNT-015</x:v>
      </x:c>
      <x:c r="B252" s="37" t="str">
        <x:v>콘텐츠·맵·미니게임</x:v>
      </x:c>
      <x:c r="C252" s="37" t="str">
        <x:v>콘텐츠 파이프라인</x:v>
      </x:c>
      <x:c r="D252" s="37" t="str">
        <x:v>맵 검증기</x:v>
      </x:c>
      <x:c r="E252" s="37" t="str">
        <x:v>맵 자동 검증 도구</x:v>
      </x:c>
      <x:c r="F252" s="37" t="str">
        <x:v>게임 규칙, 운영 요구사항과 대상 플랫폼 제약을 충족하도록 맵 자동 검증 도구 기능을 구현하고 검증한다.</x:v>
      </x:c>
      <x:c r="G252" s="37" t="str">
        <x:v>스폰, 단말, 내비게이션, 음향, 부착 여유 공간, 중앙 시인성, 금지 볼륨, LOD, 명명 규칙을 CI에서 검사한다.</x:v>
      </x:c>
      <x:c r="H252" s="37" t="str">
        <x:v>구현, 코드 리뷰, 사양 갱신, 대상 QA 케이스 실행, 로그·텔레메트리 확인과 관련 플랫폼 검증을 완료하고 미해결 P0·P1 결함이 없다.</x:v>
      </x:c>
      <x:c r="I252" s="37" t="str">
        <x:v>알파</x:v>
      </x:c>
      <x:c r="J252" s="37" t="str">
        <x:v>P1</x:v>
      </x:c>
      <x:c r="K252" s="37" t="str">
        <x:v>필수</x:v>
      </x:c>
      <x:c r="L252" s="37" t="str">
        <x:v>제작 기반</x:v>
      </x:c>
      <x:c r="M252" s="37" t="str">
        <x:v>알파</x:v>
      </x:c>
      <x:c r="N252" s="37" t="str">
        <x:v>레벨·게임 디자인</x:v>
      </x:c>
      <x:c r="O252" s="37" t="str">
        <x:v>미정</x:v>
      </x:c>
      <x:c r="P252" s="37" t="str">
        <x:v>미정</x:v>
      </x:c>
      <x:c r="Q252" s="37" t="str">
        <x:v>도구</x:v>
      </x:c>
      <x:c r="R252" s="37" t="str">
        <x:v>해당 없음</x:v>
      </x:c>
      <x:c r="S252" s="37" t="str">
        <x:v>없음</x:v>
      </x:c>
      <x:c r="T252" s="37" t="str">
        <x:v>XL</x:v>
      </x:c>
      <x:c r="U252" s="37" t="str">
        <x:v>미착수</x:v>
      </x:c>
      <x:c r="V252" s="42" t="n">
        <x:f>IF(U252="완료",1,IF(U252="QA 진행 중",0.8,IF(U252="코드 리뷰",0.65,IF(U252="구현 중",0.4,IF(U252="사양 확인 중",0.1,IF(U252="차단",0.4,0))))))</x:f>
        <x:v>0</x:v>
      </x:c>
      <x:c r="W252" s="37" t="str">
        <x:v>미정</x:v>
      </x:c>
      <x:c r="X252" s="40"/>
      <x:c r="Y252" s="37" t="str">
        <x:v>CNT-003,CNT-004,CNT-007,CNT-008,CNT-009</x:v>
      </x:c>
      <x:c r="Z252" s="37" t="str">
        <x:v>중간</x:v>
      </x:c>
      <x:c r="AA252" s="37" t="str">
        <x:v>운영</x:v>
      </x:c>
      <x:c r="AB252" s="37" t="str">
        <x:v>TC-CNT-015-01</x:v>
      </x:c>
      <x:c r="AC252" s="37"/>
      <x:c r="AD252" s="37" t="str">
        <x:v>게임 기획서</x:v>
      </x:c>
      <x:c r="AE252" s="37"/>
      <x:c r="AF252" s="40" t="str">
        <x:v>2026-07-10</x:v>
      </x:c>
      <x:c r="AG252" s="37"/>
      <x:c r="AH252" s="49"/>
      <x:c r="AI252" s="49"/>
      <x:c r="AJ252" s="48" t="str">
        <x:v>착수 전</x:v>
      </x:c>
    </x:row>
    <x:row r="253" ht="42" customHeight="1">
      <x:c r="A253" s="37" t="str">
        <x:v>CNT-016</x:v>
      </x:c>
      <x:c r="B253" s="37" t="str">
        <x:v>콘텐츠·맵·미니게임</x:v>
      </x:c>
      <x:c r="C253" s="37" t="str">
        <x:v>콘텐츠 파이프라인</x:v>
      </x:c>
      <x:c r="D253" s="37" t="str">
        <x:v>데이터 스키마</x:v>
      </x:c>
      <x:c r="E253" s="37" t="str">
        <x:v>미니게임·맵 데이터 정의 스키마</x:v>
      </x:c>
      <x:c r="F253" s="37" t="str">
        <x:v>게임 규칙, 운영 요구사항과 대상 플랫폼 제약을 충족하도록 미니게임·맵 데이터 정의 스키마 기능을 구현하고 검증한다.</x:v>
      </x:c>
      <x:c r="G253" s="37" t="str">
        <x:v>ID, 버전, 난이도, 소요 시간, 보상, 입력, 지원 인원, 배치 조건, 현지화, 분석 이벤트를 데이터로 정의한다.</x:v>
      </x:c>
      <x:c r="H253" s="37" t="str">
        <x:v>구현, 코드 리뷰, 사양 갱신, 대상 QA 케이스 실행, 로그·텔레메트리 확인과 관련 플랫폼 검증을 완료하고 미해결 P0·P1 결함이 없다.</x:v>
      </x:c>
      <x:c r="I253" s="37" t="str">
        <x:v>MVP</x:v>
      </x:c>
      <x:c r="J253" s="37" t="str">
        <x:v>P0</x:v>
      </x:c>
      <x:c r="K253" s="37" t="str">
        <x:v>필수</x:v>
      </x:c>
      <x:c r="L253" s="37" t="str">
        <x:v>제작 기반</x:v>
      </x:c>
      <x:c r="M253" s="37" t="str">
        <x:v>MVP</x:v>
      </x:c>
      <x:c r="N253" s="37" t="str">
        <x:v>레벨·게임 디자인</x:v>
      </x:c>
      <x:c r="O253" s="37" t="str">
        <x:v>미정</x:v>
      </x:c>
      <x:c r="P253" s="37" t="str">
        <x:v>미정</x:v>
      </x:c>
      <x:c r="Q253" s="37" t="str">
        <x:v>도구</x:v>
      </x:c>
      <x:c r="R253" s="37" t="str">
        <x:v>콘텐츠 데이터</x:v>
      </x:c>
      <x:c r="S253" s="37" t="str">
        <x:v>백엔드</x:v>
      </x:c>
      <x:c r="T253" s="37" t="str">
        <x:v>L</x:v>
      </x:c>
      <x:c r="U253" s="37" t="str">
        <x:v>미착수</x:v>
      </x:c>
      <x:c r="V253" s="42" t="n">
        <x:f>IF(U253="완료",1,IF(U253="QA 진행 중",0.8,IF(U253="코드 리뷰",0.65,IF(U253="구현 중",0.4,IF(U253="사양 확인 중",0.1,IF(U253="차단",0.4,0))))))</x:f>
        <x:v>0</x:v>
      </x:c>
      <x:c r="W253" s="37" t="str">
        <x:v>미정</x:v>
      </x:c>
      <x:c r="X253" s="40"/>
      <x:c r="Y253" s="37" t="str">
        <x:v>BED-015</x:v>
      </x:c>
      <x:c r="Z253" s="37" t="str">
        <x:v>중간</x:v>
      </x:c>
      <x:c r="AA253" s="37" t="str">
        <x:v>호환성</x:v>
      </x:c>
      <x:c r="AB253" s="37" t="str">
        <x:v>TC-CNT-016-01, TC-CNT-016-02</x:v>
      </x:c>
      <x:c r="AC253" s="37"/>
      <x:c r="AD253" s="37" t="str">
        <x:v>게임 기획서</x:v>
      </x:c>
      <x:c r="AE253" s="37"/>
      <x:c r="AF253" s="40" t="str">
        <x:v>2026-07-10</x:v>
      </x:c>
      <x:c r="AG253" s="37"/>
      <x:c r="AH253" s="49"/>
      <x:c r="AI253" s="49"/>
      <x:c r="AJ253" s="48" t="str">
        <x:v>착수 전</x:v>
      </x:c>
    </x:row>
    <x:row r="254" ht="42" customHeight="1">
      <x:c r="A254" s="37" t="str">
        <x:v>CNT-017</x:v>
      </x:c>
      <x:c r="B254" s="37" t="str">
        <x:v>콘텐츠·맵·미니게임</x:v>
      </x:c>
      <x:c r="C254" s="37" t="str">
        <x:v>미니게임 프레임워크</x:v>
      </x:c>
      <x:c r="D254" s="37" t="str">
        <x:v>런타임</x:v>
      </x:c>
      <x:c r="E254" s="37" t="str">
        <x:v>미니게임 공통 실행 프레임워크</x:v>
      </x:c>
      <x:c r="F254" s="37" t="str">
        <x:v>게임 규칙, 운영 요구사항과 대상 플랫폼 제약을 충족하도록 미니게임 공통 실행 프레임워크 기능을 구현하고 검증한다.</x:v>
      </x:c>
      <x:c r="G254" s="37" t="str">
        <x:v>시작, 입력, 타이머, 성공, 실패, 중단, 이탈, 페이즈 종료를 공통 상태로 처리하고 게임 본체 상태 머신과 충돌하지 않는다.</x:v>
      </x:c>
      <x:c r="H254" s="37" t="str">
        <x:v>구현, 코드 리뷰, 사양 갱신, 대상 QA 케이스 실행, 로그·텔레메트리 확인과 관련 플랫폼 검증을 완료하고 미해결 P0·P1 결함이 없다.</x:v>
      </x:c>
      <x:c r="I254" s="37" t="str">
        <x:v>MVP</x:v>
      </x:c>
      <x:c r="J254" s="37" t="str">
        <x:v>P0</x:v>
      </x:c>
      <x:c r="K254" s="37" t="str">
        <x:v>필수</x:v>
      </x:c>
      <x:c r="L254" s="37" t="str">
        <x:v>콘텐츠</x:v>
      </x:c>
      <x:c r="M254" s="37" t="str">
        <x:v>MVP</x:v>
      </x:c>
      <x:c r="N254" s="37" t="str">
        <x:v>레벨·게임 디자인</x:v>
      </x:c>
      <x:c r="O254" s="37" t="str">
        <x:v>미정</x:v>
      </x:c>
      <x:c r="P254" s="37" t="str">
        <x:v>미정</x:v>
      </x:c>
      <x:c r="Q254" s="37" t="str">
        <x:v>전체</x:v>
      </x:c>
      <x:c r="R254" s="37" t="str">
        <x:v>서버 권한</x:v>
      </x:c>
      <x:c r="S254" s="37" t="str">
        <x:v>매치</x:v>
      </x:c>
      <x:c r="T254" s="37" t="str">
        <x:v>XL</x:v>
      </x:c>
      <x:c r="U254" s="37" t="str">
        <x:v>미착수</x:v>
      </x:c>
      <x:c r="V254" s="42" t="n">
        <x:f>IF(U254="완료",1,IF(U254="QA 진행 중",0.8,IF(U254="코드 리뷰",0.65,IF(U254="구현 중",0.4,IF(U254="사양 확인 중",0.1,IF(U254="차단",0.4,0))))))</x:f>
        <x:v>0</x:v>
      </x:c>
      <x:c r="W254" s="37" t="str">
        <x:v>미정</x:v>
      </x:c>
      <x:c r="X254" s="40"/>
      <x:c r="Y254" s="37" t="str">
        <x:v>CNT-016,IGM-005</x:v>
      </x:c>
      <x:c r="Z254" s="37" t="str">
        <x:v>중간</x:v>
      </x:c>
      <x:c r="AA254" s="37" t="str">
        <x:v>통합</x:v>
      </x:c>
      <x:c r="AB254" s="37" t="str">
        <x:v>TC-CNT-017-01, TC-CNT-017-02</x:v>
      </x:c>
      <x:c r="AC254" s="37"/>
      <x:c r="AD254" s="37" t="str">
        <x:v>게임 기획서</x:v>
      </x:c>
      <x:c r="AE254" s="37"/>
      <x:c r="AF254" s="40" t="str">
        <x:v>2026-07-10</x:v>
      </x:c>
      <x:c r="AG254" s="37"/>
      <x:c r="AH254" s="49"/>
      <x:c r="AI254" s="49"/>
      <x:c r="AJ254" s="48" t="str">
        <x:v>착수 전</x:v>
      </x:c>
    </x:row>
    <x:row r="255" ht="42" customHeight="1">
      <x:c r="A255" s="37" t="str">
        <x:v>CNT-018</x:v>
      </x:c>
      <x:c r="B255" s="37" t="str">
        <x:v>콘텐츠·맵·미니게임</x:v>
      </x:c>
      <x:c r="C255" s="37" t="str">
        <x:v>미니게임 프레임워크</x:v>
      </x:c>
      <x:c r="D255" s="37" t="str">
        <x:v>상태·소유권</x:v>
      </x:c>
      <x:c r="E255" s="37" t="str">
        <x:v>인스턴스 소유권·참가 잠금</x:v>
      </x:c>
      <x:c r="F255" s="37" t="str">
        <x:v>게임 규칙, 운영 요구사항과 대상 플랫폼 제약을 충족하도록 인스턴스 소유권·참가 잠금 기능을 구현하고 검증한다.</x:v>
      </x:c>
      <x:c r="G255" s="37" t="str">
        <x:v>같은 단말의 동시 참가, 중복 시작, 이탈, 연결 끊김, 밤 시작을 처리하고 대상 플레이어 외의 입력을 거부한다.</x:v>
      </x:c>
      <x:c r="H255" s="37" t="str">
        <x:v>구현, 코드 리뷰, 사양 갱신, 대상 QA 케이스 실행, 로그·텔레메트리 확인과 관련 플랫폼 검증을 완료하고 미해결 P0·P1 결함이 없다.</x:v>
      </x:c>
      <x:c r="I255" s="37" t="str">
        <x:v>MVP</x:v>
      </x:c>
      <x:c r="J255" s="37" t="str">
        <x:v>P0</x:v>
      </x:c>
      <x:c r="K255" s="37" t="str">
        <x:v>필수</x:v>
      </x:c>
      <x:c r="L255" s="37" t="str">
        <x:v>데이터 무결성</x:v>
      </x:c>
      <x:c r="M255" s="37" t="str">
        <x:v>MVP</x:v>
      </x:c>
      <x:c r="N255" s="37" t="str">
        <x:v>레벨·게임 디자인</x:v>
      </x:c>
      <x:c r="O255" s="37" t="str">
        <x:v>미정</x:v>
      </x:c>
      <x:c r="P255" s="37" t="str">
        <x:v>미정</x:v>
      </x:c>
      <x:c r="Q255" s="37" t="str">
        <x:v>전체</x:v>
      </x:c>
      <x:c r="R255" s="37" t="str">
        <x:v>서버 권한</x:v>
      </x:c>
      <x:c r="S255" s="37" t="str">
        <x:v>매치</x:v>
      </x:c>
      <x:c r="T255" s="37" t="str">
        <x:v>L</x:v>
      </x:c>
      <x:c r="U255" s="37" t="str">
        <x:v>미착수</x:v>
      </x:c>
      <x:c r="V255" s="42" t="n">
        <x:f>IF(U255="완료",1,IF(U255="QA 진행 중",0.8,IF(U255="코드 리뷰",0.65,IF(U255="구현 중",0.4,IF(U255="사양 확인 중",0.1,IF(U255="차단",0.4,0))))))</x:f>
        <x:v>0</x:v>
      </x:c>
      <x:c r="W255" s="37" t="str">
        <x:v>미정</x:v>
      </x:c>
      <x:c r="X255" s="40"/>
      <x:c r="Y255" s="37" t="str">
        <x:v>CNT-017,NET-012</x:v>
      </x:c>
      <x:c r="Z255" s="37" t="str">
        <x:v>중간</x:v>
      </x:c>
      <x:c r="AA255" s="37" t="str">
        <x:v>네트워크</x:v>
      </x:c>
      <x:c r="AB255" s="37" t="str">
        <x:v>TC-CNT-018-01, TC-CNT-018-02</x:v>
      </x:c>
      <x:c r="AC255" s="37"/>
      <x:c r="AD255" s="37" t="str">
        <x:v>게임 기획서</x:v>
      </x:c>
      <x:c r="AE255" s="37"/>
      <x:c r="AF255" s="40" t="str">
        <x:v>2026-07-10</x:v>
      </x:c>
      <x:c r="AG255" s="37"/>
      <x:c r="AH255" s="49"/>
      <x:c r="AI255" s="49"/>
      <x:c r="AJ255" s="48" t="str">
        <x:v>착수 전</x:v>
      </x:c>
    </x:row>
    <x:row r="256" ht="42" customHeight="1">
      <x:c r="A256" s="37" t="str">
        <x:v>CNT-019</x:v>
      </x:c>
      <x:c r="B256" s="37" t="str">
        <x:v>콘텐츠·맵·미니게임</x:v>
      </x:c>
      <x:c r="C256" s="37" t="str">
        <x:v>미니게임 프레임워크</x:v>
      </x:c>
      <x:c r="D256" s="37" t="str">
        <x:v>제작 도구</x:v>
      </x:c>
      <x:c r="E256" s="37" t="str">
        <x:v>미니게임 제작·검증 템플릿</x:v>
      </x:c>
      <x:c r="F256" s="37" t="str">
        <x:v>게임 규칙, 운영 요구사항과 대상 플랫폼 제약을 충족하도록 미니게임 제작·검증 템플릿 기능을 구현하고 검증한다.</x:v>
      </x:c>
      <x:c r="G256" s="37" t="str">
        <x:v>디자이너가 코드 변경 없이 기본 매개변수, 설명, 보상, 입력, 난이도를 설정할 수 있고 필수 필드를 검증한다.</x:v>
      </x:c>
      <x:c r="H256" s="37" t="str">
        <x:v>구현, 코드 리뷰, 사양 갱신, 대상 QA 케이스 실행, 로그·텔레메트리 확인과 관련 플랫폼 검증을 완료하고 미해결 P0·P1 결함이 없다.</x:v>
      </x:c>
      <x:c r="I256" s="37" t="str">
        <x:v>알파</x:v>
      </x:c>
      <x:c r="J256" s="37" t="str">
        <x:v>P1</x:v>
      </x:c>
      <x:c r="K256" s="37" t="str">
        <x:v>필수</x:v>
      </x:c>
      <x:c r="L256" s="37" t="str">
        <x:v>제작 기반</x:v>
      </x:c>
      <x:c r="M256" s="37" t="str">
        <x:v>알파</x:v>
      </x:c>
      <x:c r="N256" s="37" t="str">
        <x:v>레벨·게임 디자인</x:v>
      </x:c>
      <x:c r="O256" s="37" t="str">
        <x:v>미정</x:v>
      </x:c>
      <x:c r="P256" s="37" t="str">
        <x:v>미정</x:v>
      </x:c>
      <x:c r="Q256" s="37" t="str">
        <x:v>도구</x:v>
      </x:c>
      <x:c r="R256" s="37" t="str">
        <x:v>콘텐츠 데이터</x:v>
      </x:c>
      <x:c r="S256" s="37" t="str">
        <x:v>없음</x:v>
      </x:c>
      <x:c r="T256" s="37" t="str">
        <x:v>XL</x:v>
      </x:c>
      <x:c r="U256" s="37" t="str">
        <x:v>미착수</x:v>
      </x:c>
      <x:c r="V256" s="42" t="n">
        <x:f>IF(U256="완료",1,IF(U256="QA 진행 중",0.8,IF(U256="코드 리뷰",0.65,IF(U256="구현 중",0.4,IF(U256="사양 확인 중",0.1,IF(U256="차단",0.4,0))))))</x:f>
        <x:v>0</x:v>
      </x:c>
      <x:c r="W256" s="37" t="str">
        <x:v>미정</x:v>
      </x:c>
      <x:c r="X256" s="40"/>
      <x:c r="Y256" s="37" t="str">
        <x:v>CNT-016,CNT-017</x:v>
      </x:c>
      <x:c r="Z256" s="37" t="str">
        <x:v>중간</x:v>
      </x:c>
      <x:c r="AA256" s="37" t="str">
        <x:v>운영</x:v>
      </x:c>
      <x:c r="AB256" s="37" t="str">
        <x:v>TC-CNT-019-01</x:v>
      </x:c>
      <x:c r="AC256" s="37"/>
      <x:c r="AD256" s="37" t="str">
        <x:v>게임 기획서</x:v>
      </x:c>
      <x:c r="AE256" s="37"/>
      <x:c r="AF256" s="40" t="str">
        <x:v>2026-07-10</x:v>
      </x:c>
      <x:c r="AG256" s="37"/>
      <x:c r="AH256" s="49"/>
      <x:c r="AI256" s="49"/>
      <x:c r="AJ256" s="48" t="str">
        <x:v>착수 전</x:v>
      </x:c>
    </x:row>
    <x:row r="257" ht="42" customHeight="1">
      <x:c r="A257" s="37" t="str">
        <x:v>CNT-020</x:v>
      </x:c>
      <x:c r="B257" s="37" t="str">
        <x:v>콘텐츠·맵·미니게임</x:v>
      </x:c>
      <x:c r="C257" s="37" t="str">
        <x:v>미니게임 프레임워크</x:v>
      </x:c>
      <x:c r="D257" s="37" t="str">
        <x:v>완료 API</x:v>
      </x:c>
      <x:c r="E257" s="37" t="str">
        <x:v>성공 판정·보상·중복 방지 인터페이스</x:v>
      </x:c>
      <x:c r="F257" s="37" t="str">
        <x:v>게임 규칙, 운영 요구사항과 대상 플랫폼 제약을 충족하도록 성공 판정·보상·중복 방지 인터페이스 기능을 구현하고 검증한다.</x:v>
      </x:c>
      <x:c r="G257" s="37" t="str">
        <x:v>서버가 성공을 검증하고 고유 완료 ID를 발급해 메모 보상과 전체 진행도에 한 번만 반영한다.</x:v>
      </x:c>
      <x:c r="H257" s="37" t="str">
        <x:v>구현, 코드 리뷰, 사양 갱신, 대상 QA 케이스 실행, 로그·텔레메트리 확인과 관련 플랫폼 검증을 완료하고 미해결 P0·P1 결함이 없다.</x:v>
      </x:c>
      <x:c r="I257" s="37" t="str">
        <x:v>MVP</x:v>
      </x:c>
      <x:c r="J257" s="37" t="str">
        <x:v>P0</x:v>
      </x:c>
      <x:c r="K257" s="37" t="str">
        <x:v>필수</x:v>
      </x:c>
      <x:c r="L257" s="37" t="str">
        <x:v>데이터 무결성</x:v>
      </x:c>
      <x:c r="M257" s="37" t="str">
        <x:v>MVP</x:v>
      </x:c>
      <x:c r="N257" s="37" t="str">
        <x:v>레벨·게임 디자인</x:v>
      </x:c>
      <x:c r="O257" s="37" t="str">
        <x:v>미정</x:v>
      </x:c>
      <x:c r="P257" s="37" t="str">
        <x:v>미정</x:v>
      </x:c>
      <x:c r="Q257" s="37" t="str">
        <x:v>전체</x:v>
      </x:c>
      <x:c r="R257" s="37" t="str">
        <x:v>서버 권한</x:v>
      </x:c>
      <x:c r="S257" s="37" t="str">
        <x:v>매치</x:v>
      </x:c>
      <x:c r="T257" s="37" t="str">
        <x:v>L</x:v>
      </x:c>
      <x:c r="U257" s="37" t="str">
        <x:v>미착수</x:v>
      </x:c>
      <x:c r="V257" s="42" t="n">
        <x:f>IF(U257="완료",1,IF(U257="QA 진행 중",0.8,IF(U257="코드 리뷰",0.65,IF(U257="구현 중",0.4,IF(U257="사양 확인 중",0.1,IF(U257="차단",0.4,0))))))</x:f>
        <x:v>0</x:v>
      </x:c>
      <x:c r="W257" s="37" t="str">
        <x:v>미정</x:v>
      </x:c>
      <x:c r="X257" s="40"/>
      <x:c r="Y257" s="37" t="str">
        <x:v>CNT-017,CNT-018,NET-015,IGM-010</x:v>
      </x:c>
      <x:c r="Z257" s="37" t="str">
        <x:v>중간</x:v>
      </x:c>
      <x:c r="AA257" s="37" t="str">
        <x:v>보안</x:v>
      </x:c>
      <x:c r="AB257" s="37" t="str">
        <x:v>TC-CNT-020-01, TC-CNT-020-02</x:v>
      </x:c>
      <x:c r="AC257" s="37"/>
      <x:c r="AD257" s="37" t="str">
        <x:v>게임 기획서</x:v>
      </x:c>
      <x:c r="AE257" s="37"/>
      <x:c r="AF257" s="40" t="str">
        <x:v>2026-07-10</x:v>
      </x:c>
      <x:c r="AG257" s="37"/>
      <x:c r="AH257" s="49"/>
      <x:c r="AI257" s="49"/>
      <x:c r="AJ257" s="48" t="str">
        <x:v>착수 전</x:v>
      </x:c>
    </x:row>
    <x:row r="258" ht="42" customHeight="1">
      <x:c r="A258" s="37" t="str">
        <x:v>CNT-021</x:v>
      </x:c>
      <x:c r="B258" s="37" t="str">
        <x:v>콘텐츠·맵·미니게임</x:v>
      </x:c>
      <x:c r="C258" s="37" t="str">
        <x:v>미니게임 UX</x:v>
      </x:c>
      <x:c r="D258" s="37" t="str">
        <x:v>이해도</x:v>
      </x:c>
      <x:c r="E258" s="37" t="str">
        <x:v>3초 이해·조작 설명·실패 피드백 기준</x:v>
      </x:c>
      <x:c r="F258" s="37" t="str">
        <x:v>게임 규칙, 운영 요구사항과 대상 플랫폼 제약을 충족하도록 3초 이해·조작 설명·실패 피드백 기준 기능을 구현하고 검증한다.</x:v>
      </x:c>
      <x:c r="G258" s="37" t="str">
        <x:v>처음 플레이하는 사용자가 3초 안에 목표와 조작을 이해하고 잘못 조작했을 때 원인과 재시도 가능 여부를 알 수 있으며 언어와 입력 장치 차이에 대응한다.</x:v>
      </x:c>
      <x:c r="H258" s="37" t="str">
        <x:v>구현, 코드 리뷰, 사양 갱신, 대상 QA 케이스 실행, 로그·텔레메트리 확인과 관련 플랫폼 검증을 완료하고 미해결 P0·P1 결함이 없다.</x:v>
      </x:c>
      <x:c r="I258" s="37" t="str">
        <x:v>MVP</x:v>
      </x:c>
      <x:c r="J258" s="37" t="str">
        <x:v>P0</x:v>
      </x:c>
      <x:c r="K258" s="37" t="str">
        <x:v>필수</x:v>
      </x:c>
      <x:c r="L258" s="37" t="str">
        <x:v>이해도</x:v>
      </x:c>
      <x:c r="M258" s="37" t="str">
        <x:v>MVP</x:v>
      </x:c>
      <x:c r="N258" s="37" t="str">
        <x:v>레벨·게임 디자인</x:v>
      </x:c>
      <x:c r="O258" s="37" t="str">
        <x:v>미정</x:v>
      </x:c>
      <x:c r="P258" s="37" t="str">
        <x:v>미정</x:v>
      </x:c>
      <x:c r="Q258" s="37" t="str">
        <x:v>전체</x:v>
      </x:c>
      <x:c r="R258" s="37" t="str">
        <x:v>콘텐츠 데이터</x:v>
      </x:c>
      <x:c r="S258" s="37" t="str">
        <x:v>없음</x:v>
      </x:c>
      <x:c r="T258" s="37" t="str">
        <x:v>M</x:v>
      </x:c>
      <x:c r="U258" s="37" t="str">
        <x:v>미착수</x:v>
      </x:c>
      <x:c r="V258" s="42" t="n">
        <x:f>IF(U258="완료",1,IF(U258="QA 진행 중",0.8,IF(U258="코드 리뷰",0.65,IF(U258="구현 중",0.4,IF(U258="사양 확인 중",0.1,IF(U258="차단",0.4,0))))))</x:f>
        <x:v>0</x:v>
      </x:c>
      <x:c r="W258" s="37" t="str">
        <x:v>미정</x:v>
      </x:c>
      <x:c r="X258" s="40"/>
      <x:c r="Y258" s="37" t="str">
        <x:v>CNT-017,UIX-017</x:v>
      </x:c>
      <x:c r="Z258" s="37" t="str">
        <x:v>중간</x:v>
      </x:c>
      <x:c r="AA258" s="37" t="str">
        <x:v>사용성</x:v>
      </x:c>
      <x:c r="AB258" s="37" t="str">
        <x:v>TC-CNT-021-01, TC-CNT-021-02</x:v>
      </x:c>
      <x:c r="AC258" s="37"/>
      <x:c r="AD258" s="37" t="str">
        <x:v>게임 기획서</x:v>
      </x:c>
      <x:c r="AE258" s="37"/>
      <x:c r="AF258" s="40" t="str">
        <x:v>2026-07-10</x:v>
      </x:c>
      <x:c r="AG258" s="37"/>
      <x:c r="AH258" s="49"/>
      <x:c r="AI258" s="49"/>
      <x:c r="AJ258" s="48" t="str">
        <x:v>착수 전</x:v>
      </x:c>
    </x:row>
    <x:row r="259" ht="42" customHeight="1">
      <x:c r="A259" s="37" t="str">
        <x:v>CNT-022</x:v>
      </x:c>
      <x:c r="B259" s="37" t="str">
        <x:v>콘텐츠·맵·미니게임</x:v>
      </x:c>
      <x:c r="C259" s="37" t="str">
        <x:v>성장</x:v>
      </x:c>
      <x:c r="D259" s="37" t="str">
        <x:v>전체 완료</x:v>
      </x:c>
      <x:c r="E259" s="37" t="str">
        <x:v>룸 전체 미니게임 진행도·최종 재판 연동</x:v>
      </x:c>
      <x:c r="F259" s="37" t="str">
        <x:v>게임 규칙, 운영 요구사항과 대상 플랫폼 제약을 충족하도록 룸 전체 미니게임 진행도·최종 재판 연동 기능을 구현하고 검증한다.</x:v>
      </x:c>
      <x:c r="G259" s="37" t="str">
        <x:v>서버가 필요 총수와 완료 수를 관리하고 모두 완료되면 최종 재판 트리거를 한 번만 발행한다. 중도 이탈이나 재시도로 진행도가 되돌아가지 않는다.</x:v>
      </x:c>
      <x:c r="H259" s="37" t="str">
        <x:v>구현, 코드 리뷰, 사양 갱신, 대상 QA 케이스 실행, 로그·텔레메트리 확인과 관련 플랫폼 검증을 완료하고 미해결 P0·P1 결함이 없다.</x:v>
      </x:c>
      <x:c r="I259" s="37" t="str">
        <x:v>MVP</x:v>
      </x:c>
      <x:c r="J259" s="37" t="str">
        <x:v>P0</x:v>
      </x:c>
      <x:c r="K259" s="37" t="str">
        <x:v>필수</x:v>
      </x:c>
      <x:c r="L259" s="37" t="str">
        <x:v>승패</x:v>
      </x:c>
      <x:c r="M259" s="37" t="str">
        <x:v>MVP</x:v>
      </x:c>
      <x:c r="N259" s="37" t="str">
        <x:v>레벨·게임 디자인</x:v>
      </x:c>
      <x:c r="O259" s="37" t="str">
        <x:v>미정</x:v>
      </x:c>
      <x:c r="P259" s="37" t="str">
        <x:v>미정</x:v>
      </x:c>
      <x:c r="Q259" s="37" t="str">
        <x:v>전체</x:v>
      </x:c>
      <x:c r="R259" s="37" t="str">
        <x:v>서버 권한</x:v>
      </x:c>
      <x:c r="S259" s="37" t="str">
        <x:v>매치</x:v>
      </x:c>
      <x:c r="T259" s="37" t="str">
        <x:v>L</x:v>
      </x:c>
      <x:c r="U259" s="37" t="str">
        <x:v>미착수</x:v>
      </x:c>
      <x:c r="V259" s="42" t="n">
        <x:f>IF(U259="완료",1,IF(U259="QA 진행 중",0.8,IF(U259="코드 리뷰",0.65,IF(U259="구현 중",0.4,IF(U259="사양 확인 중",0.1,IF(U259="차단",0.4,0))))))</x:f>
        <x:v>0</x:v>
      </x:c>
      <x:c r="W259" s="37" t="str">
        <x:v>미정</x:v>
      </x:c>
      <x:c r="X259" s="40"/>
      <x:c r="Y259" s="37" t="str">
        <x:v>CNT-020,IGM-028</x:v>
      </x:c>
      <x:c r="Z259" s="37" t="str">
        <x:v>중간</x:v>
      </x:c>
      <x:c r="AA259" s="37" t="str">
        <x:v>경계값</x:v>
      </x:c>
      <x:c r="AB259" s="37" t="str">
        <x:v>TC-CNT-022-01, TC-CNT-022-02</x:v>
      </x:c>
      <x:c r="AC259" s="37"/>
      <x:c r="AD259" s="37" t="str">
        <x:v>게임 기획서</x:v>
      </x:c>
      <x:c r="AE259" s="37"/>
      <x:c r="AF259" s="40" t="str">
        <x:v>2026-07-10</x:v>
      </x:c>
      <x:c r="AG259" s="37"/>
      <x:c r="AH259" s="49"/>
      <x:c r="AI259" s="49"/>
      <x:c r="AJ259" s="48" t="str">
        <x:v>착수 전</x:v>
      </x:c>
    </x:row>
    <x:row r="260" ht="42" customHeight="1">
      <x:c r="A260" s="37" t="str">
        <x:v>CNT-023</x:v>
      </x:c>
      <x:c r="B260" s="37" t="str">
        <x:v>콘텐츠·맵·미니게임</x:v>
      </x:c>
      <x:c r="C260" s="37" t="str">
        <x:v>MVP 미니게임</x:v>
      </x:c>
      <x:c r="D260" s="37" t="str">
        <x:v>패턴 일치</x:v>
      </x:c>
      <x:c r="E260" s="37" t="str">
        <x:v>같은 그림 찾기 미니게임</x:v>
      </x:c>
      <x:c r="F260" s="37" t="str">
        <x:v>게임 규칙, 운영 요구사항과 대상 플랫폼 제약을 충족하도록 같은 그림 찾기 미니게임 기능을 구현하고 검증한다.</x:v>
      </x:c>
      <x:c r="G260" s="37" t="str">
        <x:v>제한 시간 안에 목표와 같은 도형을 선택하며 난이도별 선택지 수, 시인성, 오답 페널티가 설정대로 동작한다.</x:v>
      </x:c>
      <x:c r="H260" s="37" t="str">
        <x:v>구현, 코드 리뷰, 사양 갱신, 대상 QA 케이스 실행, 로그·텔레메트리 확인과 관련 플랫폼 검증을 완료하고 미해결 P0·P1 결함이 없다.</x:v>
      </x:c>
      <x:c r="I260" s="37" t="str">
        <x:v>MVP</x:v>
      </x:c>
      <x:c r="J260" s="37" t="str">
        <x:v>P0</x:v>
      </x:c>
      <x:c r="K260" s="37" t="str">
        <x:v>필수</x:v>
      </x:c>
      <x:c r="L260" s="37" t="str">
        <x:v>콘텐츠</x:v>
      </x:c>
      <x:c r="M260" s="37" t="str">
        <x:v>MVP</x:v>
      </x:c>
      <x:c r="N260" s="37" t="str">
        <x:v>레벨·게임 디자인</x:v>
      </x:c>
      <x:c r="O260" s="37" t="str">
        <x:v>미정</x:v>
      </x:c>
      <x:c r="P260" s="37" t="str">
        <x:v>미정</x:v>
      </x:c>
      <x:c r="Q260" s="37" t="str">
        <x:v>전체</x:v>
      </x:c>
      <x:c r="R260" s="37" t="str">
        <x:v>서버 권한</x:v>
      </x:c>
      <x:c r="S260" s="37" t="str">
        <x:v>매치</x:v>
      </x:c>
      <x:c r="T260" s="37" t="str">
        <x:v>L</x:v>
      </x:c>
      <x:c r="U260" s="37" t="str">
        <x:v>미착수</x:v>
      </x:c>
      <x:c r="V260" s="42" t="n">
        <x:f>IF(U260="완료",1,IF(U260="QA 진행 중",0.8,IF(U260="코드 리뷰",0.65,IF(U260="구현 중",0.4,IF(U260="사양 확인 중",0.1,IF(U260="차단",0.4,0))))))</x:f>
        <x:v>0</x:v>
      </x:c>
      <x:c r="W260" s="37" t="str">
        <x:v>미정</x:v>
      </x:c>
      <x:c r="X260" s="40"/>
      <x:c r="Y260" s="37" t="str">
        <x:v>CNT-017,CNT-020,CNT-021</x:v>
      </x:c>
      <x:c r="Z260" s="37" t="str">
        <x:v>중간</x:v>
      </x:c>
      <x:c r="AA260" s="37" t="str">
        <x:v>기능</x:v>
      </x:c>
      <x:c r="AB260" s="37" t="str">
        <x:v>TC-CNT-023-01, TC-CNT-023-02</x:v>
      </x:c>
      <x:c r="AC260" s="37"/>
      <x:c r="AD260" s="37" t="str">
        <x:v>게임 기획서</x:v>
      </x:c>
      <x:c r="AE260" s="37"/>
      <x:c r="AF260" s="40" t="str">
        <x:v>2026-07-10</x:v>
      </x:c>
      <x:c r="AG260" s="37"/>
      <x:c r="AH260" s="49"/>
      <x:c r="AI260" s="49"/>
      <x:c r="AJ260" s="48" t="str">
        <x:v>착수 전</x:v>
      </x:c>
    </x:row>
    <x:row r="261" ht="42" customHeight="1">
      <x:c r="A261" s="37" t="str">
        <x:v>CNT-024</x:v>
      </x:c>
      <x:c r="B261" s="37" t="str">
        <x:v>콘텐츠·맵·미니게임</x:v>
      </x:c>
      <x:c r="C261" s="37" t="str">
        <x:v>MVP 미니게임</x:v>
      </x:c>
      <x:c r="D261" s="37" t="str">
        <x:v>순서</x:v>
      </x:c>
      <x:c r="E261" s="37" t="str">
        <x:v>버튼 순서 기억 미니게임</x:v>
      </x:c>
      <x:c r="F261" s="37" t="str">
        <x:v>게임 규칙, 운영 요구사항과 대상 플랫폼 제약을 충족하도록 버튼 순서 기억 미니게임 기능을 구현하고 검증한다.</x:v>
      </x:c>
      <x:c r="G261" s="37" t="str">
        <x:v>제시된 순서를 입력하고 중복 입력, 시간 초과, 페이즈 종료, 입력 장치 차이를 일관되게 처리한다.</x:v>
      </x:c>
      <x:c r="H261" s="37" t="str">
        <x:v>구현, 코드 리뷰, 사양 갱신, 대상 QA 케이스 실행, 로그·텔레메트리 확인과 관련 플랫폼 검증을 완료하고 미해결 P0·P1 결함이 없다.</x:v>
      </x:c>
      <x:c r="I261" s="37" t="str">
        <x:v>MVP</x:v>
      </x:c>
      <x:c r="J261" s="37" t="str">
        <x:v>P0</x:v>
      </x:c>
      <x:c r="K261" s="37" t="str">
        <x:v>필수</x:v>
      </x:c>
      <x:c r="L261" s="37" t="str">
        <x:v>콘텐츠</x:v>
      </x:c>
      <x:c r="M261" s="37" t="str">
        <x:v>MVP</x:v>
      </x:c>
      <x:c r="N261" s="37" t="str">
        <x:v>레벨·게임 디자인</x:v>
      </x:c>
      <x:c r="O261" s="37" t="str">
        <x:v>미정</x:v>
      </x:c>
      <x:c r="P261" s="37" t="str">
        <x:v>미정</x:v>
      </x:c>
      <x:c r="Q261" s="37" t="str">
        <x:v>전체</x:v>
      </x:c>
      <x:c r="R261" s="37" t="str">
        <x:v>서버 권한</x:v>
      </x:c>
      <x:c r="S261" s="37" t="str">
        <x:v>매치</x:v>
      </x:c>
      <x:c r="T261" s="37" t="str">
        <x:v>L</x:v>
      </x:c>
      <x:c r="U261" s="37" t="str">
        <x:v>미착수</x:v>
      </x:c>
      <x:c r="V261" s="42" t="n">
        <x:f>IF(U261="완료",1,IF(U261="QA 진행 중",0.8,IF(U261="코드 리뷰",0.65,IF(U261="구현 중",0.4,IF(U261="사양 확인 중",0.1,IF(U261="차단",0.4,0))))))</x:f>
        <x:v>0</x:v>
      </x:c>
      <x:c r="W261" s="37" t="str">
        <x:v>미정</x:v>
      </x:c>
      <x:c r="X261" s="40"/>
      <x:c r="Y261" s="37" t="str">
        <x:v>CNT-017,CNT-020,CNT-021</x:v>
      </x:c>
      <x:c r="Z261" s="37" t="str">
        <x:v>중간</x:v>
      </x:c>
      <x:c r="AA261" s="37" t="str">
        <x:v>기능</x:v>
      </x:c>
      <x:c r="AB261" s="37" t="str">
        <x:v>TC-CNT-024-01, TC-CNT-024-02</x:v>
      </x:c>
      <x:c r="AC261" s="37"/>
      <x:c r="AD261" s="37" t="str">
        <x:v>게임 기획서</x:v>
      </x:c>
      <x:c r="AE261" s="37"/>
      <x:c r="AF261" s="40" t="str">
        <x:v>2026-07-10</x:v>
      </x:c>
      <x:c r="AG261" s="37"/>
      <x:c r="AH261" s="49"/>
      <x:c r="AI261" s="49"/>
      <x:c r="AJ261" s="48" t="str">
        <x:v>착수 전</x:v>
      </x:c>
    </x:row>
    <x:row r="262" ht="42" customHeight="1">
      <x:c r="A262" s="37" t="str">
        <x:v>CNT-025</x:v>
      </x:c>
      <x:c r="B262" s="37" t="str">
        <x:v>콘텐츠·맵·미니게임</x:v>
      </x:c>
      <x:c r="C262" s="37" t="str">
        <x:v>MVP 미니게임</x:v>
      </x:c>
      <x:c r="D262" s="37" t="str">
        <x:v>색상·형태</x:v>
      </x:c>
      <x:c r="E262" s="37" t="str">
        <x:v>색상·형태 맞추기 미니게임</x:v>
      </x:c>
      <x:c r="F262" s="37" t="str">
        <x:v>게임 규칙, 운영 요구사항과 대상 플랫폼 제약을 충족하도록 색상·형태 맞추기 미니게임 기능을 구현하고 검증한다.</x:v>
      </x:c>
      <x:c r="G262" s="37" t="str">
        <x:v>색상만에 의존하지 않고 형태와 기호를 함께 사용하며 색각 보조 설정에서도 난이도와 정답이 바뀌지 않는다.</x:v>
      </x:c>
      <x:c r="H262" s="37" t="str">
        <x:v>구현, 코드 리뷰, 사양 갱신, 대상 QA 케이스 실행, 로그·텔레메트리 확인과 관련 플랫폼 검증을 완료하고 미해결 P0·P1 결함이 없다.</x:v>
      </x:c>
      <x:c r="I262" s="37" t="str">
        <x:v>MVP</x:v>
      </x:c>
      <x:c r="J262" s="37" t="str">
        <x:v>P0</x:v>
      </x:c>
      <x:c r="K262" s="37" t="str">
        <x:v>필수</x:v>
      </x:c>
      <x:c r="L262" s="37" t="str">
        <x:v>접근성</x:v>
      </x:c>
      <x:c r="M262" s="37" t="str">
        <x:v>MVP</x:v>
      </x:c>
      <x:c r="N262" s="37" t="str">
        <x:v>레벨·게임 디자인</x:v>
      </x:c>
      <x:c r="O262" s="37" t="str">
        <x:v>미정</x:v>
      </x:c>
      <x:c r="P262" s="37" t="str">
        <x:v>미정</x:v>
      </x:c>
      <x:c r="Q262" s="37" t="str">
        <x:v>전체</x:v>
      </x:c>
      <x:c r="R262" s="37" t="str">
        <x:v>서버 권한</x:v>
      </x:c>
      <x:c r="S262" s="37" t="str">
        <x:v>매치</x:v>
      </x:c>
      <x:c r="T262" s="37" t="str">
        <x:v>L</x:v>
      </x:c>
      <x:c r="U262" s="37" t="str">
        <x:v>미착수</x:v>
      </x:c>
      <x:c r="V262" s="42" t="n">
        <x:f>IF(U262="완료",1,IF(U262="QA 진행 중",0.8,IF(U262="코드 리뷰",0.65,IF(U262="구현 중",0.4,IF(U262="사양 확인 중",0.1,IF(U262="차단",0.4,0))))))</x:f>
        <x:v>0</x:v>
      </x:c>
      <x:c r="W262" s="37" t="str">
        <x:v>미정</x:v>
      </x:c>
      <x:c r="X262" s="40"/>
      <x:c r="Y262" s="37" t="str">
        <x:v>CNT-017,CNT-020,CNT-021,SET-024</x:v>
      </x:c>
      <x:c r="Z262" s="37" t="str">
        <x:v>중간</x:v>
      </x:c>
      <x:c r="AA262" s="37" t="str">
        <x:v>접근성</x:v>
      </x:c>
      <x:c r="AB262" s="37" t="str">
        <x:v>TC-CNT-025-01, TC-CNT-025-02</x:v>
      </x:c>
      <x:c r="AC262" s="37"/>
      <x:c r="AD262" s="37" t="str">
        <x:v>게임 기획서</x:v>
      </x:c>
      <x:c r="AE262" s="37"/>
      <x:c r="AF262" s="40" t="str">
        <x:v>2026-07-10</x:v>
      </x:c>
      <x:c r="AG262" s="37"/>
      <x:c r="AH262" s="49"/>
      <x:c r="AI262" s="49"/>
      <x:c r="AJ262" s="48" t="str">
        <x:v>착수 전</x:v>
      </x:c>
    </x:row>
    <x:row r="263" ht="42" customHeight="1">
      <x:c r="A263" s="37" t="str">
        <x:v>CNT-026</x:v>
      </x:c>
      <x:c r="B263" s="37" t="str">
        <x:v>콘텐츠·맵·미니게임</x:v>
      </x:c>
      <x:c r="C263" s="37" t="str">
        <x:v>밸런스</x:v>
      </x:c>
      <x:c r="D263" s="37" t="str">
        <x:v>난이도·소요 시간</x:v>
      </x:c>
      <x:c r="E263" s="37" t="str">
        <x:v>미니게임 소요 시간·난이도·보상 기준</x:v>
      </x:c>
      <x:c r="F263" s="37" t="str">
        <x:v>게임 규칙, 운영 요구사항과 대상 플랫폼 제약을 충족하도록 미니게임 소요 시간·난이도·보상 기준 기능을 구현하고 검증한다.</x:v>
      </x:c>
      <x:c r="G263" s="37" t="str">
        <x:v>일반 미니게임은 목표 시간 안에 완료되고 메모 1장 보상 대비 위험과 시간이 지나치게 편중되지 않으며 실패율과 재시도율을 측정한다.</x:v>
      </x:c>
      <x:c r="H263" s="37" t="str">
        <x:v>구현, 코드 리뷰, 사양 갱신, 대상 QA 케이스 실행, 로그·텔레메트리 확인과 관련 플랫폼 검증을 완료하고 미해결 P0·P1 결함이 없다.</x:v>
      </x:c>
      <x:c r="I263" s="37" t="str">
        <x:v>알파</x:v>
      </x:c>
      <x:c r="J263" s="37" t="str">
        <x:v>P0</x:v>
      </x:c>
      <x:c r="K263" s="37" t="str">
        <x:v>필수</x:v>
      </x:c>
      <x:c r="L263" s="37" t="str">
        <x:v>밸런스</x:v>
      </x:c>
      <x:c r="M263" s="37" t="str">
        <x:v>알파</x:v>
      </x:c>
      <x:c r="N263" s="37" t="str">
        <x:v>레벨·게임 디자인</x:v>
      </x:c>
      <x:c r="O263" s="37" t="str">
        <x:v>미정</x:v>
      </x:c>
      <x:c r="P263" s="37" t="str">
        <x:v>미정</x:v>
      </x:c>
      <x:c r="Q263" s="37" t="str">
        <x:v>전체</x:v>
      </x:c>
      <x:c r="R263" s="37" t="str">
        <x:v>콘텐츠 데이터</x:v>
      </x:c>
      <x:c r="S263" s="37" t="str">
        <x:v>백엔드</x:v>
      </x:c>
      <x:c r="T263" s="37" t="str">
        <x:v>M</x:v>
      </x:c>
      <x:c r="U263" s="37" t="str">
        <x:v>미착수</x:v>
      </x:c>
      <x:c r="V263" s="42" t="n">
        <x:f>IF(U263="완료",1,IF(U263="QA 진행 중",0.8,IF(U263="코드 리뷰",0.65,IF(U263="구현 중",0.4,IF(U263="사양 확인 중",0.1,IF(U263="차단",0.4,0))))))</x:f>
        <x:v>0</x:v>
      </x:c>
      <x:c r="W263" s="37" t="str">
        <x:v>미정</x:v>
      </x:c>
      <x:c r="X263" s="40"/>
      <x:c r="Y263" s="37" t="str">
        <x:v>CNT-023,CNT-024,CNT-025,BED-008</x:v>
      </x:c>
      <x:c r="Z263" s="37" t="str">
        <x:v>중간</x:v>
      </x:c>
      <x:c r="AA263" s="37" t="str">
        <x:v>밸런스</x:v>
      </x:c>
      <x:c r="AB263" s="37" t="str">
        <x:v>TC-CNT-026-01, TC-CNT-026-02</x:v>
      </x:c>
      <x:c r="AC263" s="37"/>
      <x:c r="AD263" s="37" t="str">
        <x:v>게임 기획서</x:v>
      </x:c>
      <x:c r="AE263" s="37"/>
      <x:c r="AF263" s="40" t="str">
        <x:v>2026-07-10</x:v>
      </x:c>
      <x:c r="AG263" s="37"/>
      <x:c r="AH263" s="49"/>
      <x:c r="AI263" s="49"/>
      <x:c r="AJ263" s="48" t="str">
        <x:v>착수 전</x:v>
      </x:c>
    </x:row>
    <x:row r="264" ht="42" customHeight="1">
      <x:c r="A264" s="37" t="str">
        <x:v>CNT-027</x:v>
      </x:c>
      <x:c r="B264" s="37" t="str">
        <x:v>콘텐츠·맵·미니게임</x:v>
      </x:c>
      <x:c r="C264" s="37" t="str">
        <x:v>콘텐츠 순환</x:v>
      </x:c>
      <x:c r="D264" s="37" t="str">
        <x:v>스폰·회전</x:v>
      </x:c>
      <x:c r="E264" s="37" t="str">
        <x:v>단말 배치·활성 과제 라운드 생성</x:v>
      </x:c>
      <x:c r="F264" s="37" t="str">
        <x:v>게임 규칙, 운영 요구사항과 대상 플랫폼 제약을 충족하도록 단말 배치·활성 과제 라운드 생성 기능을 구현하고 검증한다.</x:v>
      </x:c>
      <x:c r="G264" s="37" t="str">
        <x:v>참가 인원, 맵, 필요 총수에 맞춰 단말을 선택하고 같은 방 편중, 도달 불가, 같은 문제의 과도한 연속 출현을 방지한다.</x:v>
      </x:c>
      <x:c r="H264" s="37" t="str">
        <x:v>구현, 코드 리뷰, 사양 갱신, 대상 QA 케이스 실행, 로그·텔레메트리 확인과 관련 플랫폼 검증을 완료하고 미해결 P0·P1 결함이 없다.</x:v>
      </x:c>
      <x:c r="I264" s="37" t="str">
        <x:v>알파</x:v>
      </x:c>
      <x:c r="J264" s="37" t="str">
        <x:v>P1</x:v>
      </x:c>
      <x:c r="K264" s="37" t="str">
        <x:v>필수</x:v>
      </x:c>
      <x:c r="L264" s="37" t="str">
        <x:v>밸런스</x:v>
      </x:c>
      <x:c r="M264" s="37" t="str">
        <x:v>알파</x:v>
      </x:c>
      <x:c r="N264" s="37" t="str">
        <x:v>레벨·게임 디자인</x:v>
      </x:c>
      <x:c r="O264" s="37" t="str">
        <x:v>미정</x:v>
      </x:c>
      <x:c r="P264" s="37" t="str">
        <x:v>미정</x:v>
      </x:c>
      <x:c r="Q264" s="37" t="str">
        <x:v>서버</x:v>
      </x:c>
      <x:c r="R264" s="37" t="str">
        <x:v>서버 권한</x:v>
      </x:c>
      <x:c r="S264" s="37" t="str">
        <x:v>매치</x:v>
      </x:c>
      <x:c r="T264" s="37" t="str">
        <x:v>L</x:v>
      </x:c>
      <x:c r="U264" s="37" t="str">
        <x:v>미착수</x:v>
      </x:c>
      <x:c r="V264" s="42" t="n">
        <x:f>IF(U264="완료",1,IF(U264="QA 진행 중",0.8,IF(U264="코드 리뷰",0.65,IF(U264="구현 중",0.4,IF(U264="사양 확인 중",0.1,IF(U264="차단",0.4,0))))))</x:f>
        <x:v>0</x:v>
      </x:c>
      <x:c r="W264" s="37" t="str">
        <x:v>미정</x:v>
      </x:c>
      <x:c r="X264" s="40"/>
      <x:c r="Y264" s="37" t="str">
        <x:v>CNT-009,CNT-016,CNT-026</x:v>
      </x:c>
      <x:c r="Z264" s="37" t="str">
        <x:v>중간</x:v>
      </x:c>
      <x:c r="AA264" s="37" t="str">
        <x:v>경계값</x:v>
      </x:c>
      <x:c r="AB264" s="37" t="str">
        <x:v>TC-CNT-027-01</x:v>
      </x:c>
      <x:c r="AC264" s="37"/>
      <x:c r="AD264" s="37" t="str">
        <x:v>게임 기획서</x:v>
      </x:c>
      <x:c r="AE264" s="37"/>
      <x:c r="AF264" s="40" t="str">
        <x:v>2026-07-10</x:v>
      </x:c>
      <x:c r="AG264" s="37"/>
      <x:c r="AH264" s="49"/>
      <x:c r="AI264" s="49"/>
      <x:c r="AJ264" s="48" t="str">
        <x:v>착수 전</x:v>
      </x:c>
    </x:row>
    <x:row r="265" ht="42" customHeight="1">
      <x:c r="A265" s="37" t="str">
        <x:v>CNT-028</x:v>
      </x:c>
      <x:c r="B265" s="37" t="str">
        <x:v>콘텐츠·맵·미니게임</x:v>
      </x:c>
      <x:c r="C265" s="37" t="str">
        <x:v>호환성</x:v>
      </x:c>
      <x:c r="D265" s="37" t="str">
        <x:v>콘텐츠 해시</x:v>
      </x:c>
      <x:c r="E265" s="37" t="str">
        <x:v>맵·미니게임·문구 버전·해시 검증</x:v>
      </x:c>
      <x:c r="F265" s="37" t="str">
        <x:v>게임 규칙, 운영 요구사항과 대상 플랫폼 제약을 충족하도록 맵·미니게임·문구 버전·해시 검증 기능을 구현하고 검증한다.</x:v>
      </x:c>
      <x:c r="G265" s="37" t="str">
        <x:v>매치 시작 전에 서버 요구 버전과 클라이언트 에셋 해시를 비교하고 불일치하면 시작하지 않으며 갱신 또는 재다운로드를 안내한다.</x:v>
      </x:c>
      <x:c r="H265" s="37" t="str">
        <x:v>구현, 코드 리뷰, 사양 갱신, 대상 QA 케이스 실행, 로그·텔레메트리 확인과 관련 플랫폼 검증을 완료하고 미해결 P0·P1 결함이 없다.</x:v>
      </x:c>
      <x:c r="I265" s="37" t="str">
        <x:v>MVP</x:v>
      </x:c>
      <x:c r="J265" s="37" t="str">
        <x:v>P0</x:v>
      </x:c>
      <x:c r="K265" s="37" t="str">
        <x:v>필수</x:v>
      </x:c>
      <x:c r="L265" s="37" t="str">
        <x:v>호환성</x:v>
      </x:c>
      <x:c r="M265" s="37" t="str">
        <x:v>MVP</x:v>
      </x:c>
      <x:c r="N265" s="37" t="str">
        <x:v>레벨·게임 디자인</x:v>
      </x:c>
      <x:c r="O265" s="37" t="str">
        <x:v>미정</x:v>
      </x:c>
      <x:c r="P265" s="37" t="str">
        <x:v>미정</x:v>
      </x:c>
      <x:c r="Q265" s="37" t="str">
        <x:v>전체</x:v>
      </x:c>
      <x:c r="R265" s="37" t="str">
        <x:v>서버 권한</x:v>
      </x:c>
      <x:c r="S265" s="37" t="str">
        <x:v>없음</x:v>
      </x:c>
      <x:c r="T265" s="37" t="str">
        <x:v>M</x:v>
      </x:c>
      <x:c r="U265" s="37" t="str">
        <x:v>미착수</x:v>
      </x:c>
      <x:c r="V265" s="42" t="n">
        <x:f>IF(U265="완료",1,IF(U265="QA 진행 중",0.8,IF(U265="코드 리뷰",0.65,IF(U265="구현 중",0.4,IF(U265="사양 확인 중",0.1,IF(U265="차단",0.4,0))))))</x:f>
        <x:v>0</x:v>
      </x:c>
      <x:c r="W265" s="37" t="str">
        <x:v>미정</x:v>
      </x:c>
      <x:c r="X265" s="40"/>
      <x:c r="Y265" s="37" t="str">
        <x:v>CNT-016,ONL-015</x:v>
      </x:c>
      <x:c r="Z265" s="37" t="str">
        <x:v>중간</x:v>
      </x:c>
      <x:c r="AA265" s="37" t="str">
        <x:v>호환성</x:v>
      </x:c>
      <x:c r="AB265" s="37" t="str">
        <x:v>TC-CNT-028-01, TC-CNT-028-02</x:v>
      </x:c>
      <x:c r="AC265" s="37"/>
      <x:c r="AD265" s="37" t="str">
        <x:v>게임 기획서</x:v>
      </x:c>
      <x:c r="AE265" s="37"/>
      <x:c r="AF265" s="40" t="str">
        <x:v>2026-07-10</x:v>
      </x:c>
      <x:c r="AG265" s="37"/>
      <x:c r="AH265" s="49"/>
      <x:c r="AI265" s="49"/>
      <x:c r="AJ265" s="48" t="str">
        <x:v>착수 전</x:v>
      </x:c>
    </x:row>
    <x:row r="266" ht="42" customHeight="1">
      <x:c r="A266" s="37" t="str">
        <x:v>CNT-029</x:v>
      </x:c>
      <x:c r="B266" s="37" t="str">
        <x:v>콘텐츠·맵·미니게임</x:v>
      </x:c>
      <x:c r="C266" s="37" t="str">
        <x:v>확장</x:v>
      </x:c>
      <x:c r="D266" s="37" t="str">
        <x:v>카메라 아이템</x:v>
      </x:c>
      <x:c r="E266" s="37" t="str">
        <x:v>사진 메모 카메라·촬영 지점</x:v>
      </x:c>
      <x:c r="F266" s="37" t="str">
        <x:v>게임 규칙, 운영 요구사항과 대상 플랫폼 제약을 충족하도록 사진 메모 카메라·촬영 지점 기능을 구현하고 검증한다.</x:v>
      </x:c>
      <x:c r="G266" s="37" t="str">
        <x:v>무작위 출현, 획득, 2회 사용, 좁은 화각, 흐림, 대상 거리 규칙을 맵·아이템 데이터로 정의해 확정 증거가 지나치게 강해지지 않도록 한다.</x:v>
      </x:c>
      <x:c r="H266" s="37" t="str">
        <x:v>구현, 코드 리뷰, 사양 갱신, 대상 QA 케이스 실행, 로그·텔레메트리 확인과 관련 플랫폼 검증을 완료하고 미해결 P0·P1 결함이 없다.</x:v>
      </x:c>
      <x:c r="I266" s="37" t="str">
        <x:v>출시 후</x:v>
      </x:c>
      <x:c r="J266" s="37" t="str">
        <x:v>P2</x:v>
      </x:c>
      <x:c r="K266" s="37" t="str">
        <x:v>조건부</x:v>
      </x:c>
      <x:c r="L266" s="37" t="str">
        <x:v>확장</x:v>
      </x:c>
      <x:c r="M266" s="37" t="str">
        <x:v>출시 후</x:v>
      </x:c>
      <x:c r="N266" s="37" t="str">
        <x:v>레벨·게임 디자인</x:v>
      </x:c>
      <x:c r="O266" s="37" t="str">
        <x:v>미정</x:v>
      </x:c>
      <x:c r="P266" s="37" t="str">
        <x:v>미정</x:v>
      </x:c>
      <x:c r="Q266" s="37" t="str">
        <x:v>전체</x:v>
      </x:c>
      <x:c r="R266" s="37" t="str">
        <x:v>서버 권한</x:v>
      </x:c>
      <x:c r="S266" s="37" t="str">
        <x:v>매치</x:v>
      </x:c>
      <x:c r="T266" s="37" t="str">
        <x:v>XL</x:v>
      </x:c>
      <x:c r="U266" s="37" t="str">
        <x:v>미착수</x:v>
      </x:c>
      <x:c r="V266" s="42" t="n">
        <x:f>IF(U266="완료",1,IF(U266="QA 진행 중",0.8,IF(U266="코드 리뷰",0.65,IF(U266="구현 중",0.4,IF(U266="사양 확인 중",0.1,IF(U266="차단",0.4,0))))))</x:f>
        <x:v>0</x:v>
      </x:c>
      <x:c r="W266" s="37" t="str">
        <x:v>미정</x:v>
      </x:c>
      <x:c r="X266" s="40"/>
      <x:c r="Y266" s="37" t="str">
        <x:v>CNT-002,IGM-034,UIX-030</x:v>
      </x:c>
      <x:c r="Z266" s="37" t="str">
        <x:v>높음</x:v>
      </x:c>
      <x:c r="AA266" s="37" t="str">
        <x:v>밸런스</x:v>
      </x:c>
      <x:c r="AB266" s="37" t="str">
        <x:v>TC-CNT-029-01</x:v>
      </x:c>
      <x:c r="AC266" s="37"/>
      <x:c r="AD266" s="37" t="str">
        <x:v>게임 기획서</x:v>
      </x:c>
      <x:c r="AE266" s="37"/>
      <x:c r="AF266" s="40" t="str">
        <x:v>2026-07-10</x:v>
      </x:c>
      <x:c r="AG266" s="37"/>
      <x:c r="AH266" s="49"/>
      <x:c r="AI266" s="49"/>
      <x:c r="AJ266" s="48" t="str">
        <x:v>착수 전</x:v>
      </x:c>
    </x:row>
    <x:row r="267" ht="42" customHeight="1">
      <x:c r="A267" s="37" t="str">
        <x:v>CNT-030</x:v>
      </x:c>
      <x:c r="B267" s="37" t="str">
        <x:v>콘텐츠·맵·미니게임</x:v>
      </x:c>
      <x:c r="C267" s="37" t="str">
        <x:v>확장</x:v>
      </x:c>
      <x:c r="D267" s="37" t="str">
        <x:v>2인 미니게임</x:v>
      </x:c>
      <x:c r="E267" s="37" t="str">
        <x:v>2인 협동 미니게임 템플릿</x:v>
      </x:c>
      <x:c r="F267" s="37" t="str">
        <x:v>게임 규칙, 운영 요구사항과 대상 플랫폼 제약을 충족하도록 2인 협동 미니게임 템플릿 기능을 구현하고 검증한다.</x:v>
      </x:c>
      <x:c r="G267" s="37" t="str">
        <x:v>참가 대기, 동기화 시작, 역할별 UI, 동시 입력, 한쪽 이탈, 성공 시 양쪽 보상을 공통화하고 마피아도 참가할 수 있다.</x:v>
      </x:c>
      <x:c r="H267" s="37" t="str">
        <x:v>구현, 코드 리뷰, 사양 갱신, 대상 QA 케이스 실행, 로그·텔레메트리 확인과 관련 플랫폼 검증을 완료하고 미해결 P0·P1 결함이 없다.</x:v>
      </x:c>
      <x:c r="I267" s="37" t="str">
        <x:v>출시 후</x:v>
      </x:c>
      <x:c r="J267" s="37" t="str">
        <x:v>P2</x:v>
      </x:c>
      <x:c r="K267" s="37" t="str">
        <x:v>조건부</x:v>
      </x:c>
      <x:c r="L267" s="37" t="str">
        <x:v>확장</x:v>
      </x:c>
      <x:c r="M267" s="37" t="str">
        <x:v>출시 후</x:v>
      </x:c>
      <x:c r="N267" s="37" t="str">
        <x:v>레벨·게임 디자인</x:v>
      </x:c>
      <x:c r="O267" s="37" t="str">
        <x:v>미정</x:v>
      </x:c>
      <x:c r="P267" s="37" t="str">
        <x:v>미정</x:v>
      </x:c>
      <x:c r="Q267" s="37" t="str">
        <x:v>전체</x:v>
      </x:c>
      <x:c r="R267" s="37" t="str">
        <x:v>서버 권한</x:v>
      </x:c>
      <x:c r="S267" s="37" t="str">
        <x:v>매치</x:v>
      </x:c>
      <x:c r="T267" s="37" t="str">
        <x:v>XL</x:v>
      </x:c>
      <x:c r="U267" s="37" t="str">
        <x:v>미착수</x:v>
      </x:c>
      <x:c r="V267" s="42" t="n">
        <x:f>IF(U267="완료",1,IF(U267="QA 진행 중",0.8,IF(U267="코드 리뷰",0.65,IF(U267="구현 중",0.4,IF(U267="사양 확인 중",0.1,IF(U267="차단",0.4,0))))))</x:f>
        <x:v>0</x:v>
      </x:c>
      <x:c r="W267" s="37" t="str">
        <x:v>미정</x:v>
      </x:c>
      <x:c r="X267" s="40"/>
      <x:c r="Y267" s="37" t="str">
        <x:v>CNT-017,CNT-020,IGM-036</x:v>
      </x:c>
      <x:c r="Z267" s="37" t="str">
        <x:v>중간</x:v>
      </x:c>
      <x:c r="AA267" s="37" t="str">
        <x:v>네트워크</x:v>
      </x:c>
      <x:c r="AB267" s="37" t="str">
        <x:v>TC-CNT-030-01</x:v>
      </x:c>
      <x:c r="AC267" s="37"/>
      <x:c r="AD267" s="37" t="str">
        <x:v>게임 기획서</x:v>
      </x:c>
      <x:c r="AE267" s="37"/>
      <x:c r="AF267" s="40" t="str">
        <x:v>2026-07-10</x:v>
      </x:c>
      <x:c r="AG267" s="37"/>
      <x:c r="AH267" s="49"/>
      <x:c r="AI267" s="49"/>
      <x:c r="AJ267" s="48" t="str">
        <x:v>착수 전</x:v>
      </x:c>
    </x:row>
    <x:row r="268" ht="42" customHeight="1">
      <x:c r="A268" s="37" t="str">
        <x:v>CNT-031</x:v>
      </x:c>
      <x:c r="B268" s="37" t="str">
        <x:v>콘텐츠·맵·미니게임</x:v>
      </x:c>
      <x:c r="C268" s="37" t="str">
        <x:v>분석</x:v>
      </x:c>
      <x:c r="D268" s="37" t="str">
        <x:v>밸런스 이벤트</x:v>
      </x:c>
      <x:c r="E268" s="37" t="str">
        <x:v>미니게임·맵 행동 분석 이벤트</x:v>
      </x:c>
      <x:c r="F268" s="37" t="str">
        <x:v>게임 규칙, 운영 요구사항과 대상 플랫폼 제약을 충족하도록 미니게임·맵 행동 분석 이벤트 기능을 구현하고 검증한다.</x:v>
      </x:c>
      <x:c r="G268" s="37" t="str">
        <x:v>시작, 성공, 실패, 시간, 위치, 참가자, 보상, 이탈을 익명화해 수집하고 역할·승률 상관 분석은 접근 권한으로 제한한다.</x:v>
      </x:c>
      <x:c r="H268" s="37" t="str">
        <x:v>구현, 코드 리뷰, 사양 갱신, 대상 QA 케이스 실행, 로그·텔레메트리 확인과 관련 플랫폼 검증을 완료하고 미해결 P0·P1 결함이 없다.</x:v>
      </x:c>
      <x:c r="I268" s="37" t="str">
        <x:v>알파</x:v>
      </x:c>
      <x:c r="J268" s="37" t="str">
        <x:v>P1</x:v>
      </x:c>
      <x:c r="K268" s="37" t="str">
        <x:v>필수</x:v>
      </x:c>
      <x:c r="L268" s="37" t="str">
        <x:v>분석</x:v>
      </x:c>
      <x:c r="M268" s="37" t="str">
        <x:v>알파</x:v>
      </x:c>
      <x:c r="N268" s="37" t="str">
        <x:v>레벨·게임 디자인</x:v>
      </x:c>
      <x:c r="O268" s="37" t="str">
        <x:v>미정</x:v>
      </x:c>
      <x:c r="P268" s="37" t="str">
        <x:v>미정</x:v>
      </x:c>
      <x:c r="Q268" s="37" t="str">
        <x:v>전체</x:v>
      </x:c>
      <x:c r="R268" s="37" t="str">
        <x:v>백엔드 권한</x:v>
      </x:c>
      <x:c r="S268" s="37" t="str">
        <x:v>백엔드</x:v>
      </x:c>
      <x:c r="T268" s="37" t="str">
        <x:v>M</x:v>
      </x:c>
      <x:c r="U268" s="37" t="str">
        <x:v>미착수</x:v>
      </x:c>
      <x:c r="V268" s="42" t="n">
        <x:f>IF(U268="완료",1,IF(U268="QA 진행 중",0.8,IF(U268="코드 리뷰",0.65,IF(U268="구현 중",0.4,IF(U268="사양 확인 중",0.1,IF(U268="차단",0.4,0))))))</x:f>
        <x:v>0</x:v>
      </x:c>
      <x:c r="W268" s="37" t="str">
        <x:v>미정</x:v>
      </x:c>
      <x:c r="X268" s="40"/>
      <x:c r="Y268" s="37" t="str">
        <x:v>CNT-020,BED-008</x:v>
      </x:c>
      <x:c r="Z268" s="37" t="str">
        <x:v>중간</x:v>
      </x:c>
      <x:c r="AA268" s="37" t="str">
        <x:v>운영</x:v>
      </x:c>
      <x:c r="AB268" s="37" t="str">
        <x:v>TC-CNT-031-01</x:v>
      </x:c>
      <x:c r="AC268" s="37"/>
      <x:c r="AD268" s="37" t="str">
        <x:v>게임 기획서</x:v>
      </x:c>
      <x:c r="AE268" s="37"/>
      <x:c r="AF268" s="40" t="str">
        <x:v>2026-07-10</x:v>
      </x:c>
      <x:c r="AG268" s="37"/>
      <x:c r="AH268" s="49"/>
      <x:c r="AI268" s="49"/>
      <x:c r="AJ268" s="48" t="str">
        <x:v>착수 전</x:v>
      </x:c>
    </x:row>
    <x:row r="269" ht="42" customHeight="1">
      <x:c r="A269" s="37" t="str">
        <x:v>CNT-032</x:v>
      </x:c>
      <x:c r="B269" s="37" t="str">
        <x:v>콘텐츠·맵·미니게임</x:v>
      </x:c>
      <x:c r="C269" s="37" t="str">
        <x:v>현지화</x:v>
      </x:c>
      <x:c r="D269" s="37" t="str">
        <x:v>콘텐츠 문구</x:v>
      </x:c>
      <x:c r="E269" s="37" t="str">
        <x:v>방 이름·미니게임 설명·문구 현지화</x:v>
      </x:c>
      <x:c r="F269" s="37" t="str">
        <x:v>게임 규칙, 운영 요구사항과 대상 플랫폼 제약을 충족하도록 방 이름·미니게임 설명·문구 현지화 기능을 구현하고 검증한다.</x:v>
      </x:c>
      <x:c r="G269" s="37" t="str">
        <x:v>문맥, 글자 수, 입력 아이콘, 도형 대체, 언어 대체 처리를 정의하고 언어 변경으로 문제 데이터의 정답이 달라지지 않는다.</x:v>
      </x:c>
      <x:c r="H269" s="37" t="str">
        <x:v>구현, 코드 리뷰, 사양 갱신, 대상 QA 케이스 실행, 로그·텔레메트리 확인과 관련 플랫폼 검증을 완료하고 미해결 P0·P1 결함이 없다.</x:v>
      </x:c>
      <x:c r="I269" s="37" t="str">
        <x:v>베타</x:v>
      </x:c>
      <x:c r="J269" s="37" t="str">
        <x:v>P1</x:v>
      </x:c>
      <x:c r="K269" s="37" t="str">
        <x:v>필수</x:v>
      </x:c>
      <x:c r="L269" s="37" t="str">
        <x:v>현지화</x:v>
      </x:c>
      <x:c r="M269" s="37" t="str">
        <x:v>베타</x:v>
      </x:c>
      <x:c r="N269" s="37" t="str">
        <x:v>레벨·게임 디자인</x:v>
      </x:c>
      <x:c r="O269" s="37" t="str">
        <x:v>미정</x:v>
      </x:c>
      <x:c r="P269" s="37" t="str">
        <x:v>미정</x:v>
      </x:c>
      <x:c r="Q269" s="37" t="str">
        <x:v>전체</x:v>
      </x:c>
      <x:c r="R269" s="37" t="str">
        <x:v>콘텐츠 데이터</x:v>
      </x:c>
      <x:c r="S269" s="37" t="str">
        <x:v>없음</x:v>
      </x:c>
      <x:c r="T269" s="37" t="str">
        <x:v>L</x:v>
      </x:c>
      <x:c r="U269" s="37" t="str">
        <x:v>미착수</x:v>
      </x:c>
      <x:c r="V269" s="42" t="n">
        <x:f>IF(U269="완료",1,IF(U269="QA 진행 중",0.8,IF(U269="코드 리뷰",0.65,IF(U269="구현 중",0.4,IF(U269="사양 확인 중",0.1,IF(U269="차단",0.4,0))))))</x:f>
        <x:v>0</x:v>
      </x:c>
      <x:c r="W269" s="37" t="str">
        <x:v>미정</x:v>
      </x:c>
      <x:c r="X269" s="40"/>
      <x:c r="Y269" s="37" t="str">
        <x:v>CNT-016,SET-004</x:v>
      </x:c>
      <x:c r="Z269" s="37" t="str">
        <x:v>중간</x:v>
      </x:c>
      <x:c r="AA269" s="37" t="str">
        <x:v>현지화</x:v>
      </x:c>
      <x:c r="AB269" s="37" t="str">
        <x:v>TC-CNT-032-01</x:v>
      </x:c>
      <x:c r="AC269" s="37"/>
      <x:c r="AD269" s="37" t="str">
        <x:v>게임 기획서</x:v>
      </x:c>
      <x:c r="AE269" s="37"/>
      <x:c r="AF269" s="40" t="str">
        <x:v>2026-07-10</x:v>
      </x:c>
      <x:c r="AG269" s="37"/>
      <x:c r="AH269" s="49"/>
      <x:c r="AI269" s="49"/>
      <x:c r="AJ269" s="48" t="str">
        <x:v>착수 전</x:v>
      </x:c>
    </x:row>
    <x:row r="270" ht="42" customHeight="1">
      <x:c r="A270" s="37" t="str">
        <x:v>CNT-033</x:v>
      </x:c>
      <x:c r="B270" s="37" t="str">
        <x:v>콘텐츠·맵·미니게임</x:v>
      </x:c>
      <x:c r="C270" s="37" t="str">
        <x:v>온보딩</x:v>
      </x:c>
      <x:c r="D270" s="37" t="str">
        <x:v>연습 콘텐츠</x:v>
      </x:c>
      <x:c r="E270" s="37" t="str">
        <x:v>튜토리얼 연습 공간·모의 메모</x:v>
      </x:c>
      <x:c r="F270" s="37" t="str">
        <x:v>게임 규칙, 운영 요구사항과 대상 플랫폼 제약을 충족하도록 튜토리얼 연습 공간·모의 메모 기능을 구현하고 검증한다.</x:v>
      </x:c>
      <x:c r="G270" s="37" t="str">
        <x:v>다른 플레이어 없이 이동, 타인 등 관찰, 메모 작성, 등 뒤 부착, 미니게임, 밤 투표를 순서대로 연습할 수 있다.</x:v>
      </x:c>
      <x:c r="H270" s="37" t="str">
        <x:v>구현, 코드 리뷰, 사양 갱신, 대상 QA 케이스 실행, 로그·텔레메트리 확인과 관련 플랫폼 검증을 완료하고 미해결 P0·P1 결함이 없다.</x:v>
      </x:c>
      <x:c r="I270" s="37" t="str">
        <x:v>알파</x:v>
      </x:c>
      <x:c r="J270" s="37" t="str">
        <x:v>P0</x:v>
      </x:c>
      <x:c r="K270" s="37" t="str">
        <x:v>필수</x:v>
      </x:c>
      <x:c r="L270" s="37" t="str">
        <x:v>이해도</x:v>
      </x:c>
      <x:c r="M270" s="37" t="str">
        <x:v>알파</x:v>
      </x:c>
      <x:c r="N270" s="37" t="str">
        <x:v>레벨·게임 디자인</x:v>
      </x:c>
      <x:c r="O270" s="37" t="str">
        <x:v>미정</x:v>
      </x:c>
      <x:c r="P270" s="37" t="str">
        <x:v>미정</x:v>
      </x:c>
      <x:c r="Q270" s="37" t="str">
        <x:v>전체</x:v>
      </x:c>
      <x:c r="R270" s="37" t="str">
        <x:v>클라이언트 로컬</x:v>
      </x:c>
      <x:c r="S270" s="37" t="str">
        <x:v>계정</x:v>
      </x:c>
      <x:c r="T270" s="37" t="str">
        <x:v>XL</x:v>
      </x:c>
      <x:c r="U270" s="37" t="str">
        <x:v>미착수</x:v>
      </x:c>
      <x:c r="V270" s="42" t="n">
        <x:f>IF(U270="완료",1,IF(U270="QA 진행 중",0.8,IF(U270="코드 리뷰",0.65,IF(U270="구현 중",0.4,IF(U270="사양 확인 중",0.1,IF(U270="차단",0.4,0))))))</x:f>
        <x:v>0</x:v>
      </x:c>
      <x:c r="W270" s="37" t="str">
        <x:v>미정</x:v>
      </x:c>
      <x:c r="X270" s="40"/>
      <x:c r="Y270" s="37" t="str">
        <x:v>UIX-027,IGM-012,IGM-016,CNT-023</x:v>
      </x:c>
      <x:c r="Z270" s="37" t="str">
        <x:v>중간</x:v>
      </x:c>
      <x:c r="AA270" s="37" t="str">
        <x:v>사용성</x:v>
      </x:c>
      <x:c r="AB270" s="37" t="str">
        <x:v>TC-CNT-033-01, TC-CNT-033-02</x:v>
      </x:c>
      <x:c r="AC270" s="37"/>
      <x:c r="AD270" s="37" t="str">
        <x:v>게임 기획서</x:v>
      </x:c>
      <x:c r="AE270" s="37"/>
      <x:c r="AF270" s="40" t="str">
        <x:v>2026-07-10</x:v>
      </x:c>
      <x:c r="AG270" s="37"/>
      <x:c r="AH270" s="49"/>
      <x:c r="AI270" s="49"/>
      <x:c r="AJ270" s="48" t="str">
        <x:v>착수 전</x:v>
      </x:c>
    </x:row>
    <x:row r="271" ht="42" customHeight="1">
      <x:c r="A271" s="37" t="str">
        <x:v>CNT-034</x:v>
      </x:c>
      <x:c r="B271" s="37" t="str">
        <x:v>콘텐츠·맵·미니게임</x:v>
      </x:c>
      <x:c r="C271" s="37" t="str">
        <x:v>접근성</x:v>
      </x:c>
      <x:c r="D271" s="37" t="str">
        <x:v>콘텐츠 검토</x:v>
      </x:c>
      <x:c r="E271" s="37" t="str">
        <x:v>맵·미니게임 접근성 리뷰</x:v>
      </x:c>
      <x:c r="F271" s="37" t="str">
        <x:v>게임 규칙, 운영 요구사항과 대상 플랫폼 제약을 충족하도록 맵·미니게임 접근성 리뷰 기능을 구현하고 검증한다.</x:v>
      </x:c>
      <x:c r="G271" s="37" t="str">
        <x:v>색상, 점멸, 정밀 조작, 시간 제한, 소리 의존, 글자 크기, 운동 부담을 검토하고 대체 정보와 입력 방식을 구현한다.</x:v>
      </x:c>
      <x:c r="H271" s="37" t="str">
        <x:v>구현, 코드 리뷰, 사양 갱신, 대상 QA 케이스 실행, 로그·텔레메트리 확인과 관련 플랫폼 검증을 완료하고 미해결 P0·P1 결함이 없다.</x:v>
      </x:c>
      <x:c r="I271" s="37" t="str">
        <x:v>베타</x:v>
      </x:c>
      <x:c r="J271" s="37" t="str">
        <x:v>P0</x:v>
      </x:c>
      <x:c r="K271" s="37" t="str">
        <x:v>필수</x:v>
      </x:c>
      <x:c r="L271" s="37" t="str">
        <x:v>접근성</x:v>
      </x:c>
      <x:c r="M271" s="37" t="str">
        <x:v>베타</x:v>
      </x:c>
      <x:c r="N271" s="37" t="str">
        <x:v>레벨·게임 디자인</x:v>
      </x:c>
      <x:c r="O271" s="37" t="str">
        <x:v>미정</x:v>
      </x:c>
      <x:c r="P271" s="37" t="str">
        <x:v>미정</x:v>
      </x:c>
      <x:c r="Q271" s="37" t="str">
        <x:v>전체</x:v>
      </x:c>
      <x:c r="R271" s="37" t="str">
        <x:v>해당 없음</x:v>
      </x:c>
      <x:c r="S271" s="37" t="str">
        <x:v>감사 로그</x:v>
      </x:c>
      <x:c r="T271" s="37" t="str">
        <x:v>M</x:v>
      </x:c>
      <x:c r="U271" s="37" t="str">
        <x:v>미착수</x:v>
      </x:c>
      <x:c r="V271" s="42" t="n">
        <x:f>IF(U271="완료",1,IF(U271="QA 진행 중",0.8,IF(U271="코드 리뷰",0.65,IF(U271="구현 중",0.4,IF(U271="사양 확인 중",0.1,IF(U271="차단",0.4,0))))))</x:f>
        <x:v>0</x:v>
      </x:c>
      <x:c r="W271" s="37" t="str">
        <x:v>미정</x:v>
      </x:c>
      <x:c r="X271" s="40"/>
      <x:c r="Y271" s="37" t="str">
        <x:v>CNT-011,CNT-021,CNT-025,SET-023,SET-024,SET-025</x:v>
      </x:c>
      <x:c r="Z271" s="37" t="str">
        <x:v>중간</x:v>
      </x:c>
      <x:c r="AA271" s="37" t="str">
        <x:v>접근성</x:v>
      </x:c>
      <x:c r="AB271" s="37" t="str">
        <x:v>TC-CNT-034-01, TC-CNT-034-02</x:v>
      </x:c>
      <x:c r="AC271" s="37"/>
      <x:c r="AD271" s="37" t="str">
        <x:v>게임 기획서</x:v>
      </x:c>
      <x:c r="AE271" s="37"/>
      <x:c r="AF271" s="40" t="str">
        <x:v>2026-07-10</x:v>
      </x:c>
      <x:c r="AG271" s="37"/>
      <x:c r="AH271" s="49"/>
      <x:c r="AI271" s="49"/>
      <x:c r="AJ271" s="48" t="str">
        <x:v>착수 전</x:v>
      </x:c>
    </x:row>
    <x:row r="272" ht="42" customHeight="1">
      <x:c r="A272" s="37" t="str">
        <x:v>CNT-035</x:v>
      </x:c>
      <x:c r="B272" s="37" t="str">
        <x:v>콘텐츠·맵·미니게임</x:v>
      </x:c>
      <x:c r="C272" s="37" t="str">
        <x:v>출시 후</x:v>
      </x:c>
      <x:c r="D272" s="37" t="str">
        <x:v>추가 맵</x:v>
      </x:c>
      <x:c r="E272" s="37" t="str">
        <x:v>추가 맵 제작·호환성 게이트</x:v>
      </x:c>
      <x:c r="F272" s="37" t="str">
        <x:v>게임 규칙, 운영 요구사항과 대상 플랫폼 제약을 충족하도록 추가 맵 제작·호환성 게이트 기능을 구현하고 검증한다.</x:v>
      </x:c>
      <x:c r="G272" s="37" t="str">
        <x:v>새 맵은 이동 시간, 대화 범위, 중앙 관찰, 부착 여유 공간, 단말 배치, 성능, 판독성 게이트를 모두 통과한다.</x:v>
      </x:c>
      <x:c r="H272" s="37" t="str">
        <x:v>구현, 코드 리뷰, 사양 갱신, 대상 QA 케이스 실행, 로그·텔레메트리 확인과 관련 플랫폼 검증을 완료하고 미해결 P0·P1 결함이 없다.</x:v>
      </x:c>
      <x:c r="I272" s="37" t="str">
        <x:v>출시 후</x:v>
      </x:c>
      <x:c r="J272" s="37" t="str">
        <x:v>P3</x:v>
      </x:c>
      <x:c r="K272" s="37" t="str">
        <x:v>조건부</x:v>
      </x:c>
      <x:c r="L272" s="37" t="str">
        <x:v>확장</x:v>
      </x:c>
      <x:c r="M272" s="37" t="str">
        <x:v>출시 후</x:v>
      </x:c>
      <x:c r="N272" s="37" t="str">
        <x:v>레벨·게임 디자인</x:v>
      </x:c>
      <x:c r="O272" s="37" t="str">
        <x:v>미정</x:v>
      </x:c>
      <x:c r="P272" s="37" t="str">
        <x:v>미정</x:v>
      </x:c>
      <x:c r="Q272" s="37" t="str">
        <x:v>전체</x:v>
      </x:c>
      <x:c r="R272" s="37" t="str">
        <x:v>콘텐츠 데이터</x:v>
      </x:c>
      <x:c r="S272" s="37" t="str">
        <x:v>없음</x:v>
      </x:c>
      <x:c r="T272" s="37" t="str">
        <x:v>XL</x:v>
      </x:c>
      <x:c r="U272" s="37" t="str">
        <x:v>미착수</x:v>
      </x:c>
      <x:c r="V272" s="42" t="n">
        <x:f>IF(U272="완료",1,IF(U272="QA 진행 중",0.8,IF(U272="코드 리뷰",0.65,IF(U272="구현 중",0.4,IF(U272="사양 확인 중",0.1,IF(U272="차단",0.4,0))))))</x:f>
        <x:v>0</x:v>
      </x:c>
      <x:c r="W272" s="37" t="str">
        <x:v>미정</x:v>
      </x:c>
      <x:c r="X272" s="40"/>
      <x:c r="Y272" s="37" t="str">
        <x:v>CNT-001,CNT-015,CNT-034</x:v>
      </x:c>
      <x:c r="Z272" s="37" t="str">
        <x:v>중간</x:v>
      </x:c>
      <x:c r="AA272" s="37" t="str">
        <x:v>밸런스</x:v>
      </x:c>
      <x:c r="AB272" s="37" t="str">
        <x:v>TC-CNT-035-01</x:v>
      </x:c>
      <x:c r="AC272" s="37"/>
      <x:c r="AD272" s="37" t="str">
        <x:v>게임 기획서</x:v>
      </x:c>
      <x:c r="AE272" s="37"/>
      <x:c r="AF272" s="40" t="str">
        <x:v>2026-07-10</x:v>
      </x:c>
      <x:c r="AG272" s="37"/>
      <x:c r="AH272" s="49"/>
      <x:c r="AI272" s="49"/>
      <x:c r="AJ272" s="48" t="str">
        <x:v>착수 전</x:v>
      </x:c>
    </x:row>
    <x:row r="273" ht="42" customHeight="1">
      <x:c r="A273" s="37" t="str">
        <x:v>QAR-001</x:v>
      </x:c>
      <x:c r="B273" s="37" t="str">
        <x:v>QA·릴리스·운영</x:v>
      </x:c>
      <x:c r="C273" s="37" t="str">
        <x:v>QA 관리</x:v>
      </x:c>
      <x:c r="D273" s="37" t="str">
        <x:v>전략</x:v>
      </x:c>
      <x:c r="E273" s="37" t="str">
        <x:v>제품 테스트 전략·책임 분담</x:v>
      </x:c>
      <x:c r="F273" s="37" t="str">
        <x:v>게임 규칙, 운영 요구사항과 대상 플랫폼 제약을 충족하도록 제품 테스트 전략·책임 분담 기능을 구현하고 검증한다.</x:v>
      </x:c>
      <x:c r="G273" s="37" t="str">
        <x:v>기능, 통합, 네트워크, 보안, 성능, 호환성, 접근성, 밸런스, 운영 시험의 범위, 담당, 시작 조건, 종료 조건을 정의한다.</x:v>
      </x:c>
      <x:c r="H273" s="37" t="str">
        <x:v>구현, 코드 리뷰, 사양 갱신, 대상 QA 케이스 실행, 로그·텔레메트리 확인과 관련 플랫폼 검증을 완료하고 미해결 P0·P1 결함이 없다.</x:v>
      </x:c>
      <x:c r="I273" s="37" t="str">
        <x:v>MVP</x:v>
      </x:c>
      <x:c r="J273" s="37" t="str">
        <x:v>P0</x:v>
      </x:c>
      <x:c r="K273" s="37" t="str">
        <x:v>필수</x:v>
      </x:c>
      <x:c r="L273" s="37" t="str">
        <x:v>QA 기반</x:v>
      </x:c>
      <x:c r="M273" s="37" t="str">
        <x:v>MVP</x:v>
      </x:c>
      <x:c r="N273" s="37" t="str">
        <x:v>QA·릴리스 관리</x:v>
      </x:c>
      <x:c r="O273" s="37" t="str">
        <x:v>미정</x:v>
      </x:c>
      <x:c r="P273" s="37" t="str">
        <x:v>미정</x:v>
      </x:c>
      <x:c r="Q273" s="37" t="str">
        <x:v>전체</x:v>
      </x:c>
      <x:c r="R273" s="37" t="str">
        <x:v>해당 없음</x:v>
      </x:c>
      <x:c r="S273" s="37" t="str">
        <x:v>감사 로그</x:v>
      </x:c>
      <x:c r="T273" s="37" t="str">
        <x:v>L</x:v>
      </x:c>
      <x:c r="U273" s="37" t="str">
        <x:v>미착수</x:v>
      </x:c>
      <x:c r="V273" s="42" t="n">
        <x:f>IF(U273="완료",1,IF(U273="QA 진행 중",0.8,IF(U273="코드 리뷰",0.65,IF(U273="구현 중",0.4,IF(U273="사양 확인 중",0.1,IF(U273="차단",0.4,0))))))</x:f>
        <x:v>0</x:v>
      </x:c>
      <x:c r="W273" s="37" t="str">
        <x:v>미정</x:v>
      </x:c>
      <x:c r="X273" s="40"/>
      <x:c r="Y273" s="37"/>
      <x:c r="Z273" s="37" t="str">
        <x:v>중간</x:v>
      </x:c>
      <x:c r="AA273" s="37" t="str">
        <x:v>운영</x:v>
      </x:c>
      <x:c r="AB273" s="37" t="str">
        <x:v>TC-QAR-001-01, TC-QAR-001-02</x:v>
      </x:c>
      <x:c r="AC273" s="37"/>
      <x:c r="AD273" s="37" t="str">
        <x:v>게임 기획서</x:v>
      </x:c>
      <x:c r="AE273" s="37"/>
      <x:c r="AF273" s="40" t="str">
        <x:v>2026-07-10</x:v>
      </x:c>
      <x:c r="AG273" s="37"/>
      <x:c r="AH273" s="49"/>
      <x:c r="AI273" s="49"/>
      <x:c r="AJ273" s="48" t="str">
        <x:v>착수 전</x:v>
      </x:c>
    </x:row>
    <x:row r="274" ht="42" customHeight="1">
      <x:c r="A274" s="37" t="str">
        <x:v>QAR-002</x:v>
      </x:c>
      <x:c r="B274" s="37" t="str">
        <x:v>QA·릴리스·운영</x:v>
      </x:c>
      <x:c r="C274" s="37" t="str">
        <x:v>QA 관리</x:v>
      </x:c>
      <x:c r="D274" s="37" t="str">
        <x:v>환경</x:v>
      </x:c>
      <x:c r="E274" s="37" t="str">
        <x:v>개발·QA·스테이징·운영 환경</x:v>
      </x:c>
      <x:c r="F274" s="37" t="str">
        <x:v>게임 규칙, 운영 요구사항과 대상 플랫폼 제약을 충족하도록 개발·QA·스테이징·운영 환경 기능을 구현하고 검증한다.</x:v>
      </x:c>
      <x:c r="G274" s="37" t="str">
        <x:v>각 환경의 서비스, 설정, 데이터, 접근 권한, 초기화 절차, 버전 대응 관계를 문서화하고 운영 데이터를 QA 환경에 반입하지 않는다.</x:v>
      </x:c>
      <x:c r="H274" s="37" t="str">
        <x:v>구현, 코드 리뷰, 사양 갱신, 대상 QA 케이스 실행, 로그·텔레메트리 확인과 관련 플랫폼 검증을 완료하고 미해결 P0·P1 결함이 없다.</x:v>
      </x:c>
      <x:c r="I274" s="37" t="str">
        <x:v>알파</x:v>
      </x:c>
      <x:c r="J274" s="37" t="str">
        <x:v>P0</x:v>
      </x:c>
      <x:c r="K274" s="37" t="str">
        <x:v>필수</x:v>
      </x:c>
      <x:c r="L274" s="37" t="str">
        <x:v>QA 기반</x:v>
      </x:c>
      <x:c r="M274" s="37" t="str">
        <x:v>알파</x:v>
      </x:c>
      <x:c r="N274" s="37" t="str">
        <x:v>QA·릴리스 관리</x:v>
      </x:c>
      <x:c r="O274" s="37" t="str">
        <x:v>미정</x:v>
      </x:c>
      <x:c r="P274" s="37" t="str">
        <x:v>미정</x:v>
      </x:c>
      <x:c r="Q274" s="37" t="str">
        <x:v>전체</x:v>
      </x:c>
      <x:c r="R274" s="37" t="str">
        <x:v>해당 없음</x:v>
      </x:c>
      <x:c r="S274" s="37" t="str">
        <x:v>감사 로그</x:v>
      </x:c>
      <x:c r="T274" s="37" t="str">
        <x:v>L</x:v>
      </x:c>
      <x:c r="U274" s="37" t="str">
        <x:v>미착수</x:v>
      </x:c>
      <x:c r="V274" s="42" t="n">
        <x:f>IF(U274="완료",1,IF(U274="QA 진행 중",0.8,IF(U274="코드 리뷰",0.65,IF(U274="구현 중",0.4,IF(U274="사양 확인 중",0.1,IF(U274="차단",0.4,0))))))</x:f>
        <x:v>0</x:v>
      </x:c>
      <x:c r="W274" s="37" t="str">
        <x:v>미정</x:v>
      </x:c>
      <x:c r="X274" s="40"/>
      <x:c r="Y274" s="37" t="str">
        <x:v>BED-028</x:v>
      </x:c>
      <x:c r="Z274" s="37" t="str">
        <x:v>중간</x:v>
      </x:c>
      <x:c r="AA274" s="37" t="str">
        <x:v>운영</x:v>
      </x:c>
      <x:c r="AB274" s="37" t="str">
        <x:v>TC-QAR-002-01, TC-QAR-002-02</x:v>
      </x:c>
      <x:c r="AC274" s="37"/>
      <x:c r="AD274" s="37" t="str">
        <x:v>게임 기획서</x:v>
      </x:c>
      <x:c r="AE274" s="37"/>
      <x:c r="AF274" s="40" t="str">
        <x:v>2026-07-10</x:v>
      </x:c>
      <x:c r="AG274" s="37"/>
      <x:c r="AH274" s="49"/>
      <x:c r="AI274" s="49"/>
      <x:c r="AJ274" s="48" t="str">
        <x:v>착수 전</x:v>
      </x:c>
    </x:row>
    <x:row r="275" ht="42" customHeight="1">
      <x:c r="A275" s="37" t="str">
        <x:v>QAR-003</x:v>
      </x:c>
      <x:c r="B275" s="37" t="str">
        <x:v>QA·릴리스·운영</x:v>
      </x:c>
      <x:c r="C275" s="37" t="str">
        <x:v>빌드 검증</x:v>
      </x:c>
      <x:c r="D275" s="37" t="str">
        <x:v>스모크 시험</x:v>
      </x:c>
      <x:c r="E275" s="37" t="str">
        <x:v>빌드 수용 스모크 테스트</x:v>
      </x:c>
      <x:c r="F275" s="37" t="str">
        <x:v>게임 규칙, 운영 요구사항과 대상 플랫폼 제약을 충족하도록 빌드 수용 스모크 테스트 기능을 구현하고 검증한다.</x:v>
      </x:c>
      <x:c r="G275" s="37" t="str">
        <x:v>지원 플랫폼의 매 빌드에서 실행, 인증, 룸 생성·참가, 시작, 낮, 메모, 밤, 투표, 최종 재판, 결과, 종료를 확인한다.</x:v>
      </x:c>
      <x:c r="H275" s="37" t="str">
        <x:v>구현, 코드 리뷰, 사양 갱신, 대상 QA 케이스 실행, 로그·텔레메트리 확인과 관련 플랫폼 검증을 완료하고 미해결 P0·P1 결함이 없다.</x:v>
      </x:c>
      <x:c r="I275" s="37" t="str">
        <x:v>MVP</x:v>
      </x:c>
      <x:c r="J275" s="37" t="str">
        <x:v>P0</x:v>
      </x:c>
      <x:c r="K275" s="37" t="str">
        <x:v>필수</x:v>
      </x:c>
      <x:c r="L275" s="37" t="str">
        <x:v>빌드</x:v>
      </x:c>
      <x:c r="M275" s="37" t="str">
        <x:v>MVP</x:v>
      </x:c>
      <x:c r="N275" s="37" t="str">
        <x:v>QA·릴리스 관리</x:v>
      </x:c>
      <x:c r="O275" s="37" t="str">
        <x:v>미정</x:v>
      </x:c>
      <x:c r="P275" s="37" t="str">
        <x:v>미정</x:v>
      </x:c>
      <x:c r="Q275" s="37" t="str">
        <x:v>전체</x:v>
      </x:c>
      <x:c r="R275" s="37" t="str">
        <x:v>해당 없음</x:v>
      </x:c>
      <x:c r="S275" s="37" t="str">
        <x:v>감사 로그</x:v>
      </x:c>
      <x:c r="T275" s="37" t="str">
        <x:v>M</x:v>
      </x:c>
      <x:c r="U275" s="37" t="str">
        <x:v>미착수</x:v>
      </x:c>
      <x:c r="V275" s="42" t="n">
        <x:f>IF(U275="완료",1,IF(U275="QA 진행 중",0.8,IF(U275="코드 리뷰",0.65,IF(U275="구현 중",0.4,IF(U275="사양 확인 중",0.1,IF(U275="차단",0.4,0))))))</x:f>
        <x:v>0</x:v>
      </x:c>
      <x:c r="W275" s="37" t="str">
        <x:v>미정</x:v>
      </x:c>
      <x:c r="X275" s="40"/>
      <x:c r="Y275" s="37" t="str">
        <x:v>QAR-001</x:v>
      </x:c>
      <x:c r="Z275" s="37" t="str">
        <x:v>중간</x:v>
      </x:c>
      <x:c r="AA275" s="37" t="str">
        <x:v>통합</x:v>
      </x:c>
      <x:c r="AB275" s="37" t="str">
        <x:v>TC-QAR-003-01, TC-QAR-003-02</x:v>
      </x:c>
      <x:c r="AC275" s="37"/>
      <x:c r="AD275" s="37" t="str">
        <x:v>게임 기획서</x:v>
      </x:c>
      <x:c r="AE275" s="37"/>
      <x:c r="AF275" s="40" t="str">
        <x:v>2026-07-10</x:v>
      </x:c>
      <x:c r="AG275" s="37"/>
      <x:c r="AH275" s="49"/>
      <x:c r="AI275" s="49"/>
      <x:c r="AJ275" s="48" t="str">
        <x:v>착수 전</x:v>
      </x:c>
    </x:row>
    <x:row r="276" ht="42" customHeight="1">
      <x:c r="A276" s="37" t="str">
        <x:v>QAR-004</x:v>
      </x:c>
      <x:c r="B276" s="37" t="str">
        <x:v>QA·릴리스·운영</x:v>
      </x:c>
      <x:c r="C276" s="37" t="str">
        <x:v>기능 QA</x:v>
      </x:c>
      <x:c r="D276" s="37" t="str">
        <x:v>핵심 규칙</x:v>
      </x:c>
      <x:c r="E276" s="37" t="str">
        <x:v>핵심 규칙 기능 시험</x:v>
      </x:c>
      <x:c r="F276" s="37" t="str">
        <x:v>게임 규칙, 운영 요구사항과 대상 플랫폼 제약을 충족하도록 핵심 규칙 기능 시험 기능을 구현하고 검증한다.</x:v>
      </x:c>
      <x:c r="G276" s="37" t="str">
        <x:v>자신의 등 메모 비공개, 색상 위조, 밤 대화 금지, 강제 투표, 최종 재판, 승패 조건을 정상, 오류, 경계 조건에서 검증한다.</x:v>
      </x:c>
      <x:c r="H276" s="37" t="str">
        <x:v>구현, 코드 리뷰, 사양 갱신, 대상 QA 케이스 실행, 로그·텔레메트리 확인과 관련 플랫폼 검증을 완료하고 미해결 P0·P1 결함이 없다.</x:v>
      </x:c>
      <x:c r="I276" s="37" t="str">
        <x:v>MVP</x:v>
      </x:c>
      <x:c r="J276" s="37" t="str">
        <x:v>P0</x:v>
      </x:c>
      <x:c r="K276" s="37" t="str">
        <x:v>필수</x:v>
      </x:c>
      <x:c r="L276" s="37" t="str">
        <x:v>핵심 규칙</x:v>
      </x:c>
      <x:c r="M276" s="37" t="str">
        <x:v>MVP</x:v>
      </x:c>
      <x:c r="N276" s="37" t="str">
        <x:v>QA·릴리스 관리</x:v>
      </x:c>
      <x:c r="O276" s="37" t="str">
        <x:v>미정</x:v>
      </x:c>
      <x:c r="P276" s="37" t="str">
        <x:v>미정</x:v>
      </x:c>
      <x:c r="Q276" s="37" t="str">
        <x:v>전체</x:v>
      </x:c>
      <x:c r="R276" s="37" t="str">
        <x:v>해당 없음</x:v>
      </x:c>
      <x:c r="S276" s="37" t="str">
        <x:v>감사 로그</x:v>
      </x:c>
      <x:c r="T276" s="37" t="str">
        <x:v>XL</x:v>
      </x:c>
      <x:c r="U276" s="37" t="str">
        <x:v>미착수</x:v>
      </x:c>
      <x:c r="V276" s="42" t="n">
        <x:f>IF(U276="완료",1,IF(U276="QA 진행 중",0.8,IF(U276="코드 리뷰",0.65,IF(U276="구현 중",0.4,IF(U276="사양 확인 중",0.1,IF(U276="차단",0.4,0))))))</x:f>
        <x:v>0</x:v>
      </x:c>
      <x:c r="W276" s="37" t="str">
        <x:v>미정</x:v>
      </x:c>
      <x:c r="X276" s="40"/>
      <x:c r="Y276" s="37" t="str">
        <x:v>IGM-019,IGM-014,IGM-023,IGM-031</x:v>
      </x:c>
      <x:c r="Z276" s="37" t="str">
        <x:v>중간</x:v>
      </x:c>
      <x:c r="AA276" s="37" t="str">
        <x:v>기능</x:v>
      </x:c>
      <x:c r="AB276" s="37" t="str">
        <x:v>TC-QAR-004-01, TC-QAR-004-02</x:v>
      </x:c>
      <x:c r="AC276" s="37"/>
      <x:c r="AD276" s="37" t="str">
        <x:v>게임 기획서</x:v>
      </x:c>
      <x:c r="AE276" s="37"/>
      <x:c r="AF276" s="40" t="str">
        <x:v>2026-07-10</x:v>
      </x:c>
      <x:c r="AG276" s="37"/>
      <x:c r="AH276" s="49"/>
      <x:c r="AI276" s="49"/>
      <x:c r="AJ276" s="48" t="str">
        <x:v>착수 전</x:v>
      </x:c>
    </x:row>
    <x:row r="277" ht="42" customHeight="1">
      <x:c r="A277" s="37" t="str">
        <x:v>QAR-005</x:v>
      </x:c>
      <x:c r="B277" s="37" t="str">
        <x:v>QA·릴리스·운영</x:v>
      </x:c>
      <x:c r="C277" s="37" t="str">
        <x:v>보안 QA</x:v>
      </x:c>
      <x:c r="D277" s="37" t="str">
        <x:v>서버 권한</x:v>
      </x:c>
      <x:c r="E277" s="37" t="str">
        <x:v>서버 권한·비정상 요청 시험</x:v>
      </x:c>
      <x:c r="F277" s="37" t="str">
        <x:v>게임 규칙, 운영 요구사항과 대상 플랫폼 제약을 충족하도록 서버 권한·비정상 요청 시험 기능을 구현하고 검증한다.</x:v>
      </x:c>
      <x:c r="G277" s="37" t="str">
        <x:v>역할 변조, 거리 밖 부착, 위조 횟수 초과, 보상 중복, 투표 변조, 설정 변경을 시도하고 서버가 거부하며 기록하는지 확인한다.</x:v>
      </x:c>
      <x:c r="H277" s="37" t="str">
        <x:v>구현, 코드 리뷰, 사양 갱신, 대상 QA 케이스 실행, 로그·텔레메트리 확인과 관련 플랫폼 검증을 완료하고 미해결 P0·P1 결함이 없다.</x:v>
      </x:c>
      <x:c r="I277" s="37" t="str">
        <x:v>알파</x:v>
      </x:c>
      <x:c r="J277" s="37" t="str">
        <x:v>P0</x:v>
      </x:c>
      <x:c r="K277" s="37" t="str">
        <x:v>필수</x:v>
      </x:c>
      <x:c r="L277" s="37" t="str">
        <x:v>보안</x:v>
      </x:c>
      <x:c r="M277" s="37" t="str">
        <x:v>알파</x:v>
      </x:c>
      <x:c r="N277" s="37" t="str">
        <x:v>QA·릴리스 관리</x:v>
      </x:c>
      <x:c r="O277" s="37" t="str">
        <x:v>미정</x:v>
      </x:c>
      <x:c r="P277" s="37" t="str">
        <x:v>미정</x:v>
      </x:c>
      <x:c r="Q277" s="37" t="str">
        <x:v>서버</x:v>
      </x:c>
      <x:c r="R277" s="37" t="str">
        <x:v>해당 없음</x:v>
      </x:c>
      <x:c r="S277" s="37" t="str">
        <x:v>감사 로그</x:v>
      </x:c>
      <x:c r="T277" s="37" t="str">
        <x:v>XL</x:v>
      </x:c>
      <x:c r="U277" s="37" t="str">
        <x:v>미착수</x:v>
      </x:c>
      <x:c r="V277" s="42" t="n">
        <x:f>IF(U277="완료",1,IF(U277="QA 진행 중",0.8,IF(U277="코드 리뷰",0.65,IF(U277="구현 중",0.4,IF(U277="사양 확인 중",0.1,IF(U277="차단",0.4,0))))))</x:f>
        <x:v>0</x:v>
      </x:c>
      <x:c r="W277" s="37" t="str">
        <x:v>미정</x:v>
      </x:c>
      <x:c r="X277" s="40"/>
      <x:c r="Y277" s="37" t="str">
        <x:v>NET-012,NET-026</x:v>
      </x:c>
      <x:c r="Z277" s="37" t="str">
        <x:v>중간</x:v>
      </x:c>
      <x:c r="AA277" s="37" t="str">
        <x:v>보안</x:v>
      </x:c>
      <x:c r="AB277" s="37" t="str">
        <x:v>TC-QAR-005-01, TC-QAR-005-02</x:v>
      </x:c>
      <x:c r="AC277" s="37"/>
      <x:c r="AD277" s="37" t="str">
        <x:v>게임 기획서</x:v>
      </x:c>
      <x:c r="AE277" s="37"/>
      <x:c r="AF277" s="40" t="str">
        <x:v>2026-07-10</x:v>
      </x:c>
      <x:c r="AG277" s="37"/>
      <x:c r="AH277" s="49"/>
      <x:c r="AI277" s="49"/>
      <x:c r="AJ277" s="48" t="str">
        <x:v>착수 전</x:v>
      </x:c>
    </x:row>
    <x:row r="278" ht="42" customHeight="1">
      <x:c r="A278" s="37" t="str">
        <x:v>QAR-006</x:v>
      </x:c>
      <x:c r="B278" s="37" t="str">
        <x:v>QA·릴리스·운영</x:v>
      </x:c>
      <x:c r="C278" s="37" t="str">
        <x:v>보안 QA</x:v>
      </x:c>
      <x:c r="D278" s="37" t="str">
        <x:v>정보 유출</x:v>
      </x:c>
      <x:c r="E278" s="37" t="str">
        <x:v>비공개 정보 유출 시험</x:v>
      </x:c>
      <x:c r="F278" s="37" t="str">
        <x:v>게임 규칙, 운영 요구사항과 대상 플랫폼 제약을 충족하도록 비공개 정보 유출 시험 기능을 구현하고 검증한다.</x:v>
      </x:c>
      <x:c r="G278" s="37" t="str">
        <x:v>본인 등 메모, 실제 작성자, 위조 여부, 다른 플레이어 역할, 중간 투표 결과, 비밀 음성이 네트워크, 로그, UI, 재접속, 크래시 덤프에서 노출되지 않는다.</x:v>
      </x:c>
      <x:c r="H278" s="37" t="str">
        <x:v>구현, 코드 리뷰, 사양 갱신, 대상 QA 케이스 실행, 로그·텔레메트리 확인과 관련 플랫폼 검증을 완료하고 미해결 P0·P1 결함이 없다.</x:v>
      </x:c>
      <x:c r="I278" s="37" t="str">
        <x:v>알파</x:v>
      </x:c>
      <x:c r="J278" s="37" t="str">
        <x:v>P0</x:v>
      </x:c>
      <x:c r="K278" s="37" t="str">
        <x:v>필수</x:v>
      </x:c>
      <x:c r="L278" s="37" t="str">
        <x:v>정보 비공개</x:v>
      </x:c>
      <x:c r="M278" s="37" t="str">
        <x:v>알파</x:v>
      </x:c>
      <x:c r="N278" s="37" t="str">
        <x:v>QA·릴리스 관리</x:v>
      </x:c>
      <x:c r="O278" s="37" t="str">
        <x:v>미정</x:v>
      </x:c>
      <x:c r="P278" s="37" t="str">
        <x:v>미정</x:v>
      </x:c>
      <x:c r="Q278" s="37" t="str">
        <x:v>전체</x:v>
      </x:c>
      <x:c r="R278" s="37" t="str">
        <x:v>해당 없음</x:v>
      </x:c>
      <x:c r="S278" s="37" t="str">
        <x:v>감사 로그</x:v>
      </x:c>
      <x:c r="T278" s="37" t="str">
        <x:v>XL</x:v>
      </x:c>
      <x:c r="U278" s="37" t="str">
        <x:v>미착수</x:v>
      </x:c>
      <x:c r="V278" s="42" t="n">
        <x:f>IF(U278="완료",1,IF(U278="QA 진행 중",0.8,IF(U278="코드 리뷰",0.65,IF(U278="구현 중",0.4,IF(U278="사양 확인 중",0.1,IF(U278="차단",0.4,0))))))</x:f>
        <x:v>0</x:v>
      </x:c>
      <x:c r="W278" s="37" t="str">
        <x:v>미정</x:v>
      </x:c>
      <x:c r="X278" s="40"/>
      <x:c r="Y278" s="37" t="str">
        <x:v>NET-017,NET-018,BED-023,AUD-020</x:v>
      </x:c>
      <x:c r="Z278" s="37" t="str">
        <x:v>중간</x:v>
      </x:c>
      <x:c r="AA278" s="37" t="str">
        <x:v>보안</x:v>
      </x:c>
      <x:c r="AB278" s="37" t="str">
        <x:v>TC-QAR-006-01, TC-QAR-006-02</x:v>
      </x:c>
      <x:c r="AC278" s="37"/>
      <x:c r="AD278" s="37" t="str">
        <x:v>게임 기획서</x:v>
      </x:c>
      <x:c r="AE278" s="37"/>
      <x:c r="AF278" s="40" t="str">
        <x:v>2026-07-10</x:v>
      </x:c>
      <x:c r="AG278" s="37"/>
      <x:c r="AH278" s="49"/>
      <x:c r="AI278" s="49"/>
      <x:c r="AJ278" s="48" t="str">
        <x:v>착수 전</x:v>
      </x:c>
    </x:row>
    <x:row r="279" ht="42" customHeight="1">
      <x:c r="A279" s="37" t="str">
        <x:v>QAR-007</x:v>
      </x:c>
      <x:c r="B279" s="37" t="str">
        <x:v>QA·릴리스·운영</x:v>
      </x:c>
      <x:c r="C279" s="37" t="str">
        <x:v>네트워크 QA</x:v>
      </x:c>
      <x:c r="D279" s="37" t="str">
        <x:v>조건 매트릭스</x:v>
      </x:c>
      <x:c r="E279" s="37" t="str">
        <x:v>지연·손실·지터·단시간 단절 시험 매트릭스</x:v>
      </x:c>
      <x:c r="F279" s="37" t="str">
        <x:v>게임 규칙, 운영 요구사항과 대상 플랫폼 제약을 충족하도록 지연·손실·지터·단시간 단절 시험 매트릭스 기능을 구현하고 검증한다.</x:v>
      </x:c>
      <x:c r="G279" s="37" t="str">
        <x:v>정의된 네트워크 프로파일에서 페이즈, 메모, 미니게임, 투표, 음성을 반복하고 중복, 누락, 상태 분기, 조작 불능이 없는지 검증한다.</x:v>
      </x:c>
      <x:c r="H279" s="37" t="str">
        <x:v>구현, 코드 리뷰, 사양 갱신, 대상 QA 케이스 실행, 로그·텔레메트리 확인과 관련 플랫폼 검증을 완료하고 미해결 P0·P1 결함이 없다.</x:v>
      </x:c>
      <x:c r="I279" s="37" t="str">
        <x:v>알파</x:v>
      </x:c>
      <x:c r="J279" s="37" t="str">
        <x:v>P0</x:v>
      </x:c>
      <x:c r="K279" s="37" t="str">
        <x:v>필수</x:v>
      </x:c>
      <x:c r="L279" s="37" t="str">
        <x:v>네트워크</x:v>
      </x:c>
      <x:c r="M279" s="37" t="str">
        <x:v>알파</x:v>
      </x:c>
      <x:c r="N279" s="37" t="str">
        <x:v>QA·릴리스 관리</x:v>
      </x:c>
      <x:c r="O279" s="37" t="str">
        <x:v>미정</x:v>
      </x:c>
      <x:c r="P279" s="37" t="str">
        <x:v>미정</x:v>
      </x:c>
      <x:c r="Q279" s="37" t="str">
        <x:v>전체</x:v>
      </x:c>
      <x:c r="R279" s="37" t="str">
        <x:v>해당 없음</x:v>
      </x:c>
      <x:c r="S279" s="37" t="str">
        <x:v>감사 로그</x:v>
      </x:c>
      <x:c r="T279" s="37" t="str">
        <x:v>XL</x:v>
      </x:c>
      <x:c r="U279" s="37" t="str">
        <x:v>미착수</x:v>
      </x:c>
      <x:c r="V279" s="42" t="n">
        <x:f>IF(U279="완료",1,IF(U279="QA 진행 중",0.8,IF(U279="코드 리뷰",0.65,IF(U279="구현 중",0.4,IF(U279="사양 확인 중",0.1,IF(U279="차단",0.4,0))))))</x:f>
        <x:v>0</x:v>
      </x:c>
      <x:c r="W279" s="37" t="str">
        <x:v>미정</x:v>
      </x:c>
      <x:c r="X279" s="40"/>
      <x:c r="Y279" s="37" t="str">
        <x:v>NET-024</x:v>
      </x:c>
      <x:c r="Z279" s="37" t="str">
        <x:v>중간</x:v>
      </x:c>
      <x:c r="AA279" s="37" t="str">
        <x:v>네트워크</x:v>
      </x:c>
      <x:c r="AB279" s="37" t="str">
        <x:v>TC-QAR-007-01, TC-QAR-007-02</x:v>
      </x:c>
      <x:c r="AC279" s="37"/>
      <x:c r="AD279" s="37" t="str">
        <x:v>게임 기획서</x:v>
      </x:c>
      <x:c r="AE279" s="37"/>
      <x:c r="AF279" s="40" t="str">
        <x:v>2026-07-10</x:v>
      </x:c>
      <x:c r="AG279" s="37"/>
      <x:c r="AH279" s="49"/>
      <x:c r="AI279" s="49"/>
      <x:c r="AJ279" s="48" t="str">
        <x:v>착수 전</x:v>
      </x:c>
    </x:row>
    <x:row r="280" ht="42" customHeight="1">
      <x:c r="A280" s="37" t="str">
        <x:v>QAR-008</x:v>
      </x:c>
      <x:c r="B280" s="37" t="str">
        <x:v>QA·릴리스·운영</x:v>
      </x:c>
      <x:c r="C280" s="37" t="str">
        <x:v>네트워크 QA</x:v>
      </x:c>
      <x:c r="D280" s="37" t="str">
        <x:v>재접속</x:v>
      </x:c>
      <x:c r="E280" s="37" t="str">
        <x:v>모든 페이즈 재접속 시험</x:v>
      </x:c>
      <x:c r="F280" s="37" t="str">
        <x:v>게임 규칙, 운영 요구사항과 대상 플랫폼 제약을 충족하도록 모든 페이즈 재접속 시험 기능을 구현하고 검증한다.</x:v>
      </x:c>
      <x:c r="G280" s="37" t="str">
        <x:v>로비, 역할 공개, 낮 부착 중, 밤 관찰, 투표 완료, 최종 발언, 결과 저장 중에 연결을 끊고 복귀해 상태와 비공개 정보가 정확히 복원되는지 확인한다.</x:v>
      </x:c>
      <x:c r="H280" s="37" t="str">
        <x:v>구현, 코드 리뷰, 사양 갱신, 대상 QA 케이스 실행, 로그·텔레메트리 확인과 관련 플랫폼 검증을 완료하고 미해결 P0·P1 결함이 없다.</x:v>
      </x:c>
      <x:c r="I280" s="37" t="str">
        <x:v>알파</x:v>
      </x:c>
      <x:c r="J280" s="37" t="str">
        <x:v>P0</x:v>
      </x:c>
      <x:c r="K280" s="37" t="str">
        <x:v>필수</x:v>
      </x:c>
      <x:c r="L280" s="37" t="str">
        <x:v>안정성</x:v>
      </x:c>
      <x:c r="M280" s="37" t="str">
        <x:v>알파</x:v>
      </x:c>
      <x:c r="N280" s="37" t="str">
        <x:v>QA·릴리스 관리</x:v>
      </x:c>
      <x:c r="O280" s="37" t="str">
        <x:v>미정</x:v>
      </x:c>
      <x:c r="P280" s="37" t="str">
        <x:v>미정</x:v>
      </x:c>
      <x:c r="Q280" s="37" t="str">
        <x:v>전체</x:v>
      </x:c>
      <x:c r="R280" s="37" t="str">
        <x:v>해당 없음</x:v>
      </x:c>
      <x:c r="S280" s="37" t="str">
        <x:v>감사 로그</x:v>
      </x:c>
      <x:c r="T280" s="37" t="str">
        <x:v>XL</x:v>
      </x:c>
      <x:c r="U280" s="37" t="str">
        <x:v>미착수</x:v>
      </x:c>
      <x:c r="V280" s="42" t="n">
        <x:f>IF(U280="완료",1,IF(U280="QA 진행 중",0.8,IF(U280="코드 리뷰",0.65,IF(U280="구현 중",0.4,IF(U280="사양 확인 중",0.1,IF(U280="차단",0.4,0))))))</x:f>
        <x:v>0</x:v>
      </x:c>
      <x:c r="W280" s="37" t="str">
        <x:v>미정</x:v>
      </x:c>
      <x:c r="X280" s="40"/>
      <x:c r="Y280" s="37" t="str">
        <x:v>IGM-033,ONL-017,NET-019</x:v>
      </x:c>
      <x:c r="Z280" s="37" t="str">
        <x:v>중간</x:v>
      </x:c>
      <x:c r="AA280" s="37" t="str">
        <x:v>네트워크</x:v>
      </x:c>
      <x:c r="AB280" s="37" t="str">
        <x:v>TC-QAR-008-01, TC-QAR-008-02</x:v>
      </x:c>
      <x:c r="AC280" s="37"/>
      <x:c r="AD280" s="37" t="str">
        <x:v>게임 기획서</x:v>
      </x:c>
      <x:c r="AE280" s="37"/>
      <x:c r="AF280" s="40" t="str">
        <x:v>2026-07-10</x:v>
      </x:c>
      <x:c r="AG280" s="37"/>
      <x:c r="AH280" s="49"/>
      <x:c r="AI280" s="49"/>
      <x:c r="AJ280" s="48" t="str">
        <x:v>착수 전</x:v>
      </x:c>
    </x:row>
    <x:row r="281" ht="42" customHeight="1">
      <x:c r="A281" s="37" t="str">
        <x:v>QAR-009</x:v>
      </x:c>
      <x:c r="B281" s="37" t="str">
        <x:v>QA·릴리스·운영</x:v>
      </x:c>
      <x:c r="C281" s="37" t="str">
        <x:v>UX QA</x:v>
      </x:c>
      <x:c r="D281" s="37" t="str">
        <x:v>화면 범위</x:v>
      </x:c>
      <x:c r="E281" s="37" t="str">
        <x:v>전체 화면·입력·해상도 UI 시험</x:v>
      </x:c>
      <x:c r="F281" s="37" t="str">
        <x:v>게임 규칙, 운영 요구사항과 대상 플랫폼 제약을 충족하도록 전체 화면·입력·해상도 UI 시험 기능을 구현하고 검증한다.</x:v>
      </x:c>
      <x:c r="G281" s="37" t="str">
        <x:v>키보드·마우스, 게임패드, 16:9·16:10·21:9, 세이프 영역, 최소·최대 텍스트 배율에서 주요 화면이 잘리지 않고 조작 가능하다.</x:v>
      </x:c>
      <x:c r="H281" s="37" t="str">
        <x:v>구현, 코드 리뷰, 사양 갱신, 대상 QA 케이스 실행, 로그·텔레메트리 확인과 관련 플랫폼 검증을 완료하고 미해결 P0·P1 결함이 없다.</x:v>
      </x:c>
      <x:c r="I281" s="37" t="str">
        <x:v>베타</x:v>
      </x:c>
      <x:c r="J281" s="37" t="str">
        <x:v>P0</x:v>
      </x:c>
      <x:c r="K281" s="37" t="str">
        <x:v>필수</x:v>
      </x:c>
      <x:c r="L281" s="37" t="str">
        <x:v>UX</x:v>
      </x:c>
      <x:c r="M281" s="37" t="str">
        <x:v>베타</x:v>
      </x:c>
      <x:c r="N281" s="37" t="str">
        <x:v>QA·릴리스 관리</x:v>
      </x:c>
      <x:c r="O281" s="37" t="str">
        <x:v>미정</x:v>
      </x:c>
      <x:c r="P281" s="37" t="str">
        <x:v>미정</x:v>
      </x:c>
      <x:c r="Q281" s="37" t="str">
        <x:v>전체</x:v>
      </x:c>
      <x:c r="R281" s="37" t="str">
        <x:v>해당 없음</x:v>
      </x:c>
      <x:c r="S281" s="37" t="str">
        <x:v>감사 로그</x:v>
      </x:c>
      <x:c r="T281" s="37" t="str">
        <x:v>XL</x:v>
      </x:c>
      <x:c r="U281" s="37" t="str">
        <x:v>미착수</x:v>
      </x:c>
      <x:c r="V281" s="42" t="n">
        <x:f>IF(U281="완료",1,IF(U281="QA 진행 중",0.8,IF(U281="코드 리뷰",0.65,IF(U281="구현 중",0.4,IF(U281="사양 확인 중",0.1,IF(U281="차단",0.4,0))))))</x:f>
        <x:v>0</x:v>
      </x:c>
      <x:c r="W281" s="37" t="str">
        <x:v>미정</x:v>
      </x:c>
      <x:c r="X281" s="40"/>
      <x:c r="Y281" s="37" t="str">
        <x:v>UIX-029,SET-006</x:v>
      </x:c>
      <x:c r="Z281" s="37" t="str">
        <x:v>중간</x:v>
      </x:c>
      <x:c r="AA281" s="37" t="str">
        <x:v>호환성</x:v>
      </x:c>
      <x:c r="AB281" s="37" t="str">
        <x:v>TC-QAR-009-01, TC-QAR-009-02</x:v>
      </x:c>
      <x:c r="AC281" s="37"/>
      <x:c r="AD281" s="37" t="str">
        <x:v>게임 기획서</x:v>
      </x:c>
      <x:c r="AE281" s="37"/>
      <x:c r="AF281" s="40" t="str">
        <x:v>2026-07-10</x:v>
      </x:c>
      <x:c r="AG281" s="37"/>
      <x:c r="AH281" s="49"/>
      <x:c r="AI281" s="49"/>
      <x:c r="AJ281" s="48" t="str">
        <x:v>착수 전</x:v>
      </x:c>
    </x:row>
    <x:row r="282" ht="42" customHeight="1">
      <x:c r="A282" s="37" t="str">
        <x:v>QAR-010</x:v>
      </x:c>
      <x:c r="B282" s="37" t="str">
        <x:v>QA·릴리스·운영</x:v>
      </x:c>
      <x:c r="C282" s="37" t="str">
        <x:v>접근성 QA</x:v>
      </x:c>
      <x:c r="D282" s="37" t="str">
        <x:v>접근성</x:v>
      </x:c>
      <x:c r="E282" s="37" t="str">
        <x:v>색각·자막·텍스트·저자극·입력 대체 시험</x:v>
      </x:c>
      <x:c r="F282" s="37" t="str">
        <x:v>게임 규칙, 운영 요구사항과 대상 플랫폼 제약을 충족하도록 색각·자막·텍스트·저자극·입력 대체 시험 기능을 구현하고 검증한다.</x:v>
      </x:c>
      <x:c r="G282" s="37" t="str">
        <x:v>중요 정보가 색상이나 소리에만 의존하지 않고 텍스트 배율, 자막, 패턴, 길게 누르기 대체, 저자극 설정이 주요 흐름에서 작동한다.</x:v>
      </x:c>
      <x:c r="H282" s="37" t="str">
        <x:v>구현, 코드 리뷰, 사양 갱신, 대상 QA 케이스 실행, 로그·텔레메트리 확인과 관련 플랫폼 검증을 완료하고 미해결 P0·P1 결함이 없다.</x:v>
      </x:c>
      <x:c r="I282" s="37" t="str">
        <x:v>베타</x:v>
      </x:c>
      <x:c r="J282" s="37" t="str">
        <x:v>P0</x:v>
      </x:c>
      <x:c r="K282" s="37" t="str">
        <x:v>필수</x:v>
      </x:c>
      <x:c r="L282" s="37" t="str">
        <x:v>접근성</x:v>
      </x:c>
      <x:c r="M282" s="37" t="str">
        <x:v>베타</x:v>
      </x:c>
      <x:c r="N282" s="37" t="str">
        <x:v>QA·릴리스 관리</x:v>
      </x:c>
      <x:c r="O282" s="37" t="str">
        <x:v>미정</x:v>
      </x:c>
      <x:c r="P282" s="37" t="str">
        <x:v>미정</x:v>
      </x:c>
      <x:c r="Q282" s="37" t="str">
        <x:v>전체</x:v>
      </x:c>
      <x:c r="R282" s="37" t="str">
        <x:v>해당 없음</x:v>
      </x:c>
      <x:c r="S282" s="37" t="str">
        <x:v>감사 로그</x:v>
      </x:c>
      <x:c r="T282" s="37" t="str">
        <x:v>XL</x:v>
      </x:c>
      <x:c r="U282" s="37" t="str">
        <x:v>미착수</x:v>
      </x:c>
      <x:c r="V282" s="42" t="n">
        <x:f>IF(U282="완료",1,IF(U282="QA 진행 중",0.8,IF(U282="코드 리뷰",0.65,IF(U282="구현 중",0.4,IF(U282="사양 확인 중",0.1,IF(U282="차단",0.4,0))))))</x:f>
        <x:v>0</x:v>
      </x:c>
      <x:c r="W282" s="37" t="str">
        <x:v>미정</x:v>
      </x:c>
      <x:c r="X282" s="40"/>
      <x:c r="Y282" s="37" t="str">
        <x:v>SET-023,SET-024,SET-025,UIX-028,AUD-015</x:v>
      </x:c>
      <x:c r="Z282" s="37" t="str">
        <x:v>중간</x:v>
      </x:c>
      <x:c r="AA282" s="37" t="str">
        <x:v>접근성</x:v>
      </x:c>
      <x:c r="AB282" s="37" t="str">
        <x:v>TC-QAR-010-01, TC-QAR-010-02</x:v>
      </x:c>
      <x:c r="AC282" s="37"/>
      <x:c r="AD282" s="37" t="str">
        <x:v>게임 기획서</x:v>
      </x:c>
      <x:c r="AE282" s="37"/>
      <x:c r="AF282" s="40" t="str">
        <x:v>2026-07-10</x:v>
      </x:c>
      <x:c r="AG282" s="37"/>
      <x:c r="AH282" s="49"/>
      <x:c r="AI282" s="49"/>
      <x:c r="AJ282" s="48" t="str">
        <x:v>착수 전</x:v>
      </x:c>
    </x:row>
    <x:row r="283" ht="42" customHeight="1">
      <x:c r="A283" s="37" t="str">
        <x:v>QAR-011</x:v>
      </x:c>
      <x:c r="B283" s="37" t="str">
        <x:v>QA·릴리스·운영</x:v>
      </x:c>
      <x:c r="C283" s="37" t="str">
        <x:v>현지화 QA</x:v>
      </x:c>
      <x:c r="D283" s="37" t="str">
        <x:v>현지화</x:v>
      </x:c>
      <x:c r="E283" s="37" t="str">
        <x:v>한국어·영어·의사 현지화 검증</x:v>
      </x:c>
      <x:c r="F283" s="37" t="str">
        <x:v>게임 규칙, 운영 요구사항과 대상 플랫폼 제약을 충족하도록 한국어·영어·의사 현지화 검증 기능을 구현하고 검증한다.</x:v>
      </x:c>
      <x:c r="G283" s="37" t="str">
        <x:v>누락 키, 문자 깨짐, 잘림, 줄바꿈, 문맥, 입력 아이콘, 금지 문자, 가변 길이, 음성·자막 동기화를 검증한다.</x:v>
      </x:c>
      <x:c r="H283" s="37" t="str">
        <x:v>구현, 코드 리뷰, 사양 갱신, 대상 QA 케이스 실행, 로그·텔레메트리 확인과 관련 플랫폼 검증을 완료하고 미해결 P0·P1 결함이 없다.</x:v>
      </x:c>
      <x:c r="I283" s="37" t="str">
        <x:v>베타</x:v>
      </x:c>
      <x:c r="J283" s="37" t="str">
        <x:v>P1</x:v>
      </x:c>
      <x:c r="K283" s="37" t="str">
        <x:v>필수</x:v>
      </x:c>
      <x:c r="L283" s="37" t="str">
        <x:v>현지화</x:v>
      </x:c>
      <x:c r="M283" s="37" t="str">
        <x:v>베타</x:v>
      </x:c>
      <x:c r="N283" s="37" t="str">
        <x:v>QA·릴리스 관리</x:v>
      </x:c>
      <x:c r="O283" s="37" t="str">
        <x:v>미정</x:v>
      </x:c>
      <x:c r="P283" s="37" t="str">
        <x:v>미정</x:v>
      </x:c>
      <x:c r="Q283" s="37" t="str">
        <x:v>전체</x:v>
      </x:c>
      <x:c r="R283" s="37" t="str">
        <x:v>해당 없음</x:v>
      </x:c>
      <x:c r="S283" s="37" t="str">
        <x:v>감사 로그</x:v>
      </x:c>
      <x:c r="T283" s="37" t="str">
        <x:v>L</x:v>
      </x:c>
      <x:c r="U283" s="37" t="str">
        <x:v>미착수</x:v>
      </x:c>
      <x:c r="V283" s="42" t="n">
        <x:f>IF(U283="완료",1,IF(U283="QA 진행 중",0.8,IF(U283="코드 리뷰",0.65,IF(U283="구현 중",0.4,IF(U283="사양 확인 중",0.1,IF(U283="차단",0.4,0))))))</x:f>
        <x:v>0</x:v>
      </x:c>
      <x:c r="W283" s="37" t="str">
        <x:v>미정</x:v>
      </x:c>
      <x:c r="X283" s="40"/>
      <x:c r="Y283" s="37" t="str">
        <x:v>SET-004,UIX-029,CNT-032,AUD-021</x:v>
      </x:c>
      <x:c r="Z283" s="37" t="str">
        <x:v>중간</x:v>
      </x:c>
      <x:c r="AA283" s="37" t="str">
        <x:v>현지화</x:v>
      </x:c>
      <x:c r="AB283" s="37" t="str">
        <x:v>TC-QAR-011-01</x:v>
      </x:c>
      <x:c r="AC283" s="37"/>
      <x:c r="AD283" s="37" t="str">
        <x:v>게임 기획서</x:v>
      </x:c>
      <x:c r="AE283" s="37"/>
      <x:c r="AF283" s="40" t="str">
        <x:v>2026-07-10</x:v>
      </x:c>
      <x:c r="AG283" s="37"/>
      <x:c r="AH283" s="49"/>
      <x:c r="AI283" s="49"/>
      <x:c r="AJ283" s="48" t="str">
        <x:v>착수 전</x:v>
      </x:c>
    </x:row>
    <x:row r="284" ht="42" customHeight="1">
      <x:c r="A284" s="37" t="str">
        <x:v>QAR-012</x:v>
      </x:c>
      <x:c r="B284" s="37" t="str">
        <x:v>QA·릴리스·운영</x:v>
      </x:c>
      <x:c r="C284" s="37" t="str">
        <x:v>음성 QA</x:v>
      </x:c>
      <x:c r="D284" s="37" t="str">
        <x:v>음성 채팅</x:v>
      </x:c>
      <x:c r="E284" s="37" t="str">
        <x:v>근거리·차폐·밤 음소거·최종 발언 음성 시험</x:v>
      </x:c>
      <x:c r="F284" s="37" t="str">
        <x:v>게임 규칙, 운영 요구사항과 대상 플랫폼 제약을 충족하도록 근거리·차폐·밤 음소거·최종 발언 음성 시험 기능을 구현하고 검증한다.</x:v>
      </x:c>
      <x:c r="G284" s="37" t="str">
        <x:v>거리, 벽, 장치 전환, PTT·VAD, 음소거, 차단, 밤, 최종 발언, 재접속, 크로스플레이를 실제 기기에서 검증한다.</x:v>
      </x:c>
      <x:c r="H284" s="37" t="str">
        <x:v>구현, 코드 리뷰, 사양 갱신, 대상 QA 케이스 실행, 로그·텔레메트리 확인과 관련 플랫폼 검증을 완료하고 미해결 P0·P1 결함이 없다.</x:v>
      </x:c>
      <x:c r="I284" s="37" t="str">
        <x:v>베타</x:v>
      </x:c>
      <x:c r="J284" s="37" t="str">
        <x:v>P0</x:v>
      </x:c>
      <x:c r="K284" s="37" t="str">
        <x:v>필수</x:v>
      </x:c>
      <x:c r="L284" s="37" t="str">
        <x:v>음성</x:v>
      </x:c>
      <x:c r="M284" s="37" t="str">
        <x:v>베타</x:v>
      </x:c>
      <x:c r="N284" s="37" t="str">
        <x:v>QA·릴리스 관리</x:v>
      </x:c>
      <x:c r="O284" s="37" t="str">
        <x:v>미정</x:v>
      </x:c>
      <x:c r="P284" s="37" t="str">
        <x:v>미정</x:v>
      </x:c>
      <x:c r="Q284" s="37" t="str">
        <x:v>전체</x:v>
      </x:c>
      <x:c r="R284" s="37" t="str">
        <x:v>해당 없음</x:v>
      </x:c>
      <x:c r="S284" s="37" t="str">
        <x:v>감사 로그</x:v>
      </x:c>
      <x:c r="T284" s="37" t="str">
        <x:v>XL</x:v>
      </x:c>
      <x:c r="U284" s="37" t="str">
        <x:v>미착수</x:v>
      </x:c>
      <x:c r="V284" s="42" t="n">
        <x:f>IF(U284="완료",1,IF(U284="QA 진행 중",0.8,IF(U284="코드 리뷰",0.65,IF(U284="구현 중",0.4,IF(U284="사양 확인 중",0.1,IF(U284="차단",0.4,0))))))</x:f>
        <x:v>0</x:v>
      </x:c>
      <x:c r="W284" s="37" t="str">
        <x:v>미정</x:v>
      </x:c>
      <x:c r="X284" s="40"/>
      <x:c r="Y284" s="37" t="str">
        <x:v>AUD-004,AUD-006,AUD-008,AUD-023</x:v>
      </x:c>
      <x:c r="Z284" s="37" t="str">
        <x:v>중간</x:v>
      </x:c>
      <x:c r="AA284" s="37" t="str">
        <x:v>호환성</x:v>
      </x:c>
      <x:c r="AB284" s="37" t="str">
        <x:v>TC-QAR-012-01, TC-QAR-012-02</x:v>
      </x:c>
      <x:c r="AC284" s="37"/>
      <x:c r="AD284" s="37" t="str">
        <x:v>게임 기획서</x:v>
      </x:c>
      <x:c r="AE284" s="37"/>
      <x:c r="AF284" s="40" t="str">
        <x:v>2026-07-10</x:v>
      </x:c>
      <x:c r="AG284" s="37"/>
      <x:c r="AH284" s="49"/>
      <x:c r="AI284" s="49"/>
      <x:c r="AJ284" s="48" t="str">
        <x:v>착수 전</x:v>
      </x:c>
    </x:row>
    <x:row r="285" ht="42" customHeight="1">
      <x:c r="A285" s="37" t="str">
        <x:v>QAR-013</x:v>
      </x:c>
      <x:c r="B285" s="37" t="str">
        <x:v>QA·릴리스·운영</x:v>
      </x:c>
      <x:c r="C285" s="37" t="str">
        <x:v>성능 QA</x:v>
      </x:c>
      <x:c r="D285" s="37" t="str">
        <x:v>클라이언트</x:v>
      </x:c>
      <x:c r="E285" s="37" t="str">
        <x:v>클라이언트 성능·메모리·발열·로딩 시험</x:v>
      </x:c>
      <x:c r="F285" s="37" t="str">
        <x:v>게임 규칙, 운영 요구사항과 대상 플랫폼 제약을 충족하도록 클라이언트 성능·메모리·발열·로딩 시험 기능을 구현하고 검증한다.</x:v>
      </x:c>
      <x:c r="G285" s="37" t="str">
        <x:v>6명, 최대 메모, 전체 LED·음성·미니게임의 최악 조건에서 목표 FPS, 프레임 시간, 메모리, 로딩, 발열·전력 기준을 충족한다.</x:v>
      </x:c>
      <x:c r="H285" s="37" t="str">
        <x:v>구현, 코드 리뷰, 사양 갱신, 대상 QA 케이스 실행, 로그·텔레메트리 확인과 관련 플랫폼 검증을 완료하고 미해결 P0·P1 결함이 없다.</x:v>
      </x:c>
      <x:c r="I285" s="37" t="str">
        <x:v>릴리스 후보</x:v>
      </x:c>
      <x:c r="J285" s="37" t="str">
        <x:v>P0</x:v>
      </x:c>
      <x:c r="K285" s="37" t="str">
        <x:v>필수</x:v>
      </x:c>
      <x:c r="L285" s="37" t="str">
        <x:v>성능</x:v>
      </x:c>
      <x:c r="M285" s="37" t="str">
        <x:v>릴리스 후보</x:v>
      </x:c>
      <x:c r="N285" s="37" t="str">
        <x:v>QA·릴리스 관리</x:v>
      </x:c>
      <x:c r="O285" s="37" t="str">
        <x:v>미정</x:v>
      </x:c>
      <x:c r="P285" s="37" t="str">
        <x:v>미정</x:v>
      </x:c>
      <x:c r="Q285" s="37" t="str">
        <x:v>전체</x:v>
      </x:c>
      <x:c r="R285" s="37" t="str">
        <x:v>해당 없음</x:v>
      </x:c>
      <x:c r="S285" s="37" t="str">
        <x:v>감사 로그</x:v>
      </x:c>
      <x:c r="T285" s="37" t="str">
        <x:v>XL</x:v>
      </x:c>
      <x:c r="U285" s="37" t="str">
        <x:v>미착수</x:v>
      </x:c>
      <x:c r="V285" s="42" t="n">
        <x:f>IF(U285="완료",1,IF(U285="QA 진행 중",0.8,IF(U285="코드 리뷰",0.65,IF(U285="구현 중",0.4,IF(U285="사양 확인 중",0.1,IF(U285="차단",0.4,0))))))</x:f>
        <x:v>0</x:v>
      </x:c>
      <x:c r="W285" s="37" t="str">
        <x:v>미정</x:v>
      </x:c>
      <x:c r="X285" s="40"/>
      <x:c r="Y285" s="37" t="str">
        <x:v>CHR-027,CNT-014,AUD-022</x:v>
      </x:c>
      <x:c r="Z285" s="37" t="str">
        <x:v>중간</x:v>
      </x:c>
      <x:c r="AA285" s="37" t="str">
        <x:v>성능</x:v>
      </x:c>
      <x:c r="AB285" s="37" t="str">
        <x:v>TC-QAR-013-01, TC-QAR-013-02</x:v>
      </x:c>
      <x:c r="AC285" s="37"/>
      <x:c r="AD285" s="37" t="str">
        <x:v>게임 기획서</x:v>
      </x:c>
      <x:c r="AE285" s="37"/>
      <x:c r="AF285" s="40" t="str">
        <x:v>2026-07-10</x:v>
      </x:c>
      <x:c r="AG285" s="37"/>
      <x:c r="AH285" s="49"/>
      <x:c r="AI285" s="49"/>
      <x:c r="AJ285" s="48" t="str">
        <x:v>착수 전</x:v>
      </x:c>
    </x:row>
    <x:row r="286" ht="42" customHeight="1">
      <x:c r="A286" s="37" t="str">
        <x:v>QAR-014</x:v>
      </x:c>
      <x:c r="B286" s="37" t="str">
        <x:v>QA·릴리스·운영</x:v>
      </x:c>
      <x:c r="C286" s="37" t="str">
        <x:v>성능 QA</x:v>
      </x:c>
      <x:c r="D286" s="37" t="str">
        <x:v>서버</x:v>
      </x:c>
      <x:c r="E286" s="37" t="str">
        <x:v>서버 틱·CPU·메모리·대역폭 시험</x:v>
      </x:c>
      <x:c r="F286" s="37" t="str">
        <x:v>게임 규칙, 운영 요구사항과 대상 플랫폼 제약을 충족하도록 서버 틱·CPU·메모리·대역폭 시험 기능을 구현하고 검증한다.</x:v>
      </x:c>
      <x:c r="G286" s="37" t="str">
        <x:v>목표 동시 세션에서 틱 지연, CPU, 메모리, 대역폭, GC, 오류율이 기준 안에 들어오고 단계별 포화 지점을 기록한다.</x:v>
      </x:c>
      <x:c r="H286" s="37" t="str">
        <x:v>구현, 코드 리뷰, 사양 갱신, 대상 QA 케이스 실행, 로그·텔레메트리 확인과 관련 플랫폼 검증을 완료하고 미해결 P0·P1 결함이 없다.</x:v>
      </x:c>
      <x:c r="I286" s="37" t="str">
        <x:v>릴리스 후보</x:v>
      </x:c>
      <x:c r="J286" s="37" t="str">
        <x:v>P0</x:v>
      </x:c>
      <x:c r="K286" s="37" t="str">
        <x:v>필수</x:v>
      </x:c>
      <x:c r="L286" s="37" t="str">
        <x:v>성능</x:v>
      </x:c>
      <x:c r="M286" s="37" t="str">
        <x:v>릴리스 후보</x:v>
      </x:c>
      <x:c r="N286" s="37" t="str">
        <x:v>QA·릴리스 관리</x:v>
      </x:c>
      <x:c r="O286" s="37" t="str">
        <x:v>미정</x:v>
      </x:c>
      <x:c r="P286" s="37" t="str">
        <x:v>미정</x:v>
      </x:c>
      <x:c r="Q286" s="37" t="str">
        <x:v>서버</x:v>
      </x:c>
      <x:c r="R286" s="37" t="str">
        <x:v>해당 없음</x:v>
      </x:c>
      <x:c r="S286" s="37" t="str">
        <x:v>감사 로그</x:v>
      </x:c>
      <x:c r="T286" s="37" t="str">
        <x:v>XL</x:v>
      </x:c>
      <x:c r="U286" s="37" t="str">
        <x:v>미착수</x:v>
      </x:c>
      <x:c r="V286" s="42" t="n">
        <x:f>IF(U286="완료",1,IF(U286="QA 진행 중",0.8,IF(U286="코드 리뷰",0.65,IF(U286="구현 중",0.4,IF(U286="사양 확인 중",0.1,IF(U286="차단",0.4,0))))))</x:f>
        <x:v>0</x:v>
      </x:c>
      <x:c r="W286" s="37" t="str">
        <x:v>미정</x:v>
      </x:c>
      <x:c r="X286" s="40"/>
      <x:c r="Y286" s="37" t="str">
        <x:v>NET-022,NET-029,BED-019</x:v>
      </x:c>
      <x:c r="Z286" s="37" t="str">
        <x:v>중간</x:v>
      </x:c>
      <x:c r="AA286" s="37" t="str">
        <x:v>성능</x:v>
      </x:c>
      <x:c r="AB286" s="37" t="str">
        <x:v>TC-QAR-014-01, TC-QAR-014-02</x:v>
      </x:c>
      <x:c r="AC286" s="37"/>
      <x:c r="AD286" s="37" t="str">
        <x:v>게임 기획서</x:v>
      </x:c>
      <x:c r="AE286" s="37"/>
      <x:c r="AF286" s="40" t="str">
        <x:v>2026-07-10</x:v>
      </x:c>
      <x:c r="AG286" s="37"/>
      <x:c r="AH286" s="49"/>
      <x:c r="AI286" s="49"/>
      <x:c r="AJ286" s="48" t="str">
        <x:v>착수 전</x:v>
      </x:c>
    </x:row>
    <x:row r="287" ht="42" customHeight="1">
      <x:c r="A287" s="37" t="str">
        <x:v>QAR-015</x:v>
      </x:c>
      <x:c r="B287" s="37" t="str">
        <x:v>QA·릴리스·운영</x:v>
      </x:c>
      <x:c r="C287" s="37" t="str">
        <x:v>호환성 QA</x:v>
      </x:c>
      <x:c r="D287" s="37" t="str">
        <x:v>플랫폼 매트릭스</x:v>
      </x:c>
      <x:c r="E287" s="37" t="str">
        <x:v>OS·GPU·입력·네트워크·플랫폼 호환성</x:v>
      </x:c>
      <x:c r="F287" s="37" t="str">
        <x:v>게임 규칙, 운영 요구사항과 대상 플랫폼 제약을 충족하도록 OS·GPU·입력·네트워크·플랫폼 호환성 기능을 구현하고 검증한다.</x:v>
      </x:c>
      <x:c r="G287" s="37" t="str">
        <x:v>지원 범위의 조합을 위험 기반으로 선정해 실행, 렌더링, 입력, 음성, 온라인, 저장, 초대 기능을 검증한다.</x:v>
      </x:c>
      <x:c r="H287" s="37" t="str">
        <x:v>구현, 코드 리뷰, 사양 갱신, 대상 QA 케이스 실행, 로그·텔레메트리 확인과 관련 플랫폼 검증을 완료하고 미해결 P0·P1 결함이 없다.</x:v>
      </x:c>
      <x:c r="I287" s="37" t="str">
        <x:v>릴리스 후보</x:v>
      </x:c>
      <x:c r="J287" s="37" t="str">
        <x:v>P0</x:v>
      </x:c>
      <x:c r="K287" s="37" t="str">
        <x:v>필수</x:v>
      </x:c>
      <x:c r="L287" s="37" t="str">
        <x:v>호환성</x:v>
      </x:c>
      <x:c r="M287" s="37" t="str">
        <x:v>릴리스 후보</x:v>
      </x:c>
      <x:c r="N287" s="37" t="str">
        <x:v>QA·릴리스 관리</x:v>
      </x:c>
      <x:c r="O287" s="37" t="str">
        <x:v>미정</x:v>
      </x:c>
      <x:c r="P287" s="37" t="str">
        <x:v>미정</x:v>
      </x:c>
      <x:c r="Q287" s="37" t="str">
        <x:v>전체</x:v>
      </x:c>
      <x:c r="R287" s="37" t="str">
        <x:v>해당 없음</x:v>
      </x:c>
      <x:c r="S287" s="37" t="str">
        <x:v>감사 로그</x:v>
      </x:c>
      <x:c r="T287" s="37" t="str">
        <x:v>XL</x:v>
      </x:c>
      <x:c r="U287" s="37" t="str">
        <x:v>미착수</x:v>
      </x:c>
      <x:c r="V287" s="42" t="n">
        <x:f>IF(U287="완료",1,IF(U287="QA 진행 중",0.8,IF(U287="코드 리뷰",0.65,IF(U287="구현 중",0.4,IF(U287="사양 확인 중",0.1,IF(U287="차단",0.4,0))))))</x:f>
        <x:v>0</x:v>
      </x:c>
      <x:c r="W287" s="37" t="str">
        <x:v>미정</x:v>
      </x:c>
      <x:c r="X287" s="40"/>
      <x:c r="Y287" s="37" t="str">
        <x:v>QAR-009,QAR-012,QAR-013</x:v>
      </x:c>
      <x:c r="Z287" s="37" t="str">
        <x:v>중간</x:v>
      </x:c>
      <x:c r="AA287" s="37" t="str">
        <x:v>호환성</x:v>
      </x:c>
      <x:c r="AB287" s="37" t="str">
        <x:v>TC-QAR-015-01, TC-QAR-015-02</x:v>
      </x:c>
      <x:c r="AC287" s="37"/>
      <x:c r="AD287" s="37" t="str">
        <x:v>게임 기획서</x:v>
      </x:c>
      <x:c r="AE287" s="37"/>
      <x:c r="AF287" s="40" t="str">
        <x:v>2026-07-10</x:v>
      </x:c>
      <x:c r="AG287" s="37"/>
      <x:c r="AH287" s="49"/>
      <x:c r="AI287" s="49"/>
      <x:c r="AJ287" s="48" t="str">
        <x:v>착수 전</x:v>
      </x:c>
    </x:row>
    <x:row r="288" ht="42" customHeight="1">
      <x:c r="A288" s="37" t="str">
        <x:v>QAR-016</x:v>
      </x:c>
      <x:c r="B288" s="37" t="str">
        <x:v>QA·릴리스·운영</x:v>
      </x:c>
      <x:c r="C288" s="37" t="str">
        <x:v>신뢰성 QA</x:v>
      </x:c>
      <x:c r="D288" s="37" t="str">
        <x:v>장시간 시험</x:v>
      </x:c>
      <x:c r="E288" s="37" t="str">
        <x:v>장시간 연속 플레이·반복 세션 시험</x:v>
      </x:c>
      <x:c r="F288" s="37" t="str">
        <x:v>게임 규칙, 운영 요구사항과 대상 플랫폼 제약을 충족하도록 장시간 연속 플레이·반복 세션 시험 기능을 구현하고 검증한다.</x:v>
      </x:c>
      <x:c r="G288" s="37" t="str">
        <x:v>연속 100매치 상당 또는 24시간 동안 메모리 증가, 상태 교차, 보상 중복, 세션 잔류, 크래시가 허용 기준 안에 들어온다.</x:v>
      </x:c>
      <x:c r="H288" s="37" t="str">
        <x:v>구현, 코드 리뷰, 사양 갱신, 대상 QA 케이스 실행, 로그·텔레메트리 확인과 관련 플랫폼 검증을 완료하고 미해결 P0·P1 결함이 없다.</x:v>
      </x:c>
      <x:c r="I288" s="37" t="str">
        <x:v>릴리스 후보</x:v>
      </x:c>
      <x:c r="J288" s="37" t="str">
        <x:v>P0</x:v>
      </x:c>
      <x:c r="K288" s="37" t="str">
        <x:v>필수</x:v>
      </x:c>
      <x:c r="L288" s="37" t="str">
        <x:v>안정성</x:v>
      </x:c>
      <x:c r="M288" s="37" t="str">
        <x:v>릴리스 후보</x:v>
      </x:c>
      <x:c r="N288" s="37" t="str">
        <x:v>QA·릴리스 관리</x:v>
      </x:c>
      <x:c r="O288" s="37" t="str">
        <x:v>미정</x:v>
      </x:c>
      <x:c r="P288" s="37" t="str">
        <x:v>미정</x:v>
      </x:c>
      <x:c r="Q288" s="37" t="str">
        <x:v>전체</x:v>
      </x:c>
      <x:c r="R288" s="37" t="str">
        <x:v>해당 없음</x:v>
      </x:c>
      <x:c r="S288" s="37" t="str">
        <x:v>감사 로그</x:v>
      </x:c>
      <x:c r="T288" s="37" t="str">
        <x:v>XL</x:v>
      </x:c>
      <x:c r="U288" s="37" t="str">
        <x:v>미착수</x:v>
      </x:c>
      <x:c r="V288" s="42" t="n">
        <x:f>IF(U288="완료",1,IF(U288="QA 진행 중",0.8,IF(U288="코드 리뷰",0.65,IF(U288="구현 중",0.4,IF(U288="사양 확인 중",0.1,IF(U288="차단",0.4,0))))))</x:f>
        <x:v>0</x:v>
      </x:c>
      <x:c r="W288" s="37" t="str">
        <x:v>미정</x:v>
      </x:c>
      <x:c r="X288" s="40"/>
      <x:c r="Y288" s="37" t="str">
        <x:v>QAR-003,NET-029,BED-026</x:v>
      </x:c>
      <x:c r="Z288" s="37" t="str">
        <x:v>중간</x:v>
      </x:c>
      <x:c r="AA288" s="37" t="str">
        <x:v>성능</x:v>
      </x:c>
      <x:c r="AB288" s="37" t="str">
        <x:v>TC-QAR-016-01, TC-QAR-016-02</x:v>
      </x:c>
      <x:c r="AC288" s="37"/>
      <x:c r="AD288" s="37" t="str">
        <x:v>게임 기획서</x:v>
      </x:c>
      <x:c r="AE288" s="37"/>
      <x:c r="AF288" s="40" t="str">
        <x:v>2026-07-10</x:v>
      </x:c>
      <x:c r="AG288" s="37"/>
      <x:c r="AH288" s="49"/>
      <x:c r="AI288" s="49"/>
      <x:c r="AJ288" s="48" t="str">
        <x:v>착수 전</x:v>
      </x:c>
    </x:row>
    <x:row r="289" ht="42" customHeight="1">
      <x:c r="A289" s="37" t="str">
        <x:v>QAR-017</x:v>
      </x:c>
      <x:c r="B289" s="37" t="str">
        <x:v>QA·릴리스·운영</x:v>
      </x:c>
      <x:c r="C289" s="37" t="str">
        <x:v>게임 디자인 QA</x:v>
      </x:c>
      <x:c r="D289" s="37" t="str">
        <x:v>밸런스 계획</x:v>
      </x:c>
      <x:c r="E289" s="37" t="str">
        <x:v>승률·시간·투표·메모 행동 플레이테스트 계획</x:v>
      </x:c>
      <x:c r="F289" s="37" t="str">
        <x:v>게임 규칙, 운영 요구사항과 대상 플랫폼 제약을 충족하도록 승률·시간·투표·메모 행동 플레이테스트 계획 기능을 구현하고 검증한다.</x:v>
      </x:c>
      <x:c r="G289" s="37" t="str">
        <x:v>인원, 숙련도, 설정별 표본 수, 가설, 수집 지표, 관찰 항목, 변경 판단 기준을 정의한다.</x:v>
      </x:c>
      <x:c r="H289" s="37" t="str">
        <x:v>구현, 코드 리뷰, 사양 갱신, 대상 QA 케이스 실행, 로그·텔레메트리 확인과 관련 플랫폼 검증을 완료하고 미해결 P0·P1 결함이 없다.</x:v>
      </x:c>
      <x:c r="I289" s="37" t="str">
        <x:v>알파</x:v>
      </x:c>
      <x:c r="J289" s="37" t="str">
        <x:v>P0</x:v>
      </x:c>
      <x:c r="K289" s="37" t="str">
        <x:v>필수</x:v>
      </x:c>
      <x:c r="L289" s="37" t="str">
        <x:v>밸런스</x:v>
      </x:c>
      <x:c r="M289" s="37" t="str">
        <x:v>알파</x:v>
      </x:c>
      <x:c r="N289" s="37" t="str">
        <x:v>QA·릴리스 관리</x:v>
      </x:c>
      <x:c r="O289" s="37" t="str">
        <x:v>미정</x:v>
      </x:c>
      <x:c r="P289" s="37" t="str">
        <x:v>미정</x:v>
      </x:c>
      <x:c r="Q289" s="37" t="str">
        <x:v>전체</x:v>
      </x:c>
      <x:c r="R289" s="37" t="str">
        <x:v>해당 없음</x:v>
      </x:c>
      <x:c r="S289" s="37" t="str">
        <x:v>백엔드</x:v>
      </x:c>
      <x:c r="T289" s="37" t="str">
        <x:v>L</x:v>
      </x:c>
      <x:c r="U289" s="37" t="str">
        <x:v>미착수</x:v>
      </x:c>
      <x:c r="V289" s="42" t="n">
        <x:f>IF(U289="완료",1,IF(U289="QA 진행 중",0.8,IF(U289="코드 리뷰",0.65,IF(U289="구현 중",0.4,IF(U289="사양 확인 중",0.1,IF(U289="차단",0.4,0))))))</x:f>
        <x:v>0</x:v>
      </x:c>
      <x:c r="W289" s="37" t="str">
        <x:v>미정</x:v>
      </x:c>
      <x:c r="X289" s="40"/>
      <x:c r="Y289" s="37" t="str">
        <x:v>BED-008,CNT-031</x:v>
      </x:c>
      <x:c r="Z289" s="37" t="str">
        <x:v>중간</x:v>
      </x:c>
      <x:c r="AA289" s="37" t="str">
        <x:v>밸런스</x:v>
      </x:c>
      <x:c r="AB289" s="37" t="str">
        <x:v>TC-QAR-017-01, TC-QAR-017-02</x:v>
      </x:c>
      <x:c r="AC289" s="37"/>
      <x:c r="AD289" s="37" t="str">
        <x:v>게임 기획서</x:v>
      </x:c>
      <x:c r="AE289" s="37"/>
      <x:c r="AF289" s="40" t="str">
        <x:v>2026-07-10</x:v>
      </x:c>
      <x:c r="AG289" s="37"/>
      <x:c r="AH289" s="49"/>
      <x:c r="AI289" s="49"/>
      <x:c r="AJ289" s="48" t="str">
        <x:v>착수 전</x:v>
      </x:c>
    </x:row>
    <x:row r="290" ht="42" customHeight="1">
      <x:c r="A290" s="37" t="str">
        <x:v>QAR-018</x:v>
      </x:c>
      <x:c r="B290" s="37" t="str">
        <x:v>QA·릴리스·운영</x:v>
      </x:c>
      <x:c r="C290" s="37" t="str">
        <x:v>사용자 조사</x:v>
      </x:c>
      <x:c r="D290" s="37" t="str">
        <x:v>사용성</x:v>
      </x:c>
      <x:c r="E290" s="37" t="str">
        <x:v>첫 플레이 이해·대화·밤 판단 사용성 조사</x:v>
      </x:c>
      <x:c r="F290" s="37" t="str">
        <x:v>게임 규칙, 운영 요구사항과 대상 플랫폼 제약을 충족하도록 첫 플레이 이해·대화·밤 판단 사용성 조사 기능을 구현하고 검증한다.</x:v>
      </x:c>
      <x:c r="G290" s="37" t="str">
        <x:v>처음 참가한 사용자가 튜토리얼 후 핵심 규칙을 설명하고 도움 없이 메모 작성, 부착, 밤 투표를 완료할 수 있다.</x:v>
      </x:c>
      <x:c r="H290" s="37" t="str">
        <x:v>구현, 코드 리뷰, 사양 갱신, 대상 QA 케이스 실행, 로그·텔레메트리 확인과 관련 플랫폼 검증을 완료하고 미해결 P0·P1 결함이 없다.</x:v>
      </x:c>
      <x:c r="I290" s="37" t="str">
        <x:v>베타</x:v>
      </x:c>
      <x:c r="J290" s="37" t="str">
        <x:v>P0</x:v>
      </x:c>
      <x:c r="K290" s="37" t="str">
        <x:v>필수</x:v>
      </x:c>
      <x:c r="L290" s="37" t="str">
        <x:v>이해도</x:v>
      </x:c>
      <x:c r="M290" s="37" t="str">
        <x:v>베타</x:v>
      </x:c>
      <x:c r="N290" s="37" t="str">
        <x:v>QA·릴리스 관리</x:v>
      </x:c>
      <x:c r="O290" s="37" t="str">
        <x:v>미정</x:v>
      </x:c>
      <x:c r="P290" s="37" t="str">
        <x:v>미정</x:v>
      </x:c>
      <x:c r="Q290" s="37" t="str">
        <x:v>전체</x:v>
      </x:c>
      <x:c r="R290" s="37" t="str">
        <x:v>해당 없음</x:v>
      </x:c>
      <x:c r="S290" s="37" t="str">
        <x:v>감사 로그</x:v>
      </x:c>
      <x:c r="T290" s="37" t="str">
        <x:v>L</x:v>
      </x:c>
      <x:c r="U290" s="37" t="str">
        <x:v>미착수</x:v>
      </x:c>
      <x:c r="V290" s="42" t="n">
        <x:f>IF(U290="완료",1,IF(U290="QA 진행 중",0.8,IF(U290="코드 리뷰",0.65,IF(U290="구현 중",0.4,IF(U290="사양 확인 중",0.1,IF(U290="차단",0.4,0))))))</x:f>
        <x:v>0</x:v>
      </x:c>
      <x:c r="W290" s="37" t="str">
        <x:v>미정</x:v>
      </x:c>
      <x:c r="X290" s="40"/>
      <x:c r="Y290" s="37" t="str">
        <x:v>UIX-027,CNT-033</x:v>
      </x:c>
      <x:c r="Z290" s="37" t="str">
        <x:v>중간</x:v>
      </x:c>
      <x:c r="AA290" s="37" t="str">
        <x:v>사용성</x:v>
      </x:c>
      <x:c r="AB290" s="37" t="str">
        <x:v>TC-QAR-018-01, TC-QAR-018-02</x:v>
      </x:c>
      <x:c r="AC290" s="37"/>
      <x:c r="AD290" s="37" t="str">
        <x:v>게임 기획서</x:v>
      </x:c>
      <x:c r="AE290" s="37"/>
      <x:c r="AF290" s="40" t="str">
        <x:v>2026-07-10</x:v>
      </x:c>
      <x:c r="AG290" s="37"/>
      <x:c r="AH290" s="49"/>
      <x:c r="AI290" s="49"/>
      <x:c r="AJ290" s="48" t="str">
        <x:v>착수 전</x:v>
      </x:c>
    </x:row>
    <x:row r="291" ht="42" customHeight="1">
      <x:c r="A291" s="37" t="str">
        <x:v>QAR-019</x:v>
      </x:c>
      <x:c r="B291" s="37" t="str">
        <x:v>QA·릴리스·운영</x:v>
      </x:c>
      <x:c r="C291" s="37" t="str">
        <x:v>결함 관리</x:v>
      </x:c>
      <x:c r="D291" s="37" t="str">
        <x:v>결함 분류</x:v>
      </x:c>
      <x:c r="E291" s="37" t="str">
        <x:v>결함 심각도·우선순위·SLA·트리아지</x:v>
      </x:c>
      <x:c r="F291" s="37" t="str">
        <x:v>게임 규칙, 운영 요구사항과 대상 플랫폼 제약을 충족하도록 결함 심각도·우선순위·SLA·트리아지 기능을 구현하고 검증한다.</x:v>
      </x:c>
      <x:c r="G291" s="37" t="str">
        <x:v>차단, 치명, 주요, 경미 결함의 기준, 담당, 재현 정보, 회귀 범위, 수정 기한, 연기 승인을 정의하고 매일 트리아지한다.</x:v>
      </x:c>
      <x:c r="H291" s="37" t="str">
        <x:v>구현, 코드 리뷰, 사양 갱신, 대상 QA 케이스 실행, 로그·텔레메트리 확인과 관련 플랫폼 검증을 완료하고 미해결 P0·P1 결함이 없다.</x:v>
      </x:c>
      <x:c r="I291" s="37" t="str">
        <x:v>MVP</x:v>
      </x:c>
      <x:c r="J291" s="37" t="str">
        <x:v>P0</x:v>
      </x:c>
      <x:c r="K291" s="37" t="str">
        <x:v>필수</x:v>
      </x:c>
      <x:c r="L291" s="37" t="str">
        <x:v>QA 기반</x:v>
      </x:c>
      <x:c r="M291" s="37" t="str">
        <x:v>MVP</x:v>
      </x:c>
      <x:c r="N291" s="37" t="str">
        <x:v>QA·릴리스 관리</x:v>
      </x:c>
      <x:c r="O291" s="37" t="str">
        <x:v>미정</x:v>
      </x:c>
      <x:c r="P291" s="37" t="str">
        <x:v>미정</x:v>
      </x:c>
      <x:c r="Q291" s="37" t="str">
        <x:v>전체</x:v>
      </x:c>
      <x:c r="R291" s="37" t="str">
        <x:v>해당 없음</x:v>
      </x:c>
      <x:c r="S291" s="37" t="str">
        <x:v>감사 로그</x:v>
      </x:c>
      <x:c r="T291" s="37" t="str">
        <x:v>M</x:v>
      </x:c>
      <x:c r="U291" s="37" t="str">
        <x:v>미착수</x:v>
      </x:c>
      <x:c r="V291" s="42" t="n">
        <x:f>IF(U291="완료",1,IF(U291="QA 진행 중",0.8,IF(U291="코드 리뷰",0.65,IF(U291="구현 중",0.4,IF(U291="사양 확인 중",0.1,IF(U291="차단",0.4,0))))))</x:f>
        <x:v>0</x:v>
      </x:c>
      <x:c r="W291" s="37" t="str">
        <x:v>미정</x:v>
      </x:c>
      <x:c r="X291" s="40"/>
      <x:c r="Y291" s="37" t="str">
        <x:v>QAR-001</x:v>
      </x:c>
      <x:c r="Z291" s="37" t="str">
        <x:v>중간</x:v>
      </x:c>
      <x:c r="AA291" s="37" t="str">
        <x:v>운영</x:v>
      </x:c>
      <x:c r="AB291" s="37" t="str">
        <x:v>TC-QAR-019-01, TC-QAR-019-02</x:v>
      </x:c>
      <x:c r="AC291" s="37"/>
      <x:c r="AD291" s="37" t="str">
        <x:v>게임 기획서</x:v>
      </x:c>
      <x:c r="AE291" s="37"/>
      <x:c r="AF291" s="40" t="str">
        <x:v>2026-07-10</x:v>
      </x:c>
      <x:c r="AG291" s="37"/>
      <x:c r="AH291" s="49"/>
      <x:c r="AI291" s="49"/>
      <x:c r="AJ291" s="48" t="str">
        <x:v>착수 전</x:v>
      </x:c>
    </x:row>
    <x:row r="292" ht="42" customHeight="1">
      <x:c r="A292" s="37" t="str">
        <x:v>QAR-020</x:v>
      </x:c>
      <x:c r="B292" s="37" t="str">
        <x:v>QA·릴리스·운영</x:v>
      </x:c>
      <x:c r="C292" s="37" t="str">
        <x:v>테스트 인프라</x:v>
      </x:c>
      <x:c r="D292" s="37" t="str">
        <x:v>부하 시험 도구</x:v>
      </x:c>
      <x:c r="E292" s="37" t="str">
        <x:v>다중 세션 부하·봇·네트워크 열화 하네스</x:v>
      </x:c>
      <x:c r="F292" s="37" t="str">
        <x:v>게임 규칙, 운영 요구사항과 대상 플랫폼 제약을 충족하도록 다중 세션 부하·봇·네트워크 열화 하네스 기능을 구현하고 검증한다.</x:v>
      </x:c>
      <x:c r="G292" s="37" t="str">
        <x:v>자동 봇이 룸 생성, 시작, 이동, 미니게임, 메모, 투표, 결과 흐름을 수행하고 동시 세션 수와 열화 조건을 설정할 수 있다.</x:v>
      </x:c>
      <x:c r="H292" s="37" t="str">
        <x:v>구현, 코드 리뷰, 사양 갱신, 대상 QA 케이스 실행, 로그·텔레메트리 확인과 관련 플랫폼 검증을 완료하고 미해결 P0·P1 결함이 없다.</x:v>
      </x:c>
      <x:c r="I292" s="37" t="str">
        <x:v>알파</x:v>
      </x:c>
      <x:c r="J292" s="37" t="str">
        <x:v>P0</x:v>
      </x:c>
      <x:c r="K292" s="37" t="str">
        <x:v>필수</x:v>
      </x:c>
      <x:c r="L292" s="37" t="str">
        <x:v>성능</x:v>
      </x:c>
      <x:c r="M292" s="37" t="str">
        <x:v>알파</x:v>
      </x:c>
      <x:c r="N292" s="37" t="str">
        <x:v>QA·릴리스 관리</x:v>
      </x:c>
      <x:c r="O292" s="37" t="str">
        <x:v>미정</x:v>
      </x:c>
      <x:c r="P292" s="37" t="str">
        <x:v>미정</x:v>
      </x:c>
      <x:c r="Q292" s="37" t="str">
        <x:v>도구</x:v>
      </x:c>
      <x:c r="R292" s="37" t="str">
        <x:v>해당 없음</x:v>
      </x:c>
      <x:c r="S292" s="37" t="str">
        <x:v>없음</x:v>
      </x:c>
      <x:c r="T292" s="37" t="str">
        <x:v>XL</x:v>
      </x:c>
      <x:c r="U292" s="37" t="str">
        <x:v>미착수</x:v>
      </x:c>
      <x:c r="V292" s="42" t="n">
        <x:f>IF(U292="완료",1,IF(U292="QA 진행 중",0.8,IF(U292="코드 리뷰",0.65,IF(U292="구현 중",0.4,IF(U292="사양 확인 중",0.1,IF(U292="차단",0.4,0))))))</x:f>
        <x:v>0</x:v>
      </x:c>
      <x:c r="W292" s="37" t="str">
        <x:v>미정</x:v>
      </x:c>
      <x:c r="X292" s="40"/>
      <x:c r="Y292" s="37" t="str">
        <x:v>NET-024,ONL-004,IGM-001</x:v>
      </x:c>
      <x:c r="Z292" s="37" t="str">
        <x:v>중간</x:v>
      </x:c>
      <x:c r="AA292" s="37" t="str">
        <x:v>성능</x:v>
      </x:c>
      <x:c r="AB292" s="37" t="str">
        <x:v>TC-QAR-020-01, TC-QAR-020-02</x:v>
      </x:c>
      <x:c r="AC292" s="37"/>
      <x:c r="AD292" s="37" t="str">
        <x:v>게임 기획서</x:v>
      </x:c>
      <x:c r="AE292" s="37"/>
      <x:c r="AF292" s="40" t="str">
        <x:v>2026-07-10</x:v>
      </x:c>
      <x:c r="AG292" s="37"/>
      <x:c r="AH292" s="49"/>
      <x:c r="AI292" s="49"/>
      <x:c r="AJ292" s="48" t="str">
        <x:v>착수 전</x:v>
      </x:c>
    </x:row>
    <x:row r="293" ht="42" customHeight="1">
      <x:c r="A293" s="37" t="str">
        <x:v>QAR-021</x:v>
      </x:c>
      <x:c r="B293" s="37" t="str">
        <x:v>QA·릴리스·운영</x:v>
      </x:c>
      <x:c r="C293" s="37" t="str">
        <x:v>테스트 자동화</x:v>
      </x:c>
      <x:c r="D293" s="37" t="str">
        <x:v>회귀 시험</x:v>
      </x:c>
      <x:c r="E293" s="37" t="str">
        <x:v>API·서버 규칙·주요 UI 자동 회귀</x:v>
      </x:c>
      <x:c r="F293" s="37" t="str">
        <x:v>게임 규칙, 운영 요구사항과 대상 플랫폼 제약을 충족하도록 API·서버 규칙·주요 UI 자동 회귀 기능을 구현하고 검증한다.</x:v>
      </x:c>
      <x:c r="G293" s="37" t="str">
        <x:v>승패, 설정 검증, 메모 권한, 투표, 재접속, 오류 코드 자동 시험을 CI에서 실행하고 실패 시 빌드를 중지한다.</x:v>
      </x:c>
      <x:c r="H293" s="37" t="str">
        <x:v>구현, 코드 리뷰, 사양 갱신, 대상 QA 케이스 실행, 로그·텔레메트리 확인과 관련 플랫폼 검증을 완료하고 미해결 P0·P1 결함이 없다.</x:v>
      </x:c>
      <x:c r="I293" s="37" t="str">
        <x:v>알파</x:v>
      </x:c>
      <x:c r="J293" s="37" t="str">
        <x:v>P0</x:v>
      </x:c>
      <x:c r="K293" s="37" t="str">
        <x:v>필수</x:v>
      </x:c>
      <x:c r="L293" s="37" t="str">
        <x:v>QA 기반</x:v>
      </x:c>
      <x:c r="M293" s="37" t="str">
        <x:v>알파</x:v>
      </x:c>
      <x:c r="N293" s="37" t="str">
        <x:v>QA·릴리스 관리</x:v>
      </x:c>
      <x:c r="O293" s="37" t="str">
        <x:v>미정</x:v>
      </x:c>
      <x:c r="P293" s="37" t="str">
        <x:v>미정</x:v>
      </x:c>
      <x:c r="Q293" s="37" t="str">
        <x:v>도구</x:v>
      </x:c>
      <x:c r="R293" s="37" t="str">
        <x:v>해당 없음</x:v>
      </x:c>
      <x:c r="S293" s="37" t="str">
        <x:v>감사 로그</x:v>
      </x:c>
      <x:c r="T293" s="37" t="str">
        <x:v>XL</x:v>
      </x:c>
      <x:c r="U293" s="37" t="str">
        <x:v>미착수</x:v>
      </x:c>
      <x:c r="V293" s="42" t="n">
        <x:f>IF(U293="완료",1,IF(U293="QA 진행 중",0.8,IF(U293="코드 리뷰",0.65,IF(U293="구현 중",0.4,IF(U293="사양 확인 중",0.1,IF(U293="차단",0.4,0))))))</x:f>
        <x:v>0</x:v>
      </x:c>
      <x:c r="W293" s="37" t="str">
        <x:v>미정</x:v>
      </x:c>
      <x:c r="X293" s="40"/>
      <x:c r="Y293" s="37" t="str">
        <x:v>QAR-003,NET-012,BED-018</x:v>
      </x:c>
      <x:c r="Z293" s="37" t="str">
        <x:v>중간</x:v>
      </x:c>
      <x:c r="AA293" s="37" t="str">
        <x:v>기능</x:v>
      </x:c>
      <x:c r="AB293" s="37" t="str">
        <x:v>TC-QAR-021-01, TC-QAR-021-02</x:v>
      </x:c>
      <x:c r="AC293" s="37"/>
      <x:c r="AD293" s="37" t="str">
        <x:v>게임 기획서</x:v>
      </x:c>
      <x:c r="AE293" s="37"/>
      <x:c r="AF293" s="40" t="str">
        <x:v>2026-07-10</x:v>
      </x:c>
      <x:c r="AG293" s="37"/>
      <x:c r="AH293" s="49"/>
      <x:c r="AI293" s="49"/>
      <x:c r="AJ293" s="48" t="str">
        <x:v>착수 전</x:v>
      </x:c>
    </x:row>
    <x:row r="294" ht="42" customHeight="1">
      <x:c r="A294" s="37" t="str">
        <x:v>QAR-022</x:v>
      </x:c>
      <x:c r="B294" s="37" t="str">
        <x:v>QA·릴리스·운영</x:v>
      </x:c>
      <x:c r="C294" s="37" t="str">
        <x:v>테스트 인프라</x:v>
      </x:c>
      <x:c r="D294" s="37" t="str">
        <x:v>테스트 데이터</x:v>
      </x:c>
      <x:c r="E294" s="37" t="str">
        <x:v>시험 계정·세션·설정·콘텐츠 데이터</x:v>
      </x:c>
      <x:c r="F294" s="37" t="str">
        <x:v>게임 규칙, 운영 요구사항과 대상 플랫폼 제약을 충족하도록 시험 계정·세션·설정·콘텐츠 데이터 기능을 구현하고 검증한다.</x:v>
      </x:c>
      <x:c r="G294" s="37" t="str">
        <x:v>역할, 색상, 보유 메모, 연결 끊김, 제재, 지역, 연령, 외형을 재현하는 비운영 시험 데이터를 안전하게 생성·삭제할 수 있다.</x:v>
      </x:c>
      <x:c r="H294" s="37" t="str">
        <x:v>구현, 코드 리뷰, 사양 갱신, 대상 QA 케이스 실행, 로그·텔레메트리 확인과 관련 플랫폼 검증을 완료하고 미해결 P0·P1 결함이 없다.</x:v>
      </x:c>
      <x:c r="I294" s="37" t="str">
        <x:v>알파</x:v>
      </x:c>
      <x:c r="J294" s="37" t="str">
        <x:v>P1</x:v>
      </x:c>
      <x:c r="K294" s="37" t="str">
        <x:v>필수</x:v>
      </x:c>
      <x:c r="L294" s="37" t="str">
        <x:v>QA 기반</x:v>
      </x:c>
      <x:c r="M294" s="37" t="str">
        <x:v>알파</x:v>
      </x:c>
      <x:c r="N294" s="37" t="str">
        <x:v>QA·릴리스 관리</x:v>
      </x:c>
      <x:c r="O294" s="37" t="str">
        <x:v>미정</x:v>
      </x:c>
      <x:c r="P294" s="37" t="str">
        <x:v>미정</x:v>
      </x:c>
      <x:c r="Q294" s="37" t="str">
        <x:v>도구</x:v>
      </x:c>
      <x:c r="R294" s="37" t="str">
        <x:v>해당 없음</x:v>
      </x:c>
      <x:c r="S294" s="37" t="str">
        <x:v>백엔드</x:v>
      </x:c>
      <x:c r="T294" s="37" t="str">
        <x:v>L</x:v>
      </x:c>
      <x:c r="U294" s="37" t="str">
        <x:v>미착수</x:v>
      </x:c>
      <x:c r="V294" s="42" t="n">
        <x:f>IF(U294="완료",1,IF(U294="QA 진행 중",0.8,IF(U294="코드 리뷰",0.65,IF(U294="구현 중",0.4,IF(U294="사양 확인 중",0.1,IF(U294="차단",0.4,0))))))</x:f>
        <x:v>0</x:v>
      </x:c>
      <x:c r="W294" s="37" t="str">
        <x:v>미정</x:v>
      </x:c>
      <x:c r="X294" s="40"/>
      <x:c r="Y294" s="37" t="str">
        <x:v>BED-002,BED-003,BED-009</x:v>
      </x:c>
      <x:c r="Z294" s="37" t="str">
        <x:v>중간</x:v>
      </x:c>
      <x:c r="AA294" s="37" t="str">
        <x:v>운영</x:v>
      </x:c>
      <x:c r="AB294" s="37" t="str">
        <x:v>TC-QAR-022-01</x:v>
      </x:c>
      <x:c r="AC294" s="37"/>
      <x:c r="AD294" s="37" t="str">
        <x:v>게임 기획서</x:v>
      </x:c>
      <x:c r="AE294" s="37"/>
      <x:c r="AF294" s="40" t="str">
        <x:v>2026-07-10</x:v>
      </x:c>
      <x:c r="AG294" s="37"/>
      <x:c r="AH294" s="49"/>
      <x:c r="AI294" s="49"/>
      <x:c r="AJ294" s="48" t="str">
        <x:v>착수 전</x:v>
      </x:c>
    </x:row>
    <x:row r="295" ht="42" customHeight="1">
      <x:c r="A295" s="37" t="str">
        <x:v>QAR-023</x:v>
      </x:c>
      <x:c r="B295" s="37" t="str">
        <x:v>QA·릴리스·운영</x:v>
      </x:c>
      <x:c r="C295" s="37" t="str">
        <x:v>릴리스 관리</x:v>
      </x:c>
      <x:c r="D295" s="37" t="str">
        <x:v>릴리스 게이트</x:v>
      </x:c>
      <x:c r="E295" s="37" t="str">
        <x:v>MVP·알파·베타·출시 후보·출시 게이트 운영</x:v>
      </x:c>
      <x:c r="F295" s="37" t="str">
        <x:v>게임 규칙, 운영 요구사항과 대상 플랫폼 제약을 충족하도록 MVP·알파·베타·출시 후보·출시 게이트 운영 기능을 구현하고 검증한다.</x:v>
      </x:c>
      <x:c r="G295" s="37" t="str">
        <x:v>각 게이트의 필수 산출물, 수치 기준, 승인자, 예외 승인, 기한, 증빙을 관리하고 미완료 P0가 있으면 준비 완료로 판정하지 않는다.</x:v>
      </x:c>
      <x:c r="H295" s="37" t="str">
        <x:v>구현, 코드 리뷰, 사양 갱신, 대상 QA 케이스 실행, 로그·텔레메트리 확인과 관련 플랫폼 검증을 완료하고 미해결 P0·P1 결함이 없다.</x:v>
      </x:c>
      <x:c r="I295" s="37" t="str">
        <x:v>MVP</x:v>
      </x:c>
      <x:c r="J295" s="37" t="str">
        <x:v>P0</x:v>
      </x:c>
      <x:c r="K295" s="37" t="str">
        <x:v>필수</x:v>
      </x:c>
      <x:c r="L295" s="37" t="str">
        <x:v>릴리스</x:v>
      </x:c>
      <x:c r="M295" s="37" t="str">
        <x:v>MVP</x:v>
      </x:c>
      <x:c r="N295" s="37" t="str">
        <x:v>QA·릴리스 관리</x:v>
      </x:c>
      <x:c r="O295" s="37" t="str">
        <x:v>미정</x:v>
      </x:c>
      <x:c r="P295" s="37" t="str">
        <x:v>미정</x:v>
      </x:c>
      <x:c r="Q295" s="37" t="str">
        <x:v>전체</x:v>
      </x:c>
      <x:c r="R295" s="37" t="str">
        <x:v>해당 없음</x:v>
      </x:c>
      <x:c r="S295" s="37" t="str">
        <x:v>감사 로그</x:v>
      </x:c>
      <x:c r="T295" s="37" t="str">
        <x:v>L</x:v>
      </x:c>
      <x:c r="U295" s="37" t="str">
        <x:v>미착수</x:v>
      </x:c>
      <x:c r="V295" s="42" t="n">
        <x:f>IF(U295="완료",1,IF(U295="QA 진행 중",0.8,IF(U295="코드 리뷰",0.65,IF(U295="구현 중",0.4,IF(U295="사양 확인 중",0.1,IF(U295="차단",0.4,0))))))</x:f>
        <x:v>0</x:v>
      </x:c>
      <x:c r="W295" s="37" t="str">
        <x:v>미정</x:v>
      </x:c>
      <x:c r="X295" s="40"/>
      <x:c r="Y295" s="37" t="str">
        <x:v>QAR-001,QAR-019</x:v>
      </x:c>
      <x:c r="Z295" s="37" t="str">
        <x:v>중간</x:v>
      </x:c>
      <x:c r="AA295" s="37" t="str">
        <x:v>운영</x:v>
      </x:c>
      <x:c r="AB295" s="37" t="str">
        <x:v>TC-QAR-023-01, TC-QAR-023-02</x:v>
      </x:c>
      <x:c r="AC295" s="37"/>
      <x:c r="AD295" s="37" t="str">
        <x:v>게임 기획서</x:v>
      </x:c>
      <x:c r="AE295" s="37"/>
      <x:c r="AF295" s="40" t="str">
        <x:v>2026-07-10</x:v>
      </x:c>
      <x:c r="AG295" s="37"/>
      <x:c r="AH295" s="49"/>
      <x:c r="AI295" s="49"/>
      <x:c r="AJ295" s="48" t="str">
        <x:v>착수 전</x:v>
      </x:c>
    </x:row>
    <x:row r="296" ht="42" customHeight="1">
      <x:c r="A296" s="37" t="str">
        <x:v>QAR-024</x:v>
      </x:c>
      <x:c r="B296" s="37" t="str">
        <x:v>QA·릴리스·운영</x:v>
      </x:c>
      <x:c r="C296" s="37" t="str">
        <x:v>빌드·CI</x:v>
      </x:c>
      <x:c r="D296" s="37" t="str">
        <x:v>파이프라인</x:v>
      </x:c>
      <x:c r="E296" s="37" t="str">
        <x:v>클라이언트·서버·콘텐츠 CI/CD</x:v>
      </x:c>
      <x:c r="F296" s="37" t="str">
        <x:v>게임 규칙, 운영 요구사항과 대상 플랫폼 제약을 충족하도록 클라이언트·서버·콘텐츠 CI/CD 기능을 구현하고 검증한다.</x:v>
      </x:c>
      <x:c r="G296" s="37" t="str">
        <x:v>재현 가능한 빌드, 단위 시험, 자동 회귀, 서명, 산출물 보관, SBOM·의존성 검사, 환경 배포를 자동화한다.</x:v>
      </x:c>
      <x:c r="H296" s="37" t="str">
        <x:v>구현, 코드 리뷰, 사양 갱신, 대상 QA 케이스 실행, 로그·텔레메트리 확인과 관련 플랫폼 검증을 완료하고 미해결 P0·P1 결함이 없다.</x:v>
      </x:c>
      <x:c r="I296" s="37" t="str">
        <x:v>알파</x:v>
      </x:c>
      <x:c r="J296" s="37" t="str">
        <x:v>P0</x:v>
      </x:c>
      <x:c r="K296" s="37" t="str">
        <x:v>필수</x:v>
      </x:c>
      <x:c r="L296" s="37" t="str">
        <x:v>릴리스</x:v>
      </x:c>
      <x:c r="M296" s="37" t="str">
        <x:v>알파</x:v>
      </x:c>
      <x:c r="N296" s="37" t="str">
        <x:v>QA·릴리스 관리</x:v>
      </x:c>
      <x:c r="O296" s="37" t="str">
        <x:v>미정</x:v>
      </x:c>
      <x:c r="P296" s="37" t="str">
        <x:v>미정</x:v>
      </x:c>
      <x:c r="Q296" s="37" t="str">
        <x:v>도구</x:v>
      </x:c>
      <x:c r="R296" s="37" t="str">
        <x:v>해당 없음</x:v>
      </x:c>
      <x:c r="S296" s="37" t="str">
        <x:v>감사 로그</x:v>
      </x:c>
      <x:c r="T296" s="37" t="str">
        <x:v>XL</x:v>
      </x:c>
      <x:c r="U296" s="37" t="str">
        <x:v>미착수</x:v>
      </x:c>
      <x:c r="V296" s="42" t="n">
        <x:f>IF(U296="완료",1,IF(U296="QA 진행 중",0.8,IF(U296="코드 리뷰",0.65,IF(U296="구현 중",0.4,IF(U296="사양 확인 중",0.1,IF(U296="차단",0.4,0))))))</x:f>
        <x:v>0</x:v>
      </x:c>
      <x:c r="W296" s="37" t="str">
        <x:v>미정</x:v>
      </x:c>
      <x:c r="X296" s="40"/>
      <x:c r="Y296" s="37" t="str">
        <x:v>QAR-021,BED-028</x:v>
      </x:c>
      <x:c r="Z296" s="37" t="str">
        <x:v>중간</x:v>
      </x:c>
      <x:c r="AA296" s="37" t="str">
        <x:v>운영</x:v>
      </x:c>
      <x:c r="AB296" s="37" t="str">
        <x:v>TC-QAR-024-01, TC-QAR-024-02</x:v>
      </x:c>
      <x:c r="AC296" s="37"/>
      <x:c r="AD296" s="37" t="str">
        <x:v>게임 기획서</x:v>
      </x:c>
      <x:c r="AE296" s="37"/>
      <x:c r="AF296" s="40" t="str">
        <x:v>2026-07-10</x:v>
      </x:c>
      <x:c r="AG296" s="37"/>
      <x:c r="AH296" s="49"/>
      <x:c r="AI296" s="49"/>
      <x:c r="AJ296" s="48" t="str">
        <x:v>착수 전</x:v>
      </x:c>
    </x:row>
    <x:row r="297" ht="42" customHeight="1">
      <x:c r="A297" s="37" t="str">
        <x:v>QAR-025</x:v>
      </x:c>
      <x:c r="B297" s="37" t="str">
        <x:v>QA·릴리스·운영</x:v>
      </x:c>
      <x:c r="C297" s="37" t="str">
        <x:v>빌드·CI</x:v>
      </x:c>
      <x:c r="D297" s="37" t="str">
        <x:v>버전 관리</x:v>
      </x:c>
      <x:c r="E297" s="37" t="str">
        <x:v>제품·프로토콜·설정·콘텐츠 버전 표시</x:v>
      </x:c>
      <x:c r="F297" s="37" t="str">
        <x:v>게임 규칙, 운영 요구사항과 대상 플랫폼 제약을 충족하도록 제품·프로토콜·설정·콘텐츠 버전 표시 기능을 구현하고 검증한다.</x:v>
      </x:c>
      <x:c r="G297" s="37" t="str">
        <x:v>클라이언트, 서버, 프로토콜, 설정, 콘텐츠, 커밋 버전을 UI, 로그, 크래시에 일관되게 표시하고 호환성 판정에 사용한다.</x:v>
      </x:c>
      <x:c r="H297" s="37" t="str">
        <x:v>구현, 코드 리뷰, 사양 갱신, 대상 QA 케이스 실행, 로그·텔레메트리 확인과 관련 플랫폼 검증을 완료하고 미해결 P0·P1 결함이 없다.</x:v>
      </x:c>
      <x:c r="I297" s="37" t="str">
        <x:v>MVP</x:v>
      </x:c>
      <x:c r="J297" s="37" t="str">
        <x:v>P0</x:v>
      </x:c>
      <x:c r="K297" s="37" t="str">
        <x:v>필수</x:v>
      </x:c>
      <x:c r="L297" s="37" t="str">
        <x:v>호환성</x:v>
      </x:c>
      <x:c r="M297" s="37" t="str">
        <x:v>MVP</x:v>
      </x:c>
      <x:c r="N297" s="37" t="str">
        <x:v>QA·릴리스 관리</x:v>
      </x:c>
      <x:c r="O297" s="37" t="str">
        <x:v>미정</x:v>
      </x:c>
      <x:c r="P297" s="37" t="str">
        <x:v>미정</x:v>
      </x:c>
      <x:c r="Q297" s="37" t="str">
        <x:v>전체</x:v>
      </x:c>
      <x:c r="R297" s="37" t="str">
        <x:v>콘텐츠 데이터</x:v>
      </x:c>
      <x:c r="S297" s="37" t="str">
        <x:v>없음</x:v>
      </x:c>
      <x:c r="T297" s="37" t="str">
        <x:v>M</x:v>
      </x:c>
      <x:c r="U297" s="37" t="str">
        <x:v>미착수</x:v>
      </x:c>
      <x:c r="V297" s="42" t="n">
        <x:f>IF(U297="완료",1,IF(U297="QA 진행 중",0.8,IF(U297="코드 리뷰",0.65,IF(U297="구현 중",0.4,IF(U297="사양 확인 중",0.1,IF(U297="차단",0.4,0))))))</x:f>
        <x:v>0</x:v>
      </x:c>
      <x:c r="W297" s="37" t="str">
        <x:v>미정</x:v>
      </x:c>
      <x:c r="X297" s="40"/>
      <x:c r="Y297" s="37" t="str">
        <x:v>NET-002,BED-015,CNT-028,QAR-024</x:v>
      </x:c>
      <x:c r="Z297" s="37" t="str">
        <x:v>중간</x:v>
      </x:c>
      <x:c r="AA297" s="37" t="str">
        <x:v>호환성</x:v>
      </x:c>
      <x:c r="AB297" s="37" t="str">
        <x:v>TC-QAR-025-01, TC-QAR-025-02</x:v>
      </x:c>
      <x:c r="AC297" s="37"/>
      <x:c r="AD297" s="37" t="str">
        <x:v>게임 기획서</x:v>
      </x:c>
      <x:c r="AE297" s="37"/>
      <x:c r="AF297" s="40" t="str">
        <x:v>2026-07-10</x:v>
      </x:c>
      <x:c r="AG297" s="37"/>
      <x:c r="AH297" s="49"/>
      <x:c r="AI297" s="49"/>
      <x:c r="AJ297" s="48" t="str">
        <x:v>착수 전</x:v>
      </x:c>
    </x:row>
    <x:row r="298" ht="42" customHeight="1">
      <x:c r="A298" s="37" t="str">
        <x:v>QAR-026</x:v>
      </x:c>
      <x:c r="B298" s="37" t="str">
        <x:v>QA·릴리스·운영</x:v>
      </x:c>
      <x:c r="C298" s="37" t="str">
        <x:v>품질 목표</x:v>
      </x:c>
      <x:c r="D298" s="37" t="str">
        <x:v>크래시 프리</x:v>
      </x:c>
      <x:c r="E298" s="37" t="str">
        <x:v>크래시 프리 비율·중대 멈춤 목표</x:v>
      </x:c>
      <x:c r="F298" s="37" t="str">
        <x:v>게임 규칙, 운영 요구사항과 대상 플랫폼 제약을 충족하도록 크래시 프리 비율·중대 멈춤 목표 기능을 구현하고 검증한다.</x:v>
      </x:c>
      <x:c r="G298" s="37" t="str">
        <x:v>출시 후보 기간의 크래시 프리 세션·사용자 목표와 중대 멈춤 0건을 정의하고 빌드와 플랫폼별로 모니터링한다.</x:v>
      </x:c>
      <x:c r="H298" s="37" t="str">
        <x:v>구현, 코드 리뷰, 사양 갱신, 대상 QA 케이스 실행, 로그·텔레메트리 확인과 관련 플랫폼 검증을 완료하고 미해결 P0·P1 결함이 없다.</x:v>
      </x:c>
      <x:c r="I298" s="37" t="str">
        <x:v>릴리스 후보</x:v>
      </x:c>
      <x:c r="J298" s="37" t="str">
        <x:v>P0</x:v>
      </x:c>
      <x:c r="K298" s="37" t="str">
        <x:v>필수</x:v>
      </x:c>
      <x:c r="L298" s="37" t="str">
        <x:v>품질 목표</x:v>
      </x:c>
      <x:c r="M298" s="37" t="str">
        <x:v>릴리스 후보</x:v>
      </x:c>
      <x:c r="N298" s="37" t="str">
        <x:v>QA·릴리스 관리</x:v>
      </x:c>
      <x:c r="O298" s="37" t="str">
        <x:v>미정</x:v>
      </x:c>
      <x:c r="P298" s="37" t="str">
        <x:v>미정</x:v>
      </x:c>
      <x:c r="Q298" s="37" t="str">
        <x:v>전체</x:v>
      </x:c>
      <x:c r="R298" s="37" t="str">
        <x:v>해당 없음</x:v>
      </x:c>
      <x:c r="S298" s="37" t="str">
        <x:v>백엔드</x:v>
      </x:c>
      <x:c r="T298" s="37" t="str">
        <x:v>M</x:v>
      </x:c>
      <x:c r="U298" s="37" t="str">
        <x:v>미착수</x:v>
      </x:c>
      <x:c r="V298" s="42" t="n">
        <x:f>IF(U298="완료",1,IF(U298="QA 진행 중",0.8,IF(U298="코드 리뷰",0.65,IF(U298="구현 중",0.4,IF(U298="사양 확인 중",0.1,IF(U298="차단",0.4,0))))))</x:f>
        <x:v>0</x:v>
      </x:c>
      <x:c r="W298" s="37" t="str">
        <x:v>미정</x:v>
      </x:c>
      <x:c r="X298" s="40"/>
      <x:c r="Y298" s="37" t="str">
        <x:v>BED-023,QAR-013</x:v>
      </x:c>
      <x:c r="Z298" s="37" t="str">
        <x:v>중간</x:v>
      </x:c>
      <x:c r="AA298" s="37" t="str">
        <x:v>운영</x:v>
      </x:c>
      <x:c r="AB298" s="37" t="str">
        <x:v>TC-QAR-026-01, TC-QAR-026-02</x:v>
      </x:c>
      <x:c r="AC298" s="37"/>
      <x:c r="AD298" s="37" t="str">
        <x:v>게임 기획서</x:v>
      </x:c>
      <x:c r="AE298" s="37"/>
      <x:c r="AF298" s="40" t="str">
        <x:v>2026-07-10</x:v>
      </x:c>
      <x:c r="AG298" s="37"/>
      <x:c r="AH298" s="49"/>
      <x:c r="AI298" s="49"/>
      <x:c r="AJ298" s="48" t="str">
        <x:v>착수 전</x:v>
      </x:c>
    </x:row>
    <x:row r="299" ht="42" customHeight="1">
      <x:c r="A299" s="37" t="str">
        <x:v>QAR-027</x:v>
      </x:c>
      <x:c r="B299" s="37" t="str">
        <x:v>QA·릴리스·운영</x:v>
      </x:c>
      <x:c r="C299" s="37" t="str">
        <x:v>품질 목표</x:v>
      </x:c>
      <x:c r="D299" s="37" t="str">
        <x:v>서비스 SLO</x:v>
      </x:c>
      <x:c r="E299" s="37" t="str">
        <x:v>온라인 서비스 SLO·오류 예산</x:v>
      </x:c>
      <x:c r="F299" s="37" t="str">
        <x:v>게임 규칙, 운영 요구사항과 대상 플랫폼 제약을 충족하도록 온라인 서비스 SLO·오류 예산 기능을 구현하고 검증한다.</x:v>
      </x:c>
      <x:c r="G299" s="37" t="str">
        <x:v>인증, 룸 생성, 참가, 시작, 매치 지속의 가용성, 지연, 실패율 목표와 초과 시 출시 중단 기준을 정의한다.</x:v>
      </x:c>
      <x:c r="H299" s="37" t="str">
        <x:v>구현, 코드 리뷰, 사양 갱신, 대상 QA 케이스 실행, 로그·텔레메트리 확인과 관련 플랫폼 검증을 완료하고 미해결 P0·P1 결함이 없다.</x:v>
      </x:c>
      <x:c r="I299" s="37" t="str">
        <x:v>릴리스 후보</x:v>
      </x:c>
      <x:c r="J299" s="37" t="str">
        <x:v>P0</x:v>
      </x:c>
      <x:c r="K299" s="37" t="str">
        <x:v>필수</x:v>
      </x:c>
      <x:c r="L299" s="37" t="str">
        <x:v>품질 목표</x:v>
      </x:c>
      <x:c r="M299" s="37" t="str">
        <x:v>릴리스 후보</x:v>
      </x:c>
      <x:c r="N299" s="37" t="str">
        <x:v>QA·릴리스 관리</x:v>
      </x:c>
      <x:c r="O299" s="37" t="str">
        <x:v>미정</x:v>
      </x:c>
      <x:c r="P299" s="37" t="str">
        <x:v>미정</x:v>
      </x:c>
      <x:c r="Q299" s="37" t="str">
        <x:v>백엔드</x:v>
      </x:c>
      <x:c r="R299" s="37" t="str">
        <x:v>해당 없음</x:v>
      </x:c>
      <x:c r="S299" s="37" t="str">
        <x:v>백엔드</x:v>
      </x:c>
      <x:c r="T299" s="37" t="str">
        <x:v>M</x:v>
      </x:c>
      <x:c r="U299" s="37" t="str">
        <x:v>미착수</x:v>
      </x:c>
      <x:c r="V299" s="42" t="n">
        <x:f>IF(U299="완료",1,IF(U299="QA 진행 중",0.8,IF(U299="코드 리뷰",0.65,IF(U299="구현 중",0.4,IF(U299="사양 확인 중",0.1,IF(U299="차단",0.4,0))))))</x:f>
        <x:v>0</x:v>
      </x:c>
      <x:c r="W299" s="37" t="str">
        <x:v>미정</x:v>
      </x:c>
      <x:c r="X299" s="40"/>
      <x:c r="Y299" s="37" t="str">
        <x:v>BED-019,ONL-024</x:v>
      </x:c>
      <x:c r="Z299" s="37" t="str">
        <x:v>중간</x:v>
      </x:c>
      <x:c r="AA299" s="37" t="str">
        <x:v>운영</x:v>
      </x:c>
      <x:c r="AB299" s="37" t="str">
        <x:v>TC-QAR-027-01, TC-QAR-027-02</x:v>
      </x:c>
      <x:c r="AC299" s="37"/>
      <x:c r="AD299" s="37" t="str">
        <x:v>게임 기획서</x:v>
      </x:c>
      <x:c r="AE299" s="37"/>
      <x:c r="AF299" s="40" t="str">
        <x:v>2026-07-10</x:v>
      </x:c>
      <x:c r="AG299" s="37"/>
      <x:c r="AH299" s="49"/>
      <x:c r="AI299" s="49"/>
      <x:c r="AJ299" s="48" t="str">
        <x:v>착수 전</x:v>
      </x:c>
    </x:row>
    <x:row r="300" ht="42" customHeight="1">
      <x:c r="A300" s="37" t="str">
        <x:v>QAR-028</x:v>
      </x:c>
      <x:c r="B300" s="37" t="str">
        <x:v>QA·릴리스·운영</x:v>
      </x:c>
      <x:c r="C300" s="37" t="str">
        <x:v>규정 준수</x:v>
      </x:c>
      <x:c r="D300" s="37" t="str">
        <x:v>보안·개인정보 검토</x:v>
      </x:c>
      <x:c r="E300" s="37" t="str">
        <x:v>보안·개인정보·위협 모델 검토</x:v>
      </x:c>
      <x:c r="F300" s="37" t="str">
        <x:v>게임 규칙, 운영 요구사항과 대상 플랫폼 제약을 충족하도록 보안·개인정보·위협 모델 검토 기능을 구현하고 검증한다.</x:v>
      </x:c>
      <x:c r="G300" s="37" t="str">
        <x:v>인증, 권한, 비공개 정보, 음성, 신고, 로그, 데이터 보관, 상점을 검토하고 치명·높음 지적 사항을 출시 전에 해결한다.</x:v>
      </x:c>
      <x:c r="H300" s="37" t="str">
        <x:v>구현, 코드 리뷰, 사양 갱신, 대상 QA 케이스 실행, 로그·텔레메트리 확인과 관련 플랫폼 검증을 완료하고 미해결 P0·P1 결함이 없다.</x:v>
      </x:c>
      <x:c r="I300" s="37" t="str">
        <x:v>릴리스 후보</x:v>
      </x:c>
      <x:c r="J300" s="37" t="str">
        <x:v>P0</x:v>
      </x:c>
      <x:c r="K300" s="37" t="str">
        <x:v>필수</x:v>
      </x:c>
      <x:c r="L300" s="37" t="str">
        <x:v>보안</x:v>
      </x:c>
      <x:c r="M300" s="37" t="str">
        <x:v>릴리스 후보</x:v>
      </x:c>
      <x:c r="N300" s="37" t="str">
        <x:v>QA·릴리스 관리</x:v>
      </x:c>
      <x:c r="O300" s="37" t="str">
        <x:v>미정</x:v>
      </x:c>
      <x:c r="P300" s="37" t="str">
        <x:v>미정</x:v>
      </x:c>
      <x:c r="Q300" s="37" t="str">
        <x:v>전체</x:v>
      </x:c>
      <x:c r="R300" s="37" t="str">
        <x:v>해당 없음</x:v>
      </x:c>
      <x:c r="S300" s="37" t="str">
        <x:v>감사 로그</x:v>
      </x:c>
      <x:c r="T300" s="37" t="str">
        <x:v>XL</x:v>
      </x:c>
      <x:c r="U300" s="37" t="str">
        <x:v>미착수</x:v>
      </x:c>
      <x:c r="V300" s="42" t="n">
        <x:f>IF(U300="완료",1,IF(U300="QA 진행 중",0.8,IF(U300="코드 리뷰",0.65,IF(U300="구현 중",0.4,IF(U300="사양 확인 중",0.1,IF(U300="차단",0.4,0))))))</x:f>
        <x:v>0</x:v>
      </x:c>
      <x:c r="W300" s="37" t="str">
        <x:v>미정</x:v>
      </x:c>
      <x:c r="X300" s="40"/>
      <x:c r="Y300" s="37" t="str">
        <x:v>NET-026,NET-027,BED-012,BED-014,BED-027</x:v>
      </x:c>
      <x:c r="Z300" s="37" t="str">
        <x:v>중간</x:v>
      </x:c>
      <x:c r="AA300" s="37" t="str">
        <x:v>보안</x:v>
      </x:c>
      <x:c r="AB300" s="37" t="str">
        <x:v>TC-QAR-028-01, TC-QAR-028-02</x:v>
      </x:c>
      <x:c r="AC300" s="37"/>
      <x:c r="AD300" s="37" t="str">
        <x:v>게임 기획서</x:v>
      </x:c>
      <x:c r="AE300" s="37"/>
      <x:c r="AF300" s="40" t="str">
        <x:v>2026-07-10</x:v>
      </x:c>
      <x:c r="AG300" s="37"/>
      <x:c r="AH300" s="49"/>
      <x:c r="AI300" s="49"/>
      <x:c r="AJ300" s="48" t="str">
        <x:v>착수 전</x:v>
      </x:c>
    </x:row>
    <x:row r="301" ht="42" customHeight="1">
      <x:c r="A301" s="37" t="str">
        <x:v>QAR-029</x:v>
      </x:c>
      <x:c r="B301" s="37" t="str">
        <x:v>QA·릴리스·운영</x:v>
      </x:c>
      <x:c r="C301" s="37" t="str">
        <x:v>규정 준수</x:v>
      </x:c>
      <x:c r="D301" s="37" t="str">
        <x:v>플랫폼·스토어</x:v>
      </x:c>
      <x:c r="E301" s="37" t="str">
        <x:v>플랫폼 인증·스토어 제출</x:v>
      </x:c>
      <x:c r="F301" s="37" t="str">
        <x:v>게임 규칙, 운영 요구사항과 대상 플랫폼 제약을 충족하도록 플랫폼 인증·스토어 제출 기능을 구현하고 검증한다.</x:v>
      </x:c>
      <x:c r="G301" s="37" t="str">
        <x:v>초대, 음성, 보호자 설정, 차단, 저장, 네트워크 끊김, 권리, 개인정보, 스토어 자료 요건을 충족한다.</x:v>
      </x:c>
      <x:c r="H301" s="37" t="str">
        <x:v>구현, 코드 리뷰, 사양 갱신, 대상 QA 케이스 실행, 로그·텔레메트리 확인과 관련 플랫폼 검증을 완료하고 미해결 P0·P1 결함이 없다.</x:v>
      </x:c>
      <x:c r="I301" s="37" t="str">
        <x:v>출시</x:v>
      </x:c>
      <x:c r="J301" s="37" t="str">
        <x:v>P0</x:v>
      </x:c>
      <x:c r="K301" s="37" t="str">
        <x:v>필수</x:v>
      </x:c>
      <x:c r="L301" s="37" t="str">
        <x:v>인증·약관</x:v>
      </x:c>
      <x:c r="M301" s="37" t="str">
        <x:v>출시</x:v>
      </x:c>
      <x:c r="N301" s="37" t="str">
        <x:v>QA·릴리스 관리</x:v>
      </x:c>
      <x:c r="O301" s="37" t="str">
        <x:v>미정</x:v>
      </x:c>
      <x:c r="P301" s="37" t="str">
        <x:v>미정</x:v>
      </x:c>
      <x:c r="Q301" s="37" t="str">
        <x:v>전체</x:v>
      </x:c>
      <x:c r="R301" s="37" t="str">
        <x:v>해당 없음</x:v>
      </x:c>
      <x:c r="S301" s="37" t="str">
        <x:v>감사 로그</x:v>
      </x:c>
      <x:c r="T301" s="37" t="str">
        <x:v>XL</x:v>
      </x:c>
      <x:c r="U301" s="37" t="str">
        <x:v>미착수</x:v>
      </x:c>
      <x:c r="V301" s="42" t="n">
        <x:f>IF(U301="완료",1,IF(U301="QA 진행 중",0.8,IF(U301="코드 리뷰",0.65,IF(U301="구현 중",0.4,IF(U301="사양 확인 중",0.1,IF(U301="차단",0.4,0))))))</x:f>
        <x:v>0</x:v>
      </x:c>
      <x:c r="W301" s="37" t="str">
        <x:v>미정</x:v>
      </x:c>
      <x:c r="X301" s="40"/>
      <x:c r="Y301" s="37" t="str">
        <x:v>ONL-012,AUD-023,BED-005,BED-013</x:v>
      </x:c>
      <x:c r="Z301" s="37" t="str">
        <x:v>중간</x:v>
      </x:c>
      <x:c r="AA301" s="37" t="str">
        <x:v>호환성</x:v>
      </x:c>
      <x:c r="AB301" s="37" t="str">
        <x:v>TC-QAR-029-01, TC-QAR-029-02</x:v>
      </x:c>
      <x:c r="AC301" s="37"/>
      <x:c r="AD301" s="37" t="str">
        <x:v>게임 기획서</x:v>
      </x:c>
      <x:c r="AE301" s="37"/>
      <x:c r="AF301" s="40" t="str">
        <x:v>2026-07-10</x:v>
      </x:c>
      <x:c r="AG301" s="37"/>
      <x:c r="AH301" s="49"/>
      <x:c r="AI301" s="49"/>
      <x:c r="AJ301" s="48" t="str">
        <x:v>착수 전</x:v>
      </x:c>
    </x:row>
    <x:row r="302" ht="42" customHeight="1">
      <x:c r="A302" s="37" t="str">
        <x:v>QAR-030</x:v>
      </x:c>
      <x:c r="B302" s="37" t="str">
        <x:v>QA·릴리스·운영</x:v>
      </x:c>
      <x:c r="C302" s="37" t="str">
        <x:v>운영</x:v>
      </x:c>
      <x:c r="D302" s="37" t="str">
        <x:v>운영 절차서</x:v>
      </x:c>
      <x:c r="E302" s="37" t="str">
        <x:v>장애·신고·제재·설정·롤백 운영 절차서</x:v>
      </x:c>
      <x:c r="F302" s="37" t="str">
        <x:v>게임 규칙, 운영 요구사항과 대상 플랫폼 제약을 충족하도록 장애·신고·제재·설정·롤백 운영 절차서 기능을 구현하고 검증한다.</x:v>
      </x:c>
      <x:c r="G302" s="37" t="str">
        <x:v>당직, 연락망, 조사, 고객 공지, 임시 조치, 복구, 사후 검토 절차를 서비스별로 문서화하고 모의 훈련한다.</x:v>
      </x:c>
      <x:c r="H302" s="37" t="str">
        <x:v>구현, 코드 리뷰, 사양 갱신, 대상 QA 케이스 실행, 로그·텔레메트리 확인과 관련 플랫폼 검증을 완료하고 미해결 P0·P1 결함이 없다.</x:v>
      </x:c>
      <x:c r="I302" s="37" t="str">
        <x:v>출시</x:v>
      </x:c>
      <x:c r="J302" s="37" t="str">
        <x:v>P0</x:v>
      </x:c>
      <x:c r="K302" s="37" t="str">
        <x:v>필수</x:v>
      </x:c>
      <x:c r="L302" s="37" t="str">
        <x:v>운영</x:v>
      </x:c>
      <x:c r="M302" s="37" t="str">
        <x:v>출시</x:v>
      </x:c>
      <x:c r="N302" s="37" t="str">
        <x:v>QA·릴리스 관리</x:v>
      </x:c>
      <x:c r="O302" s="37" t="str">
        <x:v>미정</x:v>
      </x:c>
      <x:c r="P302" s="37" t="str">
        <x:v>미정</x:v>
      </x:c>
      <x:c r="Q302" s="37" t="str">
        <x:v>전체</x:v>
      </x:c>
      <x:c r="R302" s="37" t="str">
        <x:v>해당 없음</x:v>
      </x:c>
      <x:c r="S302" s="37" t="str">
        <x:v>감사 로그</x:v>
      </x:c>
      <x:c r="T302" s="37" t="str">
        <x:v>L</x:v>
      </x:c>
      <x:c r="U302" s="37" t="str">
        <x:v>미착수</x:v>
      </x:c>
      <x:c r="V302" s="42" t="n">
        <x:f>IF(U302="완료",1,IF(U302="QA 진행 중",0.8,IF(U302="코드 리뷰",0.65,IF(U302="구현 중",0.4,IF(U302="사양 확인 중",0.1,IF(U302="차단",0.4,0))))))</x:f>
        <x:v>0</x:v>
      </x:c>
      <x:c r="W302" s="37" t="str">
        <x:v>미정</x:v>
      </x:c>
      <x:c r="X302" s="40"/>
      <x:c r="Y302" s="37" t="str">
        <x:v>BED-019,BED-021,BED-028,ONL-025</x:v>
      </x:c>
      <x:c r="Z302" s="37" t="str">
        <x:v>중간</x:v>
      </x:c>
      <x:c r="AA302" s="37" t="str">
        <x:v>운영</x:v>
      </x:c>
      <x:c r="AB302" s="37" t="str">
        <x:v>TC-QAR-030-01, TC-QAR-030-02</x:v>
      </x:c>
      <x:c r="AC302" s="37"/>
      <x:c r="AD302" s="37" t="str">
        <x:v>게임 기획서</x:v>
      </x:c>
      <x:c r="AE302" s="37"/>
      <x:c r="AF302" s="40" t="str">
        <x:v>2026-07-10</x:v>
      </x:c>
      <x:c r="AG302" s="37"/>
      <x:c r="AH302" s="49"/>
      <x:c r="AI302" s="49"/>
      <x:c r="AJ302" s="48" t="str">
        <x:v>착수 전</x:v>
      </x:c>
    </x:row>
    <x:row r="303" ht="42" customHeight="1">
      <x:c r="A303" s="37" t="str">
        <x:v>QAR-031</x:v>
      </x:c>
      <x:c r="B303" s="37" t="str">
        <x:v>QA·릴리스·운영</x:v>
      </x:c>
      <x:c r="C303" s="37" t="str">
        <x:v>릴리스 관리</x:v>
      </x:c>
      <x:c r="D303" s="37" t="str">
        <x:v>롤백</x:v>
      </x:c>
      <x:c r="E303" s="37" t="str">
        <x:v>클라이언트·서버·설정·콘텐츠 롤백</x:v>
      </x:c>
      <x:c r="F303" s="37" t="str">
        <x:v>게임 규칙, 운영 요구사항과 대상 플랫폼 제약을 충족하도록 클라이언트·서버·설정·콘텐츠 롤백 기능을 구현하고 검증한다.</x:v>
      </x:c>
      <x:c r="G303" s="37" t="str">
        <x:v>호환 범위를 유지하면서 각 계층을 개별 복구할 수 있는 절차와 중단 조건을 정의하고 스테이징에서 복구 훈련을 완료한다.</x:v>
      </x:c>
      <x:c r="H303" s="37" t="str">
        <x:v>구현, 코드 리뷰, 사양 갱신, 대상 QA 케이스 실행, 로그·텔레메트리 확인과 관련 플랫폼 검증을 완료하고 미해결 P0·P1 결함이 없다.</x:v>
      </x:c>
      <x:c r="I303" s="37" t="str">
        <x:v>릴리스 후보</x:v>
      </x:c>
      <x:c r="J303" s="37" t="str">
        <x:v>P0</x:v>
      </x:c>
      <x:c r="K303" s="37" t="str">
        <x:v>필수</x:v>
      </x:c>
      <x:c r="L303" s="37" t="str">
        <x:v>릴리스</x:v>
      </x:c>
      <x:c r="M303" s="37" t="str">
        <x:v>릴리스 후보</x:v>
      </x:c>
      <x:c r="N303" s="37" t="str">
        <x:v>QA·릴리스 관리</x:v>
      </x:c>
      <x:c r="O303" s="37" t="str">
        <x:v>미정</x:v>
      </x:c>
      <x:c r="P303" s="37" t="str">
        <x:v>미정</x:v>
      </x:c>
      <x:c r="Q303" s="37" t="str">
        <x:v>전체</x:v>
      </x:c>
      <x:c r="R303" s="37" t="str">
        <x:v>해당 없음</x:v>
      </x:c>
      <x:c r="S303" s="37" t="str">
        <x:v>감사 로그</x:v>
      </x:c>
      <x:c r="T303" s="37" t="str">
        <x:v>XL</x:v>
      </x:c>
      <x:c r="U303" s="37" t="str">
        <x:v>미착수</x:v>
      </x:c>
      <x:c r="V303" s="42" t="n">
        <x:f>IF(U303="완료",1,IF(U303="QA 진행 중",0.8,IF(U303="코드 리뷰",0.65,IF(U303="구현 중",0.4,IF(U303="사양 확인 중",0.1,IF(U303="차단",0.4,0))))))</x:f>
        <x:v>0</x:v>
      </x:c>
      <x:c r="W303" s="37" t="str">
        <x:v>미정</x:v>
      </x:c>
      <x:c r="X303" s="40"/>
      <x:c r="Y303" s="37" t="str">
        <x:v>BED-028,QAR-024,QAR-025</x:v>
      </x:c>
      <x:c r="Z303" s="37" t="str">
        <x:v>중간</x:v>
      </x:c>
      <x:c r="AA303" s="37" t="str">
        <x:v>운영</x:v>
      </x:c>
      <x:c r="AB303" s="37" t="str">
        <x:v>TC-QAR-031-01, TC-QAR-031-02</x:v>
      </x:c>
      <x:c r="AC303" s="37"/>
      <x:c r="AD303" s="37" t="str">
        <x:v>게임 기획서</x:v>
      </x:c>
      <x:c r="AE303" s="37"/>
      <x:c r="AF303" s="40" t="str">
        <x:v>2026-07-10</x:v>
      </x:c>
      <x:c r="AG303" s="37"/>
      <x:c r="AH303" s="49"/>
      <x:c r="AI303" s="49"/>
      <x:c r="AJ303" s="48" t="str">
        <x:v>착수 전</x:v>
      </x:c>
    </x:row>
    <x:row r="304" ht="42" customHeight="1">
      <x:c r="A304" s="37" t="str">
        <x:v>QAR-032</x:v>
      </x:c>
      <x:c r="B304" s="37" t="str">
        <x:v>QA·릴리스·운영</x:v>
      </x:c>
      <x:c r="C304" s="37" t="str">
        <x:v>릴리스 관리</x:v>
      </x:c>
      <x:c r="D304" s="37" t="str">
        <x:v>릴리스 후보 승인</x:v>
      </x:c>
      <x:c r="E304" s="37" t="str">
        <x:v>출시 후보 빌드 동결·최종 회귀</x:v>
      </x:c>
      <x:c r="F304" s="37" t="str">
        <x:v>게임 규칙, 운영 요구사항과 대상 플랫폼 제약을 충족하도록 출시 후보 빌드 동결·최종 회귀 기능을 구현하고 검증한다.</x:v>
      </x:c>
      <x:c r="G304" s="37" t="str">
        <x:v>코드와 콘텐츠 동결 후 전체 P0 회귀, 플랫폼 인증, 성능, 보안, 스토어, 운영 절차서를 확인하고 승인자가 서명한다.</x:v>
      </x:c>
      <x:c r="H304" s="37" t="str">
        <x:v>구현, 코드 리뷰, 사양 갱신, 대상 QA 케이스 실행, 로그·텔레메트리 확인과 관련 플랫폼 검증을 완료하고 미해결 P0·P1 결함이 없다.</x:v>
      </x:c>
      <x:c r="I304" s="37" t="str">
        <x:v>릴리스 후보</x:v>
      </x:c>
      <x:c r="J304" s="37" t="str">
        <x:v>P0</x:v>
      </x:c>
      <x:c r="K304" s="37" t="str">
        <x:v>필수</x:v>
      </x:c>
      <x:c r="L304" s="37" t="str">
        <x:v>릴리스</x:v>
      </x:c>
      <x:c r="M304" s="37" t="str">
        <x:v>릴리스 후보</x:v>
      </x:c>
      <x:c r="N304" s="37" t="str">
        <x:v>QA·릴리스 관리</x:v>
      </x:c>
      <x:c r="O304" s="37" t="str">
        <x:v>미정</x:v>
      </x:c>
      <x:c r="P304" s="37" t="str">
        <x:v>미정</x:v>
      </x:c>
      <x:c r="Q304" s="37" t="str">
        <x:v>전체</x:v>
      </x:c>
      <x:c r="R304" s="37" t="str">
        <x:v>해당 없음</x:v>
      </x:c>
      <x:c r="S304" s="37" t="str">
        <x:v>감사 로그</x:v>
      </x:c>
      <x:c r="T304" s="37" t="str">
        <x:v>L</x:v>
      </x:c>
      <x:c r="U304" s="37" t="str">
        <x:v>미착수</x:v>
      </x:c>
      <x:c r="V304" s="42" t="n">
        <x:f>IF(U304="완료",1,IF(U304="QA 진행 중",0.8,IF(U304="코드 리뷰",0.65,IF(U304="구현 중",0.4,IF(U304="사양 확인 중",0.1,IF(U304="차단",0.4,0))))))</x:f>
        <x:v>0</x:v>
      </x:c>
      <x:c r="W304" s="37" t="str">
        <x:v>미정</x:v>
      </x:c>
      <x:c r="X304" s="40"/>
      <x:c r="Y304" s="37" t="str">
        <x:v>QAR-023,QAR-026,QAR-027,QAR-028,QAR-029,QAR-030,QAR-031</x:v>
      </x:c>
      <x:c r="Z304" s="37" t="str">
        <x:v>중간</x:v>
      </x:c>
      <x:c r="AA304" s="37" t="str">
        <x:v>운영</x:v>
      </x:c>
      <x:c r="AB304" s="37" t="str">
        <x:v>TC-QAR-032-01, TC-QAR-032-02</x:v>
      </x:c>
      <x:c r="AC304" s="37"/>
      <x:c r="AD304" s="37" t="str">
        <x:v>게임 기획서</x:v>
      </x:c>
      <x:c r="AE304" s="37"/>
      <x:c r="AF304" s="40" t="str">
        <x:v>2026-07-10</x:v>
      </x:c>
      <x:c r="AG304" s="37"/>
      <x:c r="AH304" s="49"/>
      <x:c r="AI304" s="49"/>
      <x:c r="AJ304" s="48" t="str">
        <x:v>착수 전</x:v>
      </x:c>
    </x:row>
    <x:row r="305" ht="42" customHeight="1">
      <x:c r="A305" s="37" t="str">
        <x:v>QAR-033</x:v>
      </x:c>
      <x:c r="B305" s="37" t="str">
        <x:v>QA·릴리스·운영</x:v>
      </x:c>
      <x:c r="C305" s="37" t="str">
        <x:v>베타 프로그램</x:v>
      </x:c>
      <x:c r="D305" s="37" t="str">
        <x:v>외부 테스트</x:v>
      </x:c>
      <x:c r="E305" s="37" t="str">
        <x:v>비공개·공개 베타 계획</x:v>
      </x:c>
      <x:c r="F305" s="37" t="str">
        <x:v>게임 규칙, 운영 요구사항과 대상 플랫폼 제약을 충족하도록 비공개·공개 베타 계획 기능을 구현하고 검증한다.</x:v>
      </x:c>
      <x:c r="G305" s="37" t="str">
        <x:v>대상 지역·인원, 배포, NDA, 피드백, 신고, 데이터 동의, 지원, 중단 기준, 종료 시 데이터 삭제를 정의한다.</x:v>
      </x:c>
      <x:c r="H305" s="37" t="str">
        <x:v>구현, 코드 리뷰, 사양 갱신, 대상 QA 케이스 실행, 로그·텔레메트리 확인과 관련 플랫폼 검증을 완료하고 미해결 P0·P1 결함이 없다.</x:v>
      </x:c>
      <x:c r="I305" s="37" t="str">
        <x:v>베타</x:v>
      </x:c>
      <x:c r="J305" s="37" t="str">
        <x:v>P1</x:v>
      </x:c>
      <x:c r="K305" s="37" t="str">
        <x:v>필수</x:v>
      </x:c>
      <x:c r="L305" s="37" t="str">
        <x:v>사용자 검증</x:v>
      </x:c>
      <x:c r="M305" s="37" t="str">
        <x:v>베타</x:v>
      </x:c>
      <x:c r="N305" s="37" t="str">
        <x:v>QA·릴리스 관리</x:v>
      </x:c>
      <x:c r="O305" s="37" t="str">
        <x:v>미정</x:v>
      </x:c>
      <x:c r="P305" s="37" t="str">
        <x:v>미정</x:v>
      </x:c>
      <x:c r="Q305" s="37" t="str">
        <x:v>전체</x:v>
      </x:c>
      <x:c r="R305" s="37" t="str">
        <x:v>해당 없음</x:v>
      </x:c>
      <x:c r="S305" s="37" t="str">
        <x:v>감사 로그</x:v>
      </x:c>
      <x:c r="T305" s="37" t="str">
        <x:v>L</x:v>
      </x:c>
      <x:c r="U305" s="37" t="str">
        <x:v>미착수</x:v>
      </x:c>
      <x:c r="V305" s="42" t="n">
        <x:f>IF(U305="완료",1,IF(U305="QA 진행 중",0.8,IF(U305="코드 리뷰",0.65,IF(U305="구현 중",0.4,IF(U305="사양 확인 중",0.1,IF(U305="차단",0.4,0))))))</x:f>
        <x:v>0</x:v>
      </x:c>
      <x:c r="W305" s="37" t="str">
        <x:v>미정</x:v>
      </x:c>
      <x:c r="X305" s="40"/>
      <x:c r="Y305" s="37" t="str">
        <x:v>QAR-017,QAR-018,BED-012</x:v>
      </x:c>
      <x:c r="Z305" s="37" t="str">
        <x:v>중간</x:v>
      </x:c>
      <x:c r="AA305" s="37" t="str">
        <x:v>운영</x:v>
      </x:c>
      <x:c r="AB305" s="37" t="str">
        <x:v>TC-QAR-033-01</x:v>
      </x:c>
      <x:c r="AC305" s="37"/>
      <x:c r="AD305" s="37" t="str">
        <x:v>게임 기획서</x:v>
      </x:c>
      <x:c r="AE305" s="37"/>
      <x:c r="AF305" s="40" t="str">
        <x:v>2026-07-10</x:v>
      </x:c>
      <x:c r="AG305" s="37"/>
      <x:c r="AH305" s="49"/>
      <x:c r="AI305" s="49"/>
      <x:c r="AJ305" s="48" t="str">
        <x:v>착수 전</x:v>
      </x:c>
    </x:row>
    <x:row r="306" ht="42" customHeight="1">
      <x:c r="A306" s="37" t="str">
        <x:v>QAR-034</x:v>
      </x:c>
      <x:c r="B306" s="37" t="str">
        <x:v>QA·릴리스·운영</x:v>
      </x:c>
      <x:c r="C306" s="37" t="str">
        <x:v>라이브 운영</x:v>
      </x:c>
      <x:c r="D306" s="37" t="str">
        <x:v>출시 모니터링</x:v>
      </x:c>
      <x:c r="E306" s="37" t="str">
        <x:v>출시 모니터링 대시보드·상황실</x:v>
      </x:c>
      <x:c r="F306" s="37" t="str">
        <x:v>게임 규칙, 운영 요구사항과 대상 플랫폼 제약을 충족하도록 출시 모니터링 대시보드·상황실 기능을 구현하고 검증한다.</x:v>
      </x:c>
      <x:c r="G306" s="37" t="str">
        <x:v>인증, 룸, 시작 성공률, 연결 종료, 크래시, SLO, 신고, 승률, 게임 시간을 실시간 모니터링하고 책임자와 판단 임계값을 정의한다.</x:v>
      </x:c>
      <x:c r="H306" s="37" t="str">
        <x:v>구현, 코드 리뷰, 사양 갱신, 대상 QA 케이스 실행, 로그·텔레메트리 확인과 관련 플랫폼 검증을 완료하고 미해결 P0·P1 결함이 없다.</x:v>
      </x:c>
      <x:c r="I306" s="37" t="str">
        <x:v>출시</x:v>
      </x:c>
      <x:c r="J306" s="37" t="str">
        <x:v>P0</x:v>
      </x:c>
      <x:c r="K306" s="37" t="str">
        <x:v>필수</x:v>
      </x:c>
      <x:c r="L306" s="37" t="str">
        <x:v>운영</x:v>
      </x:c>
      <x:c r="M306" s="37" t="str">
        <x:v>출시</x:v>
      </x:c>
      <x:c r="N306" s="37" t="str">
        <x:v>QA·릴리스 관리</x:v>
      </x:c>
      <x:c r="O306" s="37" t="str">
        <x:v>미정</x:v>
      </x:c>
      <x:c r="P306" s="37" t="str">
        <x:v>미정</x:v>
      </x:c>
      <x:c r="Q306" s="37" t="str">
        <x:v>전체</x:v>
      </x:c>
      <x:c r="R306" s="37" t="str">
        <x:v>해당 없음</x:v>
      </x:c>
      <x:c r="S306" s="37" t="str">
        <x:v>백엔드</x:v>
      </x:c>
      <x:c r="T306" s="37" t="str">
        <x:v>L</x:v>
      </x:c>
      <x:c r="U306" s="37" t="str">
        <x:v>미착수</x:v>
      </x:c>
      <x:c r="V306" s="42" t="n">
        <x:f>IF(U306="완료",1,IF(U306="QA 진행 중",0.8,IF(U306="코드 리뷰",0.65,IF(U306="구현 중",0.4,IF(U306="사양 확인 중",0.1,IF(U306="차단",0.4,0))))))</x:f>
        <x:v>0</x:v>
      </x:c>
      <x:c r="W306" s="37" t="str">
        <x:v>미정</x:v>
      </x:c>
      <x:c r="X306" s="40"/>
      <x:c r="Y306" s="37" t="str">
        <x:v>BED-008,BED-019,QAR-026,QAR-027</x:v>
      </x:c>
      <x:c r="Z306" s="37" t="str">
        <x:v>중간</x:v>
      </x:c>
      <x:c r="AA306" s="37" t="str">
        <x:v>운영</x:v>
      </x:c>
      <x:c r="AB306" s="37" t="str">
        <x:v>TC-QAR-034-01, TC-QAR-034-02</x:v>
      </x:c>
      <x:c r="AC306" s="37"/>
      <x:c r="AD306" s="37" t="str">
        <x:v>게임 기획서</x:v>
      </x:c>
      <x:c r="AE306" s="37"/>
      <x:c r="AF306" s="40" t="str">
        <x:v>2026-07-10</x:v>
      </x:c>
      <x:c r="AG306" s="37"/>
      <x:c r="AH306" s="49"/>
      <x:c r="AI306" s="49"/>
      <x:c r="AJ306" s="48" t="str">
        <x:v>착수 전</x:v>
      </x:c>
    </x:row>
    <x:row r="307" ht="42" customHeight="1">
      <x:c r="A307" s="37" t="str">
        <x:v>QAR-035</x:v>
      </x:c>
      <x:c r="B307" s="37" t="str">
        <x:v>QA·릴리스·운영</x:v>
      </x:c>
      <x:c r="C307" s="37" t="str">
        <x:v>라이브 운영</x:v>
      </x:c>
      <x:c r="D307" s="37" t="str">
        <x:v>사고 대응</x:v>
      </x:c>
      <x:c r="E307" s="37" t="str">
        <x:v>중대 장애 대응·사후 검토</x:v>
      </x:c>
      <x:c r="F307" s="37" t="str">
        <x:v>게임 규칙, 운영 요구사항과 대상 플랫폼 제약을 충족하도록 중대 장애 대응·사후 검토 기능을 구현하고 검증한다.</x:v>
      </x:c>
      <x:c r="G307" s="37" t="str">
        <x:v>심각도, 지휘 체계, 기술 대응, 공지, 규제 보고, 증거 보존, 복구, 사후 검토, 재발 방지 절차를 모의 훈련한다.</x:v>
      </x:c>
      <x:c r="H307" s="37" t="str">
        <x:v>구현, 코드 리뷰, 사양 갱신, 대상 QA 케이스 실행, 로그·텔레메트리 확인과 관련 플랫폼 검증을 완료하고 미해결 P0·P1 결함이 없다.</x:v>
      </x:c>
      <x:c r="I307" s="37" t="str">
        <x:v>출시</x:v>
      </x:c>
      <x:c r="J307" s="37" t="str">
        <x:v>P0</x:v>
      </x:c>
      <x:c r="K307" s="37" t="str">
        <x:v>필수</x:v>
      </x:c>
      <x:c r="L307" s="37" t="str">
        <x:v>운영</x:v>
      </x:c>
      <x:c r="M307" s="37" t="str">
        <x:v>출시</x:v>
      </x:c>
      <x:c r="N307" s="37" t="str">
        <x:v>QA·릴리스 관리</x:v>
      </x:c>
      <x:c r="O307" s="37" t="str">
        <x:v>미정</x:v>
      </x:c>
      <x:c r="P307" s="37" t="str">
        <x:v>미정</x:v>
      </x:c>
      <x:c r="Q307" s="37" t="str">
        <x:v>전체</x:v>
      </x:c>
      <x:c r="R307" s="37" t="str">
        <x:v>해당 없음</x:v>
      </x:c>
      <x:c r="S307" s="37" t="str">
        <x:v>감사 로그</x:v>
      </x:c>
      <x:c r="T307" s="37" t="str">
        <x:v>L</x:v>
      </x:c>
      <x:c r="U307" s="37" t="str">
        <x:v>미착수</x:v>
      </x:c>
      <x:c r="V307" s="42" t="n">
        <x:f>IF(U307="완료",1,IF(U307="QA 진행 중",0.8,IF(U307="코드 리뷰",0.65,IF(U307="구현 중",0.4,IF(U307="사양 확인 중",0.1,IF(U307="차단",0.4,0))))))</x:f>
        <x:v>0</x:v>
      </x:c>
      <x:c r="W307" s="37" t="str">
        <x:v>미정</x:v>
      </x:c>
      <x:c r="X307" s="40"/>
      <x:c r="Y307" s="37" t="str">
        <x:v>QAR-030,QAR-034</x:v>
      </x:c>
      <x:c r="Z307" s="37" t="str">
        <x:v>중간</x:v>
      </x:c>
      <x:c r="AA307" s="37" t="str">
        <x:v>운영</x:v>
      </x:c>
      <x:c r="AB307" s="37" t="str">
        <x:v>TC-QAR-035-01, TC-QAR-035-02</x:v>
      </x:c>
      <x:c r="AC307" s="37"/>
      <x:c r="AD307" s="37" t="str">
        <x:v>게임 기획서</x:v>
      </x:c>
      <x:c r="AE307" s="37"/>
      <x:c r="AF307" s="40" t="str">
        <x:v>2026-07-10</x:v>
      </x:c>
      <x:c r="AG307" s="37"/>
      <x:c r="AH307" s="49"/>
      <x:c r="AI307" s="49"/>
      <x:c r="AJ307" s="48" t="str">
        <x:v>착수 전</x:v>
      </x:c>
    </x:row>
    <x:row r="308" ht="42" customHeight="1">
      <x:c r="A308" s="37" t="str">
        <x:v>QAR-036</x:v>
      </x:c>
      <x:c r="B308" s="37" t="str">
        <x:v>QA·릴리스·운영</x:v>
      </x:c>
      <x:c r="C308" s="37" t="str">
        <x:v>릴리스 관리</x:v>
      </x:c>
      <x:c r="D308" s="37" t="str">
        <x:v>동결</x:v>
      </x:c>
      <x:c r="E308" s="37" t="str">
        <x:v>코드·콘텐츠·설정 동결·예외 승인</x:v>
      </x:c>
      <x:c r="F308" s="37" t="str">
        <x:v>게임 규칙, 운영 요구사항과 대상 플랫폼 제약을 충족하도록 코드·콘텐츠·설정 동결·예외 승인 기능을 구현하고 검증한다.</x:v>
      </x:c>
      <x:c r="G308" s="37" t="str">
        <x:v>출시 후보 이후 변경은 위험, 영향 범위, 시험, 롤백, 승인자를 필수로 기록하고 버전과 변경 요청 ID에 연결한다.</x:v>
      </x:c>
      <x:c r="H308" s="37" t="str">
        <x:v>구현, 코드 리뷰, 사양 갱신, 대상 QA 케이스 실행, 로그·텔레메트리 확인과 관련 플랫폼 검증을 완료하고 미해결 P0·P1 결함이 없다.</x:v>
      </x:c>
      <x:c r="I308" s="37" t="str">
        <x:v>릴리스 후보</x:v>
      </x:c>
      <x:c r="J308" s="37" t="str">
        <x:v>P0</x:v>
      </x:c>
      <x:c r="K308" s="37" t="str">
        <x:v>필수</x:v>
      </x:c>
      <x:c r="L308" s="37" t="str">
        <x:v>릴리스</x:v>
      </x:c>
      <x:c r="M308" s="37" t="str">
        <x:v>릴리스 후보</x:v>
      </x:c>
      <x:c r="N308" s="37" t="str">
        <x:v>QA·릴리스 관리</x:v>
      </x:c>
      <x:c r="O308" s="37" t="str">
        <x:v>미정</x:v>
      </x:c>
      <x:c r="P308" s="37" t="str">
        <x:v>미정</x:v>
      </x:c>
      <x:c r="Q308" s="37" t="str">
        <x:v>전체</x:v>
      </x:c>
      <x:c r="R308" s="37" t="str">
        <x:v>해당 없음</x:v>
      </x:c>
      <x:c r="S308" s="37" t="str">
        <x:v>감사 로그</x:v>
      </x:c>
      <x:c r="T308" s="37" t="str">
        <x:v>M</x:v>
      </x:c>
      <x:c r="U308" s="37" t="str">
        <x:v>미착수</x:v>
      </x:c>
      <x:c r="V308" s="42" t="n">
        <x:f>IF(U308="완료",1,IF(U308="QA 진행 중",0.8,IF(U308="코드 리뷰",0.65,IF(U308="구현 중",0.4,IF(U308="사양 확인 중",0.1,IF(U308="차단",0.4,0))))))</x:f>
        <x:v>0</x:v>
      </x:c>
      <x:c r="W308" s="37" t="str">
        <x:v>미정</x:v>
      </x:c>
      <x:c r="X308" s="40"/>
      <x:c r="Y308" s="37" t="str">
        <x:v>QAR-023,QAR-024</x:v>
      </x:c>
      <x:c r="Z308" s="37" t="str">
        <x:v>중간</x:v>
      </x:c>
      <x:c r="AA308" s="37" t="str">
        <x:v>운영</x:v>
      </x:c>
      <x:c r="AB308" s="37" t="str">
        <x:v>TC-QAR-036-01, TC-QAR-036-02</x:v>
      </x:c>
      <x:c r="AC308" s="37"/>
      <x:c r="AD308" s="37" t="str">
        <x:v>게임 기획서</x:v>
      </x:c>
      <x:c r="AE308" s="37"/>
      <x:c r="AF308" s="40" t="str">
        <x:v>2026-07-10</x:v>
      </x:c>
      <x:c r="AG308" s="37"/>
      <x:c r="AH308" s="49"/>
      <x:c r="AI308" s="49"/>
      <x:c r="AJ308" s="48" t="str">
        <x:v>착수 전</x:v>
      </x:c>
    </x:row>
    <x:row r="309" ht="42" customHeight="1">
      <x:c r="A309" s="37" t="str">
        <x:v>QAR-037</x:v>
      </x:c>
      <x:c r="B309" s="37" t="str">
        <x:v>QA·릴리스·운영</x:v>
      </x:c>
      <x:c r="C309" s="37" t="str">
        <x:v>현지화 QA</x:v>
      </x:c>
      <x:c r="D309" s="37" t="str">
        <x:v>인증</x:v>
      </x:c>
      <x:c r="E309" s="37" t="str">
        <x:v>현지화 최종 언어·규정 확인</x:v>
      </x:c>
      <x:c r="F309" s="37" t="str">
        <x:v>게임 규칙, 운영 요구사항과 대상 플랫폼 제약을 충족하도록 현지화 최종 언어·규정 확인 기능을 구현하고 검증한다.</x:v>
      </x:c>
      <x:c r="G309" s="37" t="str">
        <x:v>스토어 문구, 법무 문구, 동의, 오류, 튜토리얼, 금칙어, 플랫폼 용어를 최종 버전에서 확인한다.</x:v>
      </x:c>
      <x:c r="H309" s="37" t="str">
        <x:v>구현, 코드 리뷰, 사양 갱신, 대상 QA 케이스 실행, 로그·텔레메트리 확인과 관련 플랫폼 검증을 완료하고 미해결 P0·P1 결함이 없다.</x:v>
      </x:c>
      <x:c r="I309" s="37" t="str">
        <x:v>출시</x:v>
      </x:c>
      <x:c r="J309" s="37" t="str">
        <x:v>P1</x:v>
      </x:c>
      <x:c r="K309" s="37" t="str">
        <x:v>필수</x:v>
      </x:c>
      <x:c r="L309" s="37" t="str">
        <x:v>현지화</x:v>
      </x:c>
      <x:c r="M309" s="37" t="str">
        <x:v>출시</x:v>
      </x:c>
      <x:c r="N309" s="37" t="str">
        <x:v>QA·릴리스 관리</x:v>
      </x:c>
      <x:c r="O309" s="37" t="str">
        <x:v>미정</x:v>
      </x:c>
      <x:c r="P309" s="37" t="str">
        <x:v>미정</x:v>
      </x:c>
      <x:c r="Q309" s="37" t="str">
        <x:v>전체</x:v>
      </x:c>
      <x:c r="R309" s="37" t="str">
        <x:v>해당 없음</x:v>
      </x:c>
      <x:c r="S309" s="37" t="str">
        <x:v>감사 로그</x:v>
      </x:c>
      <x:c r="T309" s="37" t="str">
        <x:v>L</x:v>
      </x:c>
      <x:c r="U309" s="37" t="str">
        <x:v>미착수</x:v>
      </x:c>
      <x:c r="V309" s="42" t="n">
        <x:f>IF(U309="완료",1,IF(U309="QA 진행 중",0.8,IF(U309="코드 리뷰",0.65,IF(U309="구현 중",0.4,IF(U309="사양 확인 중",0.1,IF(U309="차단",0.4,0))))))</x:f>
        <x:v>0</x:v>
      </x:c>
      <x:c r="W309" s="37" t="str">
        <x:v>미정</x:v>
      </x:c>
      <x:c r="X309" s="40"/>
      <x:c r="Y309" s="37" t="str">
        <x:v>QAR-011,QAR-029</x:v>
      </x:c>
      <x:c r="Z309" s="37" t="str">
        <x:v>중간</x:v>
      </x:c>
      <x:c r="AA309" s="37" t="str">
        <x:v>현지화</x:v>
      </x:c>
      <x:c r="AB309" s="37" t="str">
        <x:v>TC-QAR-037-01</x:v>
      </x:c>
      <x:c r="AC309" s="37"/>
      <x:c r="AD309" s="37" t="str">
        <x:v>게임 기획서</x:v>
      </x:c>
      <x:c r="AE309" s="37"/>
      <x:c r="AF309" s="40" t="str">
        <x:v>2026-07-10</x:v>
      </x:c>
      <x:c r="AG309" s="37"/>
      <x:c r="AH309" s="49"/>
      <x:c r="AI309" s="49"/>
      <x:c r="AJ309" s="48" t="str">
        <x:v>착수 전</x:v>
      </x:c>
    </x:row>
    <x:row r="310" ht="42" customHeight="1">
      <x:c r="A310" s="37" t="str">
        <x:v>QAR-038</x:v>
      </x:c>
      <x:c r="B310" s="37" t="str">
        <x:v>QA·릴리스·운영</x:v>
      </x:c>
      <x:c r="C310" s="37" t="str">
        <x:v>관리 정책</x:v>
      </x:c>
      <x:c r="D310" s="37" t="str">
        <x:v>최종 승인</x:v>
      </x:c>
      <x:c r="E310" s="37" t="str">
        <x:v>출시 최종 승인 기록</x:v>
      </x:c>
      <x:c r="F310" s="37" t="str">
        <x:v>게임 규칙, 운영 요구사항과 대상 플랫폼 제약을 충족하도록 출시 최종 승인 기록 기능을 구현하고 검증한다.</x:v>
      </x:c>
      <x:c r="G310" s="37" t="str">
        <x:v>제작, 제품, 엔지니어링, QA, 보안·개인정보, 운영, 플랫폼 부문의 승인과 미해결 예외를 하나의 기록에 남긴다.</x:v>
      </x:c>
      <x:c r="H310" s="37" t="str">
        <x:v>구현, 코드 리뷰, 사양 갱신, 대상 QA 케이스 실행, 로그·텔레메트리 확인과 관련 플랫폼 검증을 완료하고 미해결 P0·P1 결함이 없다.</x:v>
      </x:c>
      <x:c r="I310" s="37" t="str">
        <x:v>출시</x:v>
      </x:c>
      <x:c r="J310" s="37" t="str">
        <x:v>P0</x:v>
      </x:c>
      <x:c r="K310" s="37" t="str">
        <x:v>필수</x:v>
      </x:c>
      <x:c r="L310" s="37" t="str">
        <x:v>릴리스</x:v>
      </x:c>
      <x:c r="M310" s="37" t="str">
        <x:v>출시</x:v>
      </x:c>
      <x:c r="N310" s="37" t="str">
        <x:v>QA·릴리스 관리</x:v>
      </x:c>
      <x:c r="O310" s="37" t="str">
        <x:v>미정</x:v>
      </x:c>
      <x:c r="P310" s="37" t="str">
        <x:v>미정</x:v>
      </x:c>
      <x:c r="Q310" s="37" t="str">
        <x:v>전체</x:v>
      </x:c>
      <x:c r="R310" s="37" t="str">
        <x:v>해당 없음</x:v>
      </x:c>
      <x:c r="S310" s="37" t="str">
        <x:v>감사 로그</x:v>
      </x:c>
      <x:c r="T310" s="37" t="str">
        <x:v>S</x:v>
      </x:c>
      <x:c r="U310" s="37" t="str">
        <x:v>미착수</x:v>
      </x:c>
      <x:c r="V310" s="42" t="n">
        <x:f>IF(U310="완료",1,IF(U310="QA 진행 중",0.8,IF(U310="코드 리뷰",0.65,IF(U310="구현 중",0.4,IF(U310="사양 확인 중",0.1,IF(U310="차단",0.4,0))))))</x:f>
        <x:v>0</x:v>
      </x:c>
      <x:c r="W310" s="37" t="str">
        <x:v>미정</x:v>
      </x:c>
      <x:c r="X310" s="40"/>
      <x:c r="Y310" s="37" t="str">
        <x:v>QAR-032,QAR-034,QAR-036,QAR-037</x:v>
      </x:c>
      <x:c r="Z310" s="37" t="str">
        <x:v>중간</x:v>
      </x:c>
      <x:c r="AA310" s="37" t="str">
        <x:v>운영</x:v>
      </x:c>
      <x:c r="AB310" s="37" t="str">
        <x:v>TC-QAR-038-01, TC-QAR-038-02</x:v>
      </x:c>
      <x:c r="AC310" s="37"/>
      <x:c r="AD310" s="37" t="str">
        <x:v>게임 기획서</x:v>
      </x:c>
      <x:c r="AE310" s="37"/>
      <x:c r="AF310" s="40" t="str">
        <x:v>2026-07-10</x:v>
      </x:c>
      <x:c r="AG310" s="37"/>
      <x:c r="AH310" s="49"/>
      <x:c r="AI310" s="49"/>
      <x:c r="AJ310" s="48" t="str">
        <x:v>착수 전</x:v>
      </x:c>
    </x:row>
  </x:sheetData>
  <x:conditionalFormatting sqref="U2:U310">
    <x:cfRule type="expression" dxfId="0" priority="1">
      <x:formula>U2="완료"</x:formula>
    </x:cfRule>
    <x:cfRule type="expression" dxfId="1" priority="2">
      <x:formula>U2="통과"</x:formula>
    </x:cfRule>
    <x:cfRule type="expression" dxfId="2" priority="3">
      <x:formula>U2="차단"</x:formula>
    </x:cfRule>
    <x:cfRule type="expression" dxfId="3" priority="4">
      <x:formula>U2="실패"</x:formula>
    </x:cfRule>
    <x:cfRule type="expression" dxfId="4" priority="5">
      <x:formula>U2="구현 중"</x:formula>
    </x:cfRule>
    <x:cfRule type="expression" dxfId="5" priority="6">
      <x:formula>U2="QA 진행 중"</x:formula>
    </x:cfRule>
  </x:conditionalFormatting>
  <x:conditionalFormatting sqref="J2:J310">
    <x:cfRule type="expression" dxfId="6" priority="7">
      <x:formula>J2="P0"</x:formula>
    </x:cfRule>
    <x:cfRule type="expression" dxfId="7" priority="8">
      <x:formula>J2="P1"</x:formula>
    </x:cfRule>
  </x:conditionalFormatting>
  <x:conditionalFormatting sqref="Z2:Z310">
    <x:cfRule type="expression" dxfId="8" priority="9">
      <x:formula>Z2="높음"</x:formula>
    </x:cfRule>
    <x:cfRule type="expression" dxfId="9" priority="10">
      <x:formula>Z2="중간"</x:formula>
    </x:cfRule>
  </x:conditionalFormatting>
  <x:conditionalFormatting sqref="AJ2:AJ310">
    <x:cfRule type="expression" dxfId="46" priority="11">
      <x:formula>AJ2="착수 전"</x:formula>
    </x:cfRule>
    <x:cfRule type="expression" dxfId="47" priority="12">
      <x:formula>AJ2="작업 중"</x:formula>
    </x:cfRule>
    <x:cfRule type="expression" dxfId="48" priority="13">
      <x:formula>AJ2="완료"</x:formula>
    </x:cfRule>
  </x:conditionalFormatting>
  <x:dataValidations count="11">
    <x:dataValidation type="list" sqref="I2:I310">
      <x:formula1>"MVP,알파,베타,릴리스 후보,출시,출시 후,대상 제외"</x:formula1>
    </x:dataValidation>
    <x:dataValidation type="list" sqref="J2:J310">
      <x:formula1>"P0,P1,P2,P3"</x:formula1>
    </x:dataValidation>
    <x:dataValidation type="list" sqref="K2:K310">
      <x:formula1>"필수,조건부,권장,대상 제외"</x:formula1>
    </x:dataValidation>
    <x:dataValidation type="list" sqref="Q2:Q310">
      <x:formula1>"전체,PC,콘솔,모바일,서버,백엔드,도구,웹·관리자"</x:formula1>
    </x:dataValidation>
    <x:dataValidation type="list" sqref="R2:R310">
      <x:formula1>"서버 권한,클라이언트 예측·서버 검증,클라이언트 로컬,백엔드 권한,호스트 권한,콘텐츠 데이터,해당 없음"</x:formula1>
    </x:dataValidation>
    <x:dataValidation type="list" sqref="S2:S310">
      <x:formula1>"없음,세션,매치,계정,단말 로컬,백엔드,감사 로그"</x:formula1>
    </x:dataValidation>
    <x:dataValidation type="list" sqref="T2:T310">
      <x:formula1>"XS,S,M,L,XL,분할 필요"</x:formula1>
    </x:dataValidation>
    <x:dataValidation type="list" sqref="U2:U310">
      <x:formula1>"미착수,사양 확인 중,구현 중,코드 리뷰,QA 진행 중,차단,완료,보류"</x:formula1>
    </x:dataValidation>
    <x:dataValidation type="list" sqref="Z2:Z310">
      <x:formula1>"높음,중간,낮음"</x:formula1>
    </x:dataValidation>
    <x:dataValidation type="list" sqref="AA2:AA310">
      <x:formula1>"기능,통합,경계값,네트워크,보안,성능,호환성,사용성,접근성,현지화,밸런스,운영,안전,부하"</x:formula1>
    </x:dataValidation>
    <x:dataValidation type="list" sqref="AJ2:AJ310">
      <x:formula1>"착수 전,작업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ead4265925473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52" hidden="0" customWidth="1"/>
    <x:col min="5" max="5" width="42" hidden="0" customWidth="1"/>
    <x:col min="6" max="6" width="24" hidden="0" customWidth="1"/>
    <x:col min="7" max="7" width="14" hidden="0" customWidth="1"/>
    <x:col min="8" max="8" width="14" hidden="0" customWidth="1"/>
    <x:col min="9" max="9" width="24" hidden="0" customWidth="1"/>
    <x:col min="10" max="10" width="28" hidden="0" customWidth="1"/>
  </x:cols>
  <x:sheetData>
    <x:row r="1" ht="30" customHeight="1">
      <x:c r="A1" s="32" t="str">
        <x:v>마일스톤</x:v>
      </x:c>
      <x:c r="B1" s="32" t="str">
        <x:v>목적</x:v>
      </x:c>
      <x:c r="C1" s="32" t="str">
        <x:v>진입 조건</x:v>
      </x:c>
      <x:c r="D1" s="32" t="str">
        <x:v>종료 조건</x:v>
      </x:c>
      <x:c r="E1" s="32" t="str">
        <x:v>주요 산출물</x:v>
      </x:c>
      <x:c r="F1" s="32" t="str">
        <x:v>담당자</x:v>
      </x:c>
      <x:c r="G1" s="32" t="str">
        <x:v>상태</x:v>
      </x:c>
      <x:c r="H1" s="32" t="str">
        <x:v>목표일</x:v>
      </x:c>
      <x:c r="I1" s="32" t="str">
        <x:v>의존관계</x:v>
      </x:c>
      <x:c r="J1" s="32" t="str">
        <x:v>증빙</x:v>
      </x:c>
    </x:row>
    <x:row r="2" ht="42" customHeight="1">
      <x:c r="A2" s="37" t="str">
        <x:v>MVP</x:v>
      </x:c>
      <x:c r="B2" s="37" t="str">
        <x:v>핵심 게임 루프를 사내에서 완주</x:v>
      </x:c>
      <x:c r="C2" s="37" t="str">
        <x:v>기반 기능, 맵 1개, 미니게임 3종 통합 가능</x:v>
      </x:c>
      <x:c r="D2" s="37" t="str">
        <x:v>4~6명이 역할→낮→메모→밤→투표→최종 재판→승패까지 안정적으로 완료</x:v>
      </x:c>
      <x:c r="E2" s="37" t="str">
        <x:v>플레이 가능 빌드·핵심 사양·P0 테스트 케이스</x:v>
      </x:c>
      <x:c r="F2" s="37" t="str">
        <x:v>총괄 프로듀서</x:v>
      </x:c>
      <x:c r="G2" s="37" t="str">
        <x:v>미착수</x:v>
      </x:c>
      <x:c r="H2" s="40" t="str">
        <x:v>미정</x:v>
      </x:c>
      <x:c r="I2" s="37" t="str">
        <x:v>IGM·UIX·SET·ONL·NET·CHR·AUD·CNT</x:v>
      </x:c>
      <x:c r="J2" s="37"/>
    </x:row>
    <x:row r="3" ht="42" customHeight="1">
      <x:c r="A3" s="37" t="str">
        <x:v>알파</x:v>
      </x:c>
      <x:c r="B3" s="37" t="str">
        <x:v>서버 권한, 네트워크, 운영 기반 검증</x:v>
      </x:c>
      <x:c r="C3" s="37" t="str">
        <x:v>MVP 게이트 통과</x:v>
      </x:c>
      <x:c r="D3" s="37" t="str">
        <x:v>정보 비공개, 권한, 열화, 재접속, 로그, 텔레메트리 P0 통과</x:v>
      </x:c>
      <x:c r="E3" s="37" t="str">
        <x:v>알파 빌드·네트워크 보고서·위협 모델</x:v>
      </x:c>
      <x:c r="F3" s="37" t="str">
        <x:v>기술 디렉터</x:v>
      </x:c>
      <x:c r="G3" s="37" t="str">
        <x:v>미착수</x:v>
      </x:c>
      <x:c r="H3" s="40" t="str">
        <x:v>미정</x:v>
      </x:c>
      <x:c r="I3" s="37" t="str">
        <x:v>MVP</x:v>
      </x:c>
      <x:c r="J3" s="37"/>
    </x:row>
    <x:row r="4" ht="42" customHeight="1">
      <x:c r="A4" s="37" t="str">
        <x:v>베타</x:v>
      </x:c>
      <x:c r="B4" s="37" t="str">
        <x:v>초회 UX, 접근성, 밸런스 검증</x:v>
      </x:c>
      <x:c r="C4" s="37" t="str">
        <x:v>알파 게이트 통과</x:v>
      </x:c>
      <x:c r="D4" s="37" t="str">
        <x:v>튜토리얼, 접근성, 현지화, 외부 시험, 승률·플레이 시간 초기 목표 달성</x:v>
      </x:c>
      <x:c r="E4" s="37" t="str">
        <x:v>베타 빌드·사용자 조사 보고서·밸런스 보고서</x:v>
      </x:c>
      <x:c r="F4" s="37" t="str">
        <x:v>제품 디렉터</x:v>
      </x:c>
      <x:c r="G4" s="37" t="str">
        <x:v>미착수</x:v>
      </x:c>
      <x:c r="H4" s="40" t="str">
        <x:v>미정</x:v>
      </x:c>
      <x:c r="I4" s="37" t="str">
        <x:v>알파</x:v>
      </x:c>
      <x:c r="J4" s="37"/>
    </x:row>
    <x:row r="5" ht="42" customHeight="1">
      <x:c r="A5" s="37" t="str">
        <x:v>릴리스 후보</x:v>
      </x:c>
      <x:c r="B5" s="37" t="str">
        <x:v>성능, 안정성, 인증, 출시 후보 고정</x:v>
      </x:c>
      <x:c r="C5" s="37" t="str">
        <x:v>베타 게이트 통과</x:v>
      </x:c>
      <x:c r="D5" s="37" t="str">
        <x:v>성능, 장시간 시험, 크래시, SLO, 보안, 개인정보, 인증, 운영 절차서, 백업 통과</x:v>
      </x:c>
      <x:c r="E5" s="37" t="str">
        <x:v>릴리스 후보 빌드·승인 자료·롤백 증빙</x:v>
      </x:c>
      <x:c r="F5" s="37" t="str">
        <x:v>릴리스 관리자</x:v>
      </x:c>
      <x:c r="G5" s="37" t="str">
        <x:v>미착수</x:v>
      </x:c>
      <x:c r="H5" s="40" t="str">
        <x:v>미정</x:v>
      </x:c>
      <x:c r="I5" s="37" t="str">
        <x:v>베타</x:v>
      </x:c>
      <x:c r="J5" s="37"/>
    </x:row>
    <x:row r="6" ht="42" customHeight="1">
      <x:c r="A6" s="37" t="str">
        <x:v>출시</x:v>
      </x:c>
      <x:c r="B6" s="37" t="str">
        <x:v>판매 시작 및 본 서비스 운영</x:v>
      </x:c>
      <x:c r="C6" s="37" t="str">
        <x:v>릴리스 후보 게이트 통과</x:v>
      </x:c>
      <x:c r="D6" s="37" t="str">
        <x:v>최종 승인, 스토어 공개, 워룸, 모니터링·고객 지원 가동</x:v>
      </x:c>
      <x:c r="E6" s="37" t="str">
        <x:v>운영 배포본·스토어 자료·운영 체계</x:v>
      </x:c>
      <x:c r="F6" s="37" t="str">
        <x:v>총괄 프로듀서</x:v>
      </x:c>
      <x:c r="G6" s="37" t="str">
        <x:v>미착수</x:v>
      </x:c>
      <x:c r="H6" s="40" t="str">
        <x:v>미정</x:v>
      </x:c>
      <x:c r="I6" s="37" t="str">
        <x:v>릴리스 후보</x:v>
      </x:c>
      <x:c r="J6" s="37"/>
    </x:row>
    <x:row r="7" ht="42" customHeight="1">
      <x:c r="A7" s="37" t="str">
        <x:v>출시 후</x:v>
      </x:c>
      <x:c r="B7" s="37" t="str">
        <x:v>사진 메모, 협동 미니게임, 조수, 외형 아이템 등 확장</x:v>
      </x:c>
      <x:c r="C7" s="37" t="str">
        <x:v>출시 안정화 및 기능별 사업성 승인</x:v>
      </x:c>
      <x:c r="D7" s="37" t="str">
        <x:v>기능별 게이트와 법무·안전·밸런스 승인</x:v>
      </x:c>
      <x:c r="E7" s="37" t="str">
        <x:v>기능 업데이트·라이브 콘텐츠</x:v>
      </x:c>
      <x:c r="F7" s="37" t="str">
        <x:v>제품 디렉터</x:v>
      </x:c>
      <x:c r="G7" s="37" t="str">
        <x:v>미착수</x:v>
      </x:c>
      <x:c r="H7" s="40" t="str">
        <x:v>미정</x:v>
      </x:c>
      <x:c r="I7" s="37" t="str">
        <x:v>출시</x:v>
      </x:c>
      <x:c r="J7" s="37"/>
    </x:row>
  </x:sheetData>
  <x:conditionalFormatting sqref="G2:G7">
    <x:cfRule type="expression" dxfId="10" priority="1">
      <x:formula>G2="완료"</x:formula>
    </x:cfRule>
    <x:cfRule type="expression" dxfId="11" priority="2">
      <x:formula>G2="통과"</x:formula>
    </x:cfRule>
    <x:cfRule type="expression" dxfId="12" priority="3">
      <x:formula>G2="차단"</x:formula>
    </x:cfRule>
    <x:cfRule type="expression" dxfId="13" priority="4">
      <x:formula>G2="실패"</x:formula>
    </x:cfRule>
    <x:cfRule type="expression" dxfId="14" priority="5">
      <x:formula>G2="구현 중"</x:formula>
    </x:cfRule>
    <x:cfRule type="expression" dxfId="15" priority="6">
      <x:formula>G2="QA 진행 중"</x:formula>
    </x:cfRule>
  </x:conditionalFormatting>
  <x:dataValidations count="1">
    <x:dataValidation type="list" sqref="G2:G7">
      <x:formula1>"미착수,사양 확인 중,구현 중,코드 리뷰,QA 진행 중,차단,완료,보류"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cccaaddaa741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8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28" hidden="0" customWidth="1"/>
    <x:col min="10" max="10" width="18" hidden="0" customWidth="1"/>
  </x:cols>
  <x:sheetData>
    <x:row r="1" ht="30" customHeight="1">
      <x:c r="A1" s="32" t="str">
        <x:v>의존관계 ID</x:v>
      </x:c>
      <x:c r="B1" s="32" t="str">
        <x:v>후행 ID</x:v>
      </x:c>
      <x:c r="C1" s="32" t="str">
        <x:v>선행 ID</x:v>
      </x:c>
      <x:c r="D1" s="32" t="str">
        <x:v>유형</x:v>
      </x:c>
      <x:c r="E1" s="32" t="str">
        <x:v>후행 담당 부문</x:v>
      </x:c>
      <x:c r="F1" s="32" t="str">
        <x:v>선행 담당자</x:v>
      </x:c>
      <x:c r="G1" s="32" t="str">
        <x:v>상태</x:v>
      </x:c>
      <x:c r="H1" s="32" t="str">
        <x:v>필요일</x:v>
      </x:c>
      <x:c r="I1" s="32" t="str">
        <x:v>증빙</x:v>
      </x:c>
      <x:c r="J1" s="32" t="str">
        <x:v>경계</x:v>
      </x:c>
    </x:row>
    <x:row r="2" ht="42" customHeight="1">
      <x:c r="A2" s="37" t="str">
        <x:v>DEP-0001</x:v>
      </x:c>
      <x:c r="B2" s="37" t="str">
        <x:v>IGM-002</x:v>
      </x:c>
      <x:c r="C2" s="37" t="str">
        <x:v>IGM-001</x:v>
      </x:c>
      <x:c r="D2" s="37" t="str">
        <x:v>완료 후 시작</x:v>
      </x:c>
      <x:c r="E2" s="37" t="str">
        <x:v>게임플레이 엔지니어링</x:v>
      </x:c>
      <x:c r="F2" s="37" t="str">
        <x:v>미정</x:v>
      </x:c>
      <x:c r="G2" s="37" t="str">
        <x:v>미착수</x:v>
      </x:c>
      <x:c r="H2" s="40" t="str">
        <x:v>미정</x:v>
      </x:c>
      <x:c r="I2" s="37"/>
      <x:c r="J2" s="37" t="str">
        <x:v>부문 내</x:v>
      </x:c>
    </x:row>
    <x:row r="3" ht="42" customHeight="1">
      <x:c r="A3" s="37" t="str">
        <x:v>DEP-0002</x:v>
      </x:c>
      <x:c r="B3" s="37" t="str">
        <x:v>IGM-003</x:v>
      </x:c>
      <x:c r="C3" s="37" t="str">
        <x:v>ONL-009</x:v>
      </x:c>
      <x:c r="D3" s="37" t="str">
        <x:v>인터페이스·협업</x:v>
      </x:c>
      <x:c r="E3" s="37" t="str">
        <x:v>게임플레이 엔지니어링</x:v>
      </x:c>
      <x:c r="F3" s="37" t="str">
        <x:v>미정</x:v>
      </x:c>
      <x:c r="G3" s="37" t="str">
        <x:v>미착수</x:v>
      </x:c>
      <x:c r="H3" s="40" t="str">
        <x:v>미정</x:v>
      </x:c>
      <x:c r="I3" s="37"/>
      <x:c r="J3" s="37" t="str">
        <x:v>부문 간</x:v>
      </x:c>
    </x:row>
    <x:row r="4" ht="42" customHeight="1">
      <x:c r="A4" s="37" t="str">
        <x:v>DEP-0003</x:v>
      </x:c>
      <x:c r="B4" s="37" t="str">
        <x:v>IGM-004</x:v>
      </x:c>
      <x:c r="C4" s="37" t="str">
        <x:v>IGM-001</x:v>
      </x:c>
      <x:c r="D4" s="37" t="str">
        <x:v>완료 후 시작</x:v>
      </x:c>
      <x:c r="E4" s="37" t="str">
        <x:v>게임플레이 엔지니어링</x:v>
      </x:c>
      <x:c r="F4" s="37" t="str">
        <x:v>미정</x:v>
      </x:c>
      <x:c r="G4" s="37" t="str">
        <x:v>미착수</x:v>
      </x:c>
      <x:c r="H4" s="40" t="str">
        <x:v>미정</x:v>
      </x:c>
      <x:c r="I4" s="37"/>
      <x:c r="J4" s="37" t="str">
        <x:v>부문 내</x:v>
      </x:c>
    </x:row>
    <x:row r="5" ht="42" customHeight="1">
      <x:c r="A5" s="37" t="str">
        <x:v>DEP-0004</x:v>
      </x:c>
      <x:c r="B5" s="37" t="str">
        <x:v>IGM-005</x:v>
      </x:c>
      <x:c r="C5" s="37" t="str">
        <x:v>IGM-004</x:v>
      </x:c>
      <x:c r="D5" s="37" t="str">
        <x:v>완료 후 시작</x:v>
      </x:c>
      <x:c r="E5" s="37" t="str">
        <x:v>게임플레이 엔지니어링</x:v>
      </x:c>
      <x:c r="F5" s="37" t="str">
        <x:v>미정</x:v>
      </x:c>
      <x:c r="G5" s="37" t="str">
        <x:v>미착수</x:v>
      </x:c>
      <x:c r="H5" s="40" t="str">
        <x:v>미정</x:v>
      </x:c>
      <x:c r="I5" s="37"/>
      <x:c r="J5" s="37" t="str">
        <x:v>부문 내</x:v>
      </x:c>
    </x:row>
    <x:row r="6" ht="42" customHeight="1">
      <x:c r="A6" s="37" t="str">
        <x:v>DEP-0005</x:v>
      </x:c>
      <x:c r="B6" s="37" t="str">
        <x:v>IGM-006</x:v>
      </x:c>
      <x:c r="C6" s="37" t="str">
        <x:v>IGM-001</x:v>
      </x:c>
      <x:c r="D6" s="37" t="str">
        <x:v>완료 후 시작</x:v>
      </x:c>
      <x:c r="E6" s="37" t="str">
        <x:v>게임플레이 엔지니어링</x:v>
      </x:c>
      <x:c r="F6" s="37" t="str">
        <x:v>미정</x:v>
      </x:c>
      <x:c r="G6" s="37" t="str">
        <x:v>미착수</x:v>
      </x:c>
      <x:c r="H6" s="40" t="str">
        <x:v>미정</x:v>
      </x:c>
      <x:c r="I6" s="37"/>
      <x:c r="J6" s="37" t="str">
        <x:v>부문 내</x:v>
      </x:c>
    </x:row>
    <x:row r="7" ht="42" customHeight="1">
      <x:c r="A7" s="37" t="str">
        <x:v>DEP-0006</x:v>
      </x:c>
      <x:c r="B7" s="37" t="str">
        <x:v>IGM-007</x:v>
      </x:c>
      <x:c r="C7" s="37" t="str">
        <x:v>IGM-006</x:v>
      </x:c>
      <x:c r="D7" s="37" t="str">
        <x:v>완료 후 시작</x:v>
      </x:c>
      <x:c r="E7" s="37" t="str">
        <x:v>게임플레이 엔지니어링</x:v>
      </x:c>
      <x:c r="F7" s="37" t="str">
        <x:v>미정</x:v>
      </x:c>
      <x:c r="G7" s="37" t="str">
        <x:v>미착수</x:v>
      </x:c>
      <x:c r="H7" s="40" t="str">
        <x:v>미정</x:v>
      </x:c>
      <x:c r="I7" s="37"/>
      <x:c r="J7" s="37" t="str">
        <x:v>부문 내</x:v>
      </x:c>
    </x:row>
    <x:row r="8" ht="42" customHeight="1">
      <x:c r="A8" s="37" t="str">
        <x:v>DEP-0007</x:v>
      </x:c>
      <x:c r="B8" s="37" t="str">
        <x:v>IGM-008</x:v>
      </x:c>
      <x:c r="C8" s="37" t="str">
        <x:v>IGM-006</x:v>
      </x:c>
      <x:c r="D8" s="37" t="str">
        <x:v>완료 후 시작</x:v>
      </x:c>
      <x:c r="E8" s="37" t="str">
        <x:v>게임플레이 엔지니어링</x:v>
      </x:c>
      <x:c r="F8" s="37" t="str">
        <x:v>미정</x:v>
      </x:c>
      <x:c r="G8" s="37" t="str">
        <x:v>미착수</x:v>
      </x:c>
      <x:c r="H8" s="40" t="str">
        <x:v>미정</x:v>
      </x:c>
      <x:c r="I8" s="37"/>
      <x:c r="J8" s="37" t="str">
        <x:v>부문 내</x:v>
      </x:c>
    </x:row>
    <x:row r="9" ht="42" customHeight="1">
      <x:c r="A9" s="37" t="str">
        <x:v>DEP-0008</x:v>
      </x:c>
      <x:c r="B9" s="37" t="str">
        <x:v>IGM-008</x:v>
      </x:c>
      <x:c r="C9" s="37" t="str">
        <x:v>AUD-006</x:v>
      </x:c>
      <x:c r="D9" s="37" t="str">
        <x:v>인터페이스·협업</x:v>
      </x:c>
      <x:c r="E9" s="37" t="str">
        <x:v>게임플레이 엔지니어링</x:v>
      </x:c>
      <x:c r="F9" s="37" t="str">
        <x:v>미정</x:v>
      </x:c>
      <x:c r="G9" s="37" t="str">
        <x:v>미착수</x:v>
      </x:c>
      <x:c r="H9" s="40" t="str">
        <x:v>미정</x:v>
      </x:c>
      <x:c r="I9" s="37"/>
      <x:c r="J9" s="37" t="str">
        <x:v>부문 간</x:v>
      </x:c>
    </x:row>
    <x:row r="10" ht="42" customHeight="1">
      <x:c r="A10" s="37" t="str">
        <x:v>DEP-0009</x:v>
      </x:c>
      <x:c r="B10" s="37" t="str">
        <x:v>IGM-008</x:v>
      </x:c>
      <x:c r="C10" s="37" t="str">
        <x:v>UIX-018</x:v>
      </x:c>
      <x:c r="D10" s="37" t="str">
        <x:v>인터페이스·협업</x:v>
      </x:c>
      <x:c r="E10" s="37" t="str">
        <x:v>게임플레이 엔지니어링</x:v>
      </x:c>
      <x:c r="F10" s="37" t="str">
        <x:v>미정</x:v>
      </x:c>
      <x:c r="G10" s="37" t="str">
        <x:v>미착수</x:v>
      </x:c>
      <x:c r="H10" s="40" t="str">
        <x:v>미정</x:v>
      </x:c>
      <x:c r="I10" s="37"/>
      <x:c r="J10" s="37" t="str">
        <x:v>부문 간</x:v>
      </x:c>
    </x:row>
    <x:row r="11" ht="42" customHeight="1">
      <x:c r="A11" s="37" t="str">
        <x:v>DEP-0010</x:v>
      </x:c>
      <x:c r="B11" s="37" t="str">
        <x:v>IGM-009</x:v>
      </x:c>
      <x:c r="C11" s="37" t="str">
        <x:v>IGM-001</x:v>
      </x:c>
      <x:c r="D11" s="37" t="str">
        <x:v>완료 후 시작</x:v>
      </x:c>
      <x:c r="E11" s="37" t="str">
        <x:v>게임플레이 엔지니어링</x:v>
      </x:c>
      <x:c r="F11" s="37" t="str">
        <x:v>미정</x:v>
      </x:c>
      <x:c r="G11" s="37" t="str">
        <x:v>미착수</x:v>
      </x:c>
      <x:c r="H11" s="40" t="str">
        <x:v>미정</x:v>
      </x:c>
      <x:c r="I11" s="37"/>
      <x:c r="J11" s="37" t="str">
        <x:v>부문 내</x:v>
      </x:c>
    </x:row>
    <x:row r="12" ht="42" customHeight="1">
      <x:c r="A12" s="37" t="str">
        <x:v>DEP-0011</x:v>
      </x:c>
      <x:c r="B12" s="37" t="str">
        <x:v>IGM-010</x:v>
      </x:c>
      <x:c r="C12" s="37" t="str">
        <x:v>IGM-009</x:v>
      </x:c>
      <x:c r="D12" s="37" t="str">
        <x:v>완료 후 시작</x:v>
      </x:c>
      <x:c r="E12" s="37" t="str">
        <x:v>게임플레이 엔지니어링</x:v>
      </x:c>
      <x:c r="F12" s="37" t="str">
        <x:v>미정</x:v>
      </x:c>
      <x:c r="G12" s="37" t="str">
        <x:v>미착수</x:v>
      </x:c>
      <x:c r="H12" s="40" t="str">
        <x:v>미정</x:v>
      </x:c>
      <x:c r="I12" s="37"/>
      <x:c r="J12" s="37" t="str">
        <x:v>부문 내</x:v>
      </x:c>
    </x:row>
    <x:row r="13" ht="42" customHeight="1">
      <x:c r="A13" s="37" t="str">
        <x:v>DEP-0012</x:v>
      </x:c>
      <x:c r="B13" s="37" t="str">
        <x:v>IGM-010</x:v>
      </x:c>
      <x:c r="C13" s="37" t="str">
        <x:v>CNT-020</x:v>
      </x:c>
      <x:c r="D13" s="37" t="str">
        <x:v>인터페이스·협업</x:v>
      </x:c>
      <x:c r="E13" s="37" t="str">
        <x:v>게임플레이 엔지니어링</x:v>
      </x:c>
      <x:c r="F13" s="37" t="str">
        <x:v>미정</x:v>
      </x:c>
      <x:c r="G13" s="37" t="str">
        <x:v>미착수</x:v>
      </x:c>
      <x:c r="H13" s="40" t="str">
        <x:v>미정</x:v>
      </x:c>
      <x:c r="I13" s="37"/>
      <x:c r="J13" s="37" t="str">
        <x:v>부문 간</x:v>
      </x:c>
    </x:row>
    <x:row r="14" ht="42" customHeight="1">
      <x:c r="A14" s="37" t="str">
        <x:v>DEP-0013</x:v>
      </x:c>
      <x:c r="B14" s="37" t="str">
        <x:v>IGM-010</x:v>
      </x:c>
      <x:c r="C14" s="37" t="str">
        <x:v>NET-015</x:v>
      </x:c>
      <x:c r="D14" s="37" t="str">
        <x:v>인터페이스·협업</x:v>
      </x:c>
      <x:c r="E14" s="37" t="str">
        <x:v>게임플레이 엔지니어링</x:v>
      </x:c>
      <x:c r="F14" s="37" t="str">
        <x:v>미정</x:v>
      </x:c>
      <x:c r="G14" s="37" t="str">
        <x:v>미착수</x:v>
      </x:c>
      <x:c r="H14" s="40" t="str">
        <x:v>미정</x:v>
      </x:c>
      <x:c r="I14" s="37"/>
      <x:c r="J14" s="37" t="str">
        <x:v>부문 간</x:v>
      </x:c>
    </x:row>
    <x:row r="15" ht="42" customHeight="1">
      <x:c r="A15" s="37" t="str">
        <x:v>DEP-0014</x:v>
      </x:c>
      <x:c r="B15" s="37" t="str">
        <x:v>IGM-011</x:v>
      </x:c>
      <x:c r="C15" s="37" t="str">
        <x:v>IGM-009</x:v>
      </x:c>
      <x:c r="D15" s="37" t="str">
        <x:v>완료 후 시작</x:v>
      </x:c>
      <x:c r="E15" s="37" t="str">
        <x:v>게임플레이 엔지니어링</x:v>
      </x:c>
      <x:c r="F15" s="37" t="str">
        <x:v>미정</x:v>
      </x:c>
      <x:c r="G15" s="37" t="str">
        <x:v>미착수</x:v>
      </x:c>
      <x:c r="H15" s="40" t="str">
        <x:v>미정</x:v>
      </x:c>
      <x:c r="I15" s="37"/>
      <x:c r="J15" s="37" t="str">
        <x:v>부문 내</x:v>
      </x:c>
    </x:row>
    <x:row r="16" ht="42" customHeight="1">
      <x:c r="A16" s="37" t="str">
        <x:v>DEP-0015</x:v>
      </x:c>
      <x:c r="B16" s="37" t="str">
        <x:v>IGM-011</x:v>
      </x:c>
      <x:c r="C16" s="37" t="str">
        <x:v>IGM-004</x:v>
      </x:c>
      <x:c r="D16" s="37" t="str">
        <x:v>완료 후 시작</x:v>
      </x:c>
      <x:c r="E16" s="37" t="str">
        <x:v>게임플레이 엔지니어링</x:v>
      </x:c>
      <x:c r="F16" s="37" t="str">
        <x:v>미정</x:v>
      </x:c>
      <x:c r="G16" s="37" t="str">
        <x:v>미착수</x:v>
      </x:c>
      <x:c r="H16" s="40" t="str">
        <x:v>미정</x:v>
      </x:c>
      <x:c r="I16" s="37"/>
      <x:c r="J16" s="37" t="str">
        <x:v>부문 내</x:v>
      </x:c>
    </x:row>
    <x:row r="17" ht="42" customHeight="1">
      <x:c r="A17" s="37" t="str">
        <x:v>DEP-0016</x:v>
      </x:c>
      <x:c r="B17" s="37" t="str">
        <x:v>IGM-012</x:v>
      </x:c>
      <x:c r="C17" s="37" t="str">
        <x:v>IGM-009</x:v>
      </x:c>
      <x:c r="D17" s="37" t="str">
        <x:v>완료 후 시작</x:v>
      </x:c>
      <x:c r="E17" s="37" t="str">
        <x:v>게임플레이 엔지니어링</x:v>
      </x:c>
      <x:c r="F17" s="37" t="str">
        <x:v>미정</x:v>
      </x:c>
      <x:c r="G17" s="37" t="str">
        <x:v>미착수</x:v>
      </x:c>
      <x:c r="H17" s="40" t="str">
        <x:v>미정</x:v>
      </x:c>
      <x:c r="I17" s="37"/>
      <x:c r="J17" s="37" t="str">
        <x:v>부문 내</x:v>
      </x:c>
    </x:row>
    <x:row r="18" ht="42" customHeight="1">
      <x:c r="A18" s="37" t="str">
        <x:v>DEP-0017</x:v>
      </x:c>
      <x:c r="B18" s="37" t="str">
        <x:v>IGM-012</x:v>
      </x:c>
      <x:c r="C18" s="37" t="str">
        <x:v>UIX-012</x:v>
      </x:c>
      <x:c r="D18" s="37" t="str">
        <x:v>인터페이스·협업</x:v>
      </x:c>
      <x:c r="E18" s="37" t="str">
        <x:v>게임플레이 엔지니어링</x:v>
      </x:c>
      <x:c r="F18" s="37" t="str">
        <x:v>미정</x:v>
      </x:c>
      <x:c r="G18" s="37" t="str">
        <x:v>미착수</x:v>
      </x:c>
      <x:c r="H18" s="40" t="str">
        <x:v>미정</x:v>
      </x:c>
      <x:c r="I18" s="37"/>
      <x:c r="J18" s="37" t="str">
        <x:v>부문 간</x:v>
      </x:c>
    </x:row>
    <x:row r="19" ht="42" customHeight="1">
      <x:c r="A19" s="37" t="str">
        <x:v>DEP-0018</x:v>
      </x:c>
      <x:c r="B19" s="37" t="str">
        <x:v>IGM-013</x:v>
      </x:c>
      <x:c r="C19" s="37" t="str">
        <x:v>IGM-012</x:v>
      </x:c>
      <x:c r="D19" s="37" t="str">
        <x:v>완료 후 시작</x:v>
      </x:c>
      <x:c r="E19" s="37" t="str">
        <x:v>게임플레이 엔지니어링</x:v>
      </x:c>
      <x:c r="F19" s="37" t="str">
        <x:v>미정</x:v>
      </x:c>
      <x:c r="G19" s="37" t="str">
        <x:v>미착수</x:v>
      </x:c>
      <x:c r="H19" s="40" t="str">
        <x:v>미정</x:v>
      </x:c>
      <x:c r="I19" s="37"/>
      <x:c r="J19" s="37" t="str">
        <x:v>부문 내</x:v>
      </x:c>
    </x:row>
    <x:row r="20" ht="42" customHeight="1">
      <x:c r="A20" s="37" t="str">
        <x:v>DEP-0019</x:v>
      </x:c>
      <x:c r="B20" s="37" t="str">
        <x:v>IGM-013</x:v>
      </x:c>
      <x:c r="C20" s="37" t="str">
        <x:v>IGM-003</x:v>
      </x:c>
      <x:c r="D20" s="37" t="str">
        <x:v>완료 후 시작</x:v>
      </x:c>
      <x:c r="E20" s="37" t="str">
        <x:v>게임플레이 엔지니어링</x:v>
      </x:c>
      <x:c r="F20" s="37" t="str">
        <x:v>미정</x:v>
      </x:c>
      <x:c r="G20" s="37" t="str">
        <x:v>미착수</x:v>
      </x:c>
      <x:c r="H20" s="40" t="str">
        <x:v>미정</x:v>
      </x:c>
      <x:c r="I20" s="37"/>
      <x:c r="J20" s="37" t="str">
        <x:v>부문 내</x:v>
      </x:c>
    </x:row>
    <x:row r="21" ht="42" customHeight="1">
      <x:c r="A21" s="37" t="str">
        <x:v>DEP-0020</x:v>
      </x:c>
      <x:c r="B21" s="37" t="str">
        <x:v>IGM-014</x:v>
      </x:c>
      <x:c r="C21" s="37" t="str">
        <x:v>IGM-012</x:v>
      </x:c>
      <x:c r="D21" s="37" t="str">
        <x:v>완료 후 시작</x:v>
      </x:c>
      <x:c r="E21" s="37" t="str">
        <x:v>게임플레이 엔지니어링</x:v>
      </x:c>
      <x:c r="F21" s="37" t="str">
        <x:v>미정</x:v>
      </x:c>
      <x:c r="G21" s="37" t="str">
        <x:v>미착수</x:v>
      </x:c>
      <x:c r="H21" s="40" t="str">
        <x:v>미정</x:v>
      </x:c>
      <x:c r="I21" s="37"/>
      <x:c r="J21" s="37" t="str">
        <x:v>부문 내</x:v>
      </x:c>
    </x:row>
    <x:row r="22" ht="42" customHeight="1">
      <x:c r="A22" s="37" t="str">
        <x:v>DEP-0021</x:v>
      </x:c>
      <x:c r="B22" s="37" t="str">
        <x:v>IGM-014</x:v>
      </x:c>
      <x:c r="C22" s="37" t="str">
        <x:v>IGM-003</x:v>
      </x:c>
      <x:c r="D22" s="37" t="str">
        <x:v>완료 후 시작</x:v>
      </x:c>
      <x:c r="E22" s="37" t="str">
        <x:v>게임플레이 엔지니어링</x:v>
      </x:c>
      <x:c r="F22" s="37" t="str">
        <x:v>미정</x:v>
      </x:c>
      <x:c r="G22" s="37" t="str">
        <x:v>미착수</x:v>
      </x:c>
      <x:c r="H22" s="40" t="str">
        <x:v>미정</x:v>
      </x:c>
      <x:c r="I22" s="37"/>
      <x:c r="J22" s="37" t="str">
        <x:v>부문 내</x:v>
      </x:c>
    </x:row>
    <x:row r="23" ht="42" customHeight="1">
      <x:c r="A23" s="37" t="str">
        <x:v>DEP-0022</x:v>
      </x:c>
      <x:c r="B23" s="37" t="str">
        <x:v>IGM-015</x:v>
      </x:c>
      <x:c r="C23" s="37" t="str">
        <x:v>IGM-014</x:v>
      </x:c>
      <x:c r="D23" s="37" t="str">
        <x:v>완료 후 시작</x:v>
      </x:c>
      <x:c r="E23" s="37" t="str">
        <x:v>게임플레이 엔지니어링</x:v>
      </x:c>
      <x:c r="F23" s="37" t="str">
        <x:v>미정</x:v>
      </x:c>
      <x:c r="G23" s="37" t="str">
        <x:v>미착수</x:v>
      </x:c>
      <x:c r="H23" s="40" t="str">
        <x:v>미정</x:v>
      </x:c>
      <x:c r="I23" s="37"/>
      <x:c r="J23" s="37" t="str">
        <x:v>부문 내</x:v>
      </x:c>
    </x:row>
    <x:row r="24" ht="42" customHeight="1">
      <x:c r="A24" s="37" t="str">
        <x:v>DEP-0023</x:v>
      </x:c>
      <x:c r="B24" s="37" t="str">
        <x:v>IGM-015</x:v>
      </x:c>
      <x:c r="C24" s="37" t="str">
        <x:v>IGM-004</x:v>
      </x:c>
      <x:c r="D24" s="37" t="str">
        <x:v>완료 후 시작</x:v>
      </x:c>
      <x:c r="E24" s="37" t="str">
        <x:v>게임플레이 엔지니어링</x:v>
      </x:c>
      <x:c r="F24" s="37" t="str">
        <x:v>미정</x:v>
      </x:c>
      <x:c r="G24" s="37" t="str">
        <x:v>미착수</x:v>
      </x:c>
      <x:c r="H24" s="40" t="str">
        <x:v>미정</x:v>
      </x:c>
      <x:c r="I24" s="37"/>
      <x:c r="J24" s="37" t="str">
        <x:v>부문 내</x:v>
      </x:c>
    </x:row>
    <x:row r="25" ht="42" customHeight="1">
      <x:c r="A25" s="37" t="str">
        <x:v>DEP-0024</x:v>
      </x:c>
      <x:c r="B25" s="37" t="str">
        <x:v>IGM-016</x:v>
      </x:c>
      <x:c r="C25" s="37" t="str">
        <x:v>IGM-009</x:v>
      </x:c>
      <x:c r="D25" s="37" t="str">
        <x:v>완료 후 시작</x:v>
      </x:c>
      <x:c r="E25" s="37" t="str">
        <x:v>게임플레이 엔지니어링</x:v>
      </x:c>
      <x:c r="F25" s="37" t="str">
        <x:v>미정</x:v>
      </x:c>
      <x:c r="G25" s="37" t="str">
        <x:v>미착수</x:v>
      </x:c>
      <x:c r="H25" s="40" t="str">
        <x:v>미정</x:v>
      </x:c>
      <x:c r="I25" s="37"/>
      <x:c r="J25" s="37" t="str">
        <x:v>부문 내</x:v>
      </x:c>
    </x:row>
    <x:row r="26" ht="42" customHeight="1">
      <x:c r="A26" s="37" t="str">
        <x:v>DEP-0025</x:v>
      </x:c>
      <x:c r="B26" s="37" t="str">
        <x:v>IGM-016</x:v>
      </x:c>
      <x:c r="C26" s="37" t="str">
        <x:v>NET-013</x:v>
      </x:c>
      <x:c r="D26" s="37" t="str">
        <x:v>인터페이스·협업</x:v>
      </x:c>
      <x:c r="E26" s="37" t="str">
        <x:v>게임플레이 엔지니어링</x:v>
      </x:c>
      <x:c r="F26" s="37" t="str">
        <x:v>미정</x:v>
      </x:c>
      <x:c r="G26" s="37" t="str">
        <x:v>미착수</x:v>
      </x:c>
      <x:c r="H26" s="40" t="str">
        <x:v>미정</x:v>
      </x:c>
      <x:c r="I26" s="37"/>
      <x:c r="J26" s="37" t="str">
        <x:v>부문 간</x:v>
      </x:c>
    </x:row>
    <x:row r="27" ht="42" customHeight="1">
      <x:c r="A27" s="37" t="str">
        <x:v>DEP-0026</x:v>
      </x:c>
      <x:c r="B27" s="37" t="str">
        <x:v>IGM-017</x:v>
      </x:c>
      <x:c r="C27" s="37" t="str">
        <x:v>IGM-016</x:v>
      </x:c>
      <x:c r="D27" s="37" t="str">
        <x:v>완료 후 시작</x:v>
      </x:c>
      <x:c r="E27" s="37" t="str">
        <x:v>게임플레이 엔지니어링</x:v>
      </x:c>
      <x:c r="F27" s="37" t="str">
        <x:v>미정</x:v>
      </x:c>
      <x:c r="G27" s="37" t="str">
        <x:v>미착수</x:v>
      </x:c>
      <x:c r="H27" s="40" t="str">
        <x:v>미정</x:v>
      </x:c>
      <x:c r="I27" s="37"/>
      <x:c r="J27" s="37" t="str">
        <x:v>부문 내</x:v>
      </x:c>
    </x:row>
    <x:row r="28" ht="42" customHeight="1">
      <x:c r="A28" s="37" t="str">
        <x:v>DEP-0027</x:v>
      </x:c>
      <x:c r="B28" s="37" t="str">
        <x:v>IGM-018</x:v>
      </x:c>
      <x:c r="C28" s="37" t="str">
        <x:v>IGM-017</x:v>
      </x:c>
      <x:c r="D28" s="37" t="str">
        <x:v>완료 후 시작</x:v>
      </x:c>
      <x:c r="E28" s="37" t="str">
        <x:v>게임플레이 엔지니어링</x:v>
      </x:c>
      <x:c r="F28" s="37" t="str">
        <x:v>미정</x:v>
      </x:c>
      <x:c r="G28" s="37" t="str">
        <x:v>미착수</x:v>
      </x:c>
      <x:c r="H28" s="40" t="str">
        <x:v>미정</x:v>
      </x:c>
      <x:c r="I28" s="37"/>
      <x:c r="J28" s="37" t="str">
        <x:v>부문 내</x:v>
      </x:c>
    </x:row>
    <x:row r="29" ht="42" customHeight="1">
      <x:c r="A29" s="37" t="str">
        <x:v>DEP-0028</x:v>
      </x:c>
      <x:c r="B29" s="37" t="str">
        <x:v>IGM-018</x:v>
      </x:c>
      <x:c r="C29" s="37" t="str">
        <x:v>NET-014</x:v>
      </x:c>
      <x:c r="D29" s="37" t="str">
        <x:v>인터페이스·협업</x:v>
      </x:c>
      <x:c r="E29" s="37" t="str">
        <x:v>게임플레이 엔지니어링</x:v>
      </x:c>
      <x:c r="F29" s="37" t="str">
        <x:v>미정</x:v>
      </x:c>
      <x:c r="G29" s="37" t="str">
        <x:v>미착수</x:v>
      </x:c>
      <x:c r="H29" s="40" t="str">
        <x:v>미정</x:v>
      </x:c>
      <x:c r="I29" s="37"/>
      <x:c r="J29" s="37" t="str">
        <x:v>부문 간</x:v>
      </x:c>
    </x:row>
    <x:row r="30" ht="42" customHeight="1">
      <x:c r="A30" s="37" t="str">
        <x:v>DEP-0029</x:v>
      </x:c>
      <x:c r="B30" s="37" t="str">
        <x:v>IGM-019</x:v>
      </x:c>
      <x:c r="C30" s="37" t="str">
        <x:v>IGM-018</x:v>
      </x:c>
      <x:c r="D30" s="37" t="str">
        <x:v>완료 후 시작</x:v>
      </x:c>
      <x:c r="E30" s="37" t="str">
        <x:v>게임플레이 엔지니어링</x:v>
      </x:c>
      <x:c r="F30" s="37" t="str">
        <x:v>미정</x:v>
      </x:c>
      <x:c r="G30" s="37" t="str">
        <x:v>미착수</x:v>
      </x:c>
      <x:c r="H30" s="40" t="str">
        <x:v>미정</x:v>
      </x:c>
      <x:c r="I30" s="37"/>
      <x:c r="J30" s="37" t="str">
        <x:v>부문 내</x:v>
      </x:c>
    </x:row>
    <x:row r="31" ht="42" customHeight="1">
      <x:c r="A31" s="37" t="str">
        <x:v>DEP-0030</x:v>
      </x:c>
      <x:c r="B31" s="37" t="str">
        <x:v>IGM-019</x:v>
      </x:c>
      <x:c r="C31" s="37" t="str">
        <x:v>NET-018</x:v>
      </x:c>
      <x:c r="D31" s="37" t="str">
        <x:v>인터페이스·협업</x:v>
      </x:c>
      <x:c r="E31" s="37" t="str">
        <x:v>게임플레이 엔지니어링</x:v>
      </x:c>
      <x:c r="F31" s="37" t="str">
        <x:v>미정</x:v>
      </x:c>
      <x:c r="G31" s="37" t="str">
        <x:v>미착수</x:v>
      </x:c>
      <x:c r="H31" s="40" t="str">
        <x:v>미정</x:v>
      </x:c>
      <x:c r="I31" s="37"/>
      <x:c r="J31" s="37" t="str">
        <x:v>부문 간</x:v>
      </x:c>
    </x:row>
    <x:row r="32" ht="42" customHeight="1">
      <x:c r="A32" s="37" t="str">
        <x:v>DEP-0031</x:v>
      </x:c>
      <x:c r="B32" s="37" t="str">
        <x:v>IGM-020</x:v>
      </x:c>
      <x:c r="C32" s="37" t="str">
        <x:v>IGM-018</x:v>
      </x:c>
      <x:c r="D32" s="37" t="str">
        <x:v>완료 후 시작</x:v>
      </x:c>
      <x:c r="E32" s="37" t="str">
        <x:v>게임플레이 엔지니어링</x:v>
      </x:c>
      <x:c r="F32" s="37" t="str">
        <x:v>미정</x:v>
      </x:c>
      <x:c r="G32" s="37" t="str">
        <x:v>미착수</x:v>
      </x:c>
      <x:c r="H32" s="40" t="str">
        <x:v>미정</x:v>
      </x:c>
      <x:c r="I32" s="37"/>
      <x:c r="J32" s="37" t="str">
        <x:v>부문 내</x:v>
      </x:c>
    </x:row>
    <x:row r="33" ht="42" customHeight="1">
      <x:c r="A33" s="37" t="str">
        <x:v>DEP-0032</x:v>
      </x:c>
      <x:c r="B33" s="37" t="str">
        <x:v>IGM-020</x:v>
      </x:c>
      <x:c r="C33" s="37" t="str">
        <x:v>CHR-012</x:v>
      </x:c>
      <x:c r="D33" s="37" t="str">
        <x:v>인터페이스·협업</x:v>
      </x:c>
      <x:c r="E33" s="37" t="str">
        <x:v>게임플레이 엔지니어링</x:v>
      </x:c>
      <x:c r="F33" s="37" t="str">
        <x:v>미정</x:v>
      </x:c>
      <x:c r="G33" s="37" t="str">
        <x:v>미착수</x:v>
      </x:c>
      <x:c r="H33" s="40" t="str">
        <x:v>미정</x:v>
      </x:c>
      <x:c r="I33" s="37"/>
      <x:c r="J33" s="37" t="str">
        <x:v>부문 간</x:v>
      </x:c>
    </x:row>
    <x:row r="34" ht="42" customHeight="1">
      <x:c r="A34" s="37" t="str">
        <x:v>DEP-0033</x:v>
      </x:c>
      <x:c r="B34" s="37" t="str">
        <x:v>IGM-020</x:v>
      </x:c>
      <x:c r="C34" s="37" t="str">
        <x:v>UIX-014</x:v>
      </x:c>
      <x:c r="D34" s="37" t="str">
        <x:v>인터페이스·협업</x:v>
      </x:c>
      <x:c r="E34" s="37" t="str">
        <x:v>게임플레이 엔지니어링</x:v>
      </x:c>
      <x:c r="F34" s="37" t="str">
        <x:v>미정</x:v>
      </x:c>
      <x:c r="G34" s="37" t="str">
        <x:v>미착수</x:v>
      </x:c>
      <x:c r="H34" s="40" t="str">
        <x:v>미정</x:v>
      </x:c>
      <x:c r="I34" s="37"/>
      <x:c r="J34" s="37" t="str">
        <x:v>부문 간</x:v>
      </x:c>
    </x:row>
    <x:row r="35" ht="42" customHeight="1">
      <x:c r="A35" s="37" t="str">
        <x:v>DEP-0034</x:v>
      </x:c>
      <x:c r="B35" s="37" t="str">
        <x:v>IGM-021</x:v>
      </x:c>
      <x:c r="C35" s="37" t="str">
        <x:v>IGM-018</x:v>
      </x:c>
      <x:c r="D35" s="37" t="str">
        <x:v>완료 후 시작</x:v>
      </x:c>
      <x:c r="E35" s="37" t="str">
        <x:v>게임플레이 엔지니어링</x:v>
      </x:c>
      <x:c r="F35" s="37" t="str">
        <x:v>미정</x:v>
      </x:c>
      <x:c r="G35" s="37" t="str">
        <x:v>미착수</x:v>
      </x:c>
      <x:c r="H35" s="40" t="str">
        <x:v>미정</x:v>
      </x:c>
      <x:c r="I35" s="37"/>
      <x:c r="J35" s="37" t="str">
        <x:v>부문 내</x:v>
      </x:c>
    </x:row>
    <x:row r="36" ht="42" customHeight="1">
      <x:c r="A36" s="37" t="str">
        <x:v>DEP-0035</x:v>
      </x:c>
      <x:c r="B36" s="37" t="str">
        <x:v>IGM-021</x:v>
      </x:c>
      <x:c r="C36" s="37" t="str">
        <x:v>NET-014</x:v>
      </x:c>
      <x:c r="D36" s="37" t="str">
        <x:v>인터페이스·협업</x:v>
      </x:c>
      <x:c r="E36" s="37" t="str">
        <x:v>게임플레이 엔지니어링</x:v>
      </x:c>
      <x:c r="F36" s="37" t="str">
        <x:v>미정</x:v>
      </x:c>
      <x:c r="G36" s="37" t="str">
        <x:v>미착수</x:v>
      </x:c>
      <x:c r="H36" s="40" t="str">
        <x:v>미정</x:v>
      </x:c>
      <x:c r="I36" s="37"/>
      <x:c r="J36" s="37" t="str">
        <x:v>부문 간</x:v>
      </x:c>
    </x:row>
    <x:row r="37" ht="42" customHeight="1">
      <x:c r="A37" s="37" t="str">
        <x:v>DEP-0036</x:v>
      </x:c>
      <x:c r="B37" s="37" t="str">
        <x:v>IGM-022</x:v>
      </x:c>
      <x:c r="C37" s="37" t="str">
        <x:v>IGM-021</x:v>
      </x:c>
      <x:c r="D37" s="37" t="str">
        <x:v>완료 후 시작</x:v>
      </x:c>
      <x:c r="E37" s="37" t="str">
        <x:v>게임플레이 엔지니어링</x:v>
      </x:c>
      <x:c r="F37" s="37" t="str">
        <x:v>미정</x:v>
      </x:c>
      <x:c r="G37" s="37" t="str">
        <x:v>미착수</x:v>
      </x:c>
      <x:c r="H37" s="40" t="str">
        <x:v>미정</x:v>
      </x:c>
      <x:c r="I37" s="37"/>
      <x:c r="J37" s="37" t="str">
        <x:v>부문 내</x:v>
      </x:c>
    </x:row>
    <x:row r="38" ht="42" customHeight="1">
      <x:c r="A38" s="37" t="str">
        <x:v>DEP-0037</x:v>
      </x:c>
      <x:c r="B38" s="37" t="str">
        <x:v>IGM-022</x:v>
      </x:c>
      <x:c r="C38" s="37" t="str">
        <x:v>CHR-012</x:v>
      </x:c>
      <x:c r="D38" s="37" t="str">
        <x:v>인터페이스·협업</x:v>
      </x:c>
      <x:c r="E38" s="37" t="str">
        <x:v>게임플레이 엔지니어링</x:v>
      </x:c>
      <x:c r="F38" s="37" t="str">
        <x:v>미정</x:v>
      </x:c>
      <x:c r="G38" s="37" t="str">
        <x:v>미착수</x:v>
      </x:c>
      <x:c r="H38" s="40" t="str">
        <x:v>미정</x:v>
      </x:c>
      <x:c r="I38" s="37"/>
      <x:c r="J38" s="37" t="str">
        <x:v>부문 간</x:v>
      </x:c>
    </x:row>
    <x:row r="39" ht="42" customHeight="1">
      <x:c r="A39" s="37" t="str">
        <x:v>DEP-0038</x:v>
      </x:c>
      <x:c r="B39" s="37" t="str">
        <x:v>IGM-023</x:v>
      </x:c>
      <x:c r="C39" s="37" t="str">
        <x:v>IGM-008</x:v>
      </x:c>
      <x:c r="D39" s="37" t="str">
        <x:v>완료 후 시작</x:v>
      </x:c>
      <x:c r="E39" s="37" t="str">
        <x:v>게임플레이 엔지니어링</x:v>
      </x:c>
      <x:c r="F39" s="37" t="str">
        <x:v>미정</x:v>
      </x:c>
      <x:c r="G39" s="37" t="str">
        <x:v>미착수</x:v>
      </x:c>
      <x:c r="H39" s="40" t="str">
        <x:v>미정</x:v>
      </x:c>
      <x:c r="I39" s="37"/>
      <x:c r="J39" s="37" t="str">
        <x:v>부문 내</x:v>
      </x:c>
    </x:row>
    <x:row r="40" ht="42" customHeight="1">
      <x:c r="A40" s="37" t="str">
        <x:v>DEP-0039</x:v>
      </x:c>
      <x:c r="B40" s="37" t="str">
        <x:v>IGM-023</x:v>
      </x:c>
      <x:c r="C40" s="37" t="str">
        <x:v>UIX-019</x:v>
      </x:c>
      <x:c r="D40" s="37" t="str">
        <x:v>인터페이스·협업</x:v>
      </x:c>
      <x:c r="E40" s="37" t="str">
        <x:v>게임플레이 엔지니어링</x:v>
      </x:c>
      <x:c r="F40" s="37" t="str">
        <x:v>미정</x:v>
      </x:c>
      <x:c r="G40" s="37" t="str">
        <x:v>미착수</x:v>
      </x:c>
      <x:c r="H40" s="40" t="str">
        <x:v>미정</x:v>
      </x:c>
      <x:c r="I40" s="37"/>
      <x:c r="J40" s="37" t="str">
        <x:v>부문 간</x:v>
      </x:c>
    </x:row>
    <x:row r="41" ht="42" customHeight="1">
      <x:c r="A41" s="37" t="str">
        <x:v>DEP-0040</x:v>
      </x:c>
      <x:c r="B41" s="37" t="str">
        <x:v>IGM-023</x:v>
      </x:c>
      <x:c r="C41" s="37" t="str">
        <x:v>NET-016</x:v>
      </x:c>
      <x:c r="D41" s="37" t="str">
        <x:v>인터페이스·협업</x:v>
      </x:c>
      <x:c r="E41" s="37" t="str">
        <x:v>게임플레이 엔지니어링</x:v>
      </x:c>
      <x:c r="F41" s="37" t="str">
        <x:v>미정</x:v>
      </x:c>
      <x:c r="G41" s="37" t="str">
        <x:v>미착수</x:v>
      </x:c>
      <x:c r="H41" s="40" t="str">
        <x:v>미정</x:v>
      </x:c>
      <x:c r="I41" s="37"/>
      <x:c r="J41" s="37" t="str">
        <x:v>부문 간</x:v>
      </x:c>
    </x:row>
    <x:row r="42" ht="42" customHeight="1">
      <x:c r="A42" s="37" t="str">
        <x:v>DEP-0041</x:v>
      </x:c>
      <x:c r="B42" s="37" t="str">
        <x:v>IGM-024</x:v>
      </x:c>
      <x:c r="C42" s="37" t="str">
        <x:v>IGM-023</x:v>
      </x:c>
      <x:c r="D42" s="37" t="str">
        <x:v>완료 후 시작</x:v>
      </x:c>
      <x:c r="E42" s="37" t="str">
        <x:v>게임플레이 엔지니어링</x:v>
      </x:c>
      <x:c r="F42" s="37" t="str">
        <x:v>미정</x:v>
      </x:c>
      <x:c r="G42" s="37" t="str">
        <x:v>미착수</x:v>
      </x:c>
      <x:c r="H42" s="40" t="str">
        <x:v>미정</x:v>
      </x:c>
      <x:c r="I42" s="37"/>
      <x:c r="J42" s="37" t="str">
        <x:v>부문 내</x:v>
      </x:c>
    </x:row>
    <x:row r="43" ht="42" customHeight="1">
      <x:c r="A43" s="37" t="str">
        <x:v>DEP-0042</x:v>
      </x:c>
      <x:c r="B43" s="37" t="str">
        <x:v>IGM-024</x:v>
      </x:c>
      <x:c r="C43" s="37" t="str">
        <x:v>SET-011</x:v>
      </x:c>
      <x:c r="D43" s="37" t="str">
        <x:v>인터페이스·협업</x:v>
      </x:c>
      <x:c r="E43" s="37" t="str">
        <x:v>게임플레이 엔지니어링</x:v>
      </x:c>
      <x:c r="F43" s="37" t="str">
        <x:v>미정</x:v>
      </x:c>
      <x:c r="G43" s="37" t="str">
        <x:v>미착수</x:v>
      </x:c>
      <x:c r="H43" s="40" t="str">
        <x:v>미정</x:v>
      </x:c>
      <x:c r="I43" s="37"/>
      <x:c r="J43" s="37" t="str">
        <x:v>부문 간</x:v>
      </x:c>
    </x:row>
    <x:row r="44" ht="42" customHeight="1">
      <x:c r="A44" s="37" t="str">
        <x:v>DEP-0043</x:v>
      </x:c>
      <x:c r="B44" s="37" t="str">
        <x:v>IGM-025</x:v>
      </x:c>
      <x:c r="C44" s="37" t="str">
        <x:v>IGM-023</x:v>
      </x:c>
      <x:c r="D44" s="37" t="str">
        <x:v>완료 후 시작</x:v>
      </x:c>
      <x:c r="E44" s="37" t="str">
        <x:v>게임플레이 엔지니어링</x:v>
      </x:c>
      <x:c r="F44" s="37" t="str">
        <x:v>미정</x:v>
      </x:c>
      <x:c r="G44" s="37" t="str">
        <x:v>미착수</x:v>
      </x:c>
      <x:c r="H44" s="40" t="str">
        <x:v>미정</x:v>
      </x:c>
      <x:c r="I44" s="37"/>
      <x:c r="J44" s="37" t="str">
        <x:v>부문 내</x:v>
      </x:c>
    </x:row>
    <x:row r="45" ht="42" customHeight="1">
      <x:c r="A45" s="37" t="str">
        <x:v>DEP-0044</x:v>
      </x:c>
      <x:c r="B45" s="37" t="str">
        <x:v>IGM-025</x:v>
      </x:c>
      <x:c r="C45" s="37" t="str">
        <x:v>IGM-024</x:v>
      </x:c>
      <x:c r="D45" s="37" t="str">
        <x:v>완료 후 시작</x:v>
      </x:c>
      <x:c r="E45" s="37" t="str">
        <x:v>게임플레이 엔지니어링</x:v>
      </x:c>
      <x:c r="F45" s="37" t="str">
        <x:v>미정</x:v>
      </x:c>
      <x:c r="G45" s="37" t="str">
        <x:v>미착수</x:v>
      </x:c>
      <x:c r="H45" s="40" t="str">
        <x:v>미정</x:v>
      </x:c>
      <x:c r="I45" s="37"/>
      <x:c r="J45" s="37" t="str">
        <x:v>부문 내</x:v>
      </x:c>
    </x:row>
    <x:row r="46" ht="42" customHeight="1">
      <x:c r="A46" s="37" t="str">
        <x:v>DEP-0045</x:v>
      </x:c>
      <x:c r="B46" s="37" t="str">
        <x:v>IGM-026</x:v>
      </x:c>
      <x:c r="C46" s="37" t="str">
        <x:v>IGM-025</x:v>
      </x:c>
      <x:c r="D46" s="37" t="str">
        <x:v>완료 후 시작</x:v>
      </x:c>
      <x:c r="E46" s="37" t="str">
        <x:v>게임플레이 엔지니어링</x:v>
      </x:c>
      <x:c r="F46" s="37" t="str">
        <x:v>미정</x:v>
      </x:c>
      <x:c r="G46" s="37" t="str">
        <x:v>미착수</x:v>
      </x:c>
      <x:c r="H46" s="40" t="str">
        <x:v>미정</x:v>
      </x:c>
      <x:c r="I46" s="37"/>
      <x:c r="J46" s="37" t="str">
        <x:v>부문 내</x:v>
      </x:c>
    </x:row>
    <x:row r="47" ht="42" customHeight="1">
      <x:c r="A47" s="37" t="str">
        <x:v>DEP-0046</x:v>
      </x:c>
      <x:c r="B47" s="37" t="str">
        <x:v>IGM-026</x:v>
      </x:c>
      <x:c r="C47" s="37" t="str">
        <x:v>IGM-002</x:v>
      </x:c>
      <x:c r="D47" s="37" t="str">
        <x:v>완료 후 시작</x:v>
      </x:c>
      <x:c r="E47" s="37" t="str">
        <x:v>게임플레이 엔지니어링</x:v>
      </x:c>
      <x:c r="F47" s="37" t="str">
        <x:v>미정</x:v>
      </x:c>
      <x:c r="G47" s="37" t="str">
        <x:v>미착수</x:v>
      </x:c>
      <x:c r="H47" s="40" t="str">
        <x:v>미정</x:v>
      </x:c>
      <x:c r="I47" s="37"/>
      <x:c r="J47" s="37" t="str">
        <x:v>부문 내</x:v>
      </x:c>
    </x:row>
    <x:row r="48" ht="42" customHeight="1">
      <x:c r="A48" s="37" t="str">
        <x:v>DEP-0047</x:v>
      </x:c>
      <x:c r="B48" s="37" t="str">
        <x:v>IGM-027</x:v>
      </x:c>
      <x:c r="C48" s="37" t="str">
        <x:v>IGM-025</x:v>
      </x:c>
      <x:c r="D48" s="37" t="str">
        <x:v>완료 후 시작</x:v>
      </x:c>
      <x:c r="E48" s="37" t="str">
        <x:v>게임플레이 엔지니어링</x:v>
      </x:c>
      <x:c r="F48" s="37" t="str">
        <x:v>미정</x:v>
      </x:c>
      <x:c r="G48" s="37" t="str">
        <x:v>미착수</x:v>
      </x:c>
      <x:c r="H48" s="40" t="str">
        <x:v>미정</x:v>
      </x:c>
      <x:c r="I48" s="37"/>
      <x:c r="J48" s="37" t="str">
        <x:v>부문 내</x:v>
      </x:c>
    </x:row>
    <x:row r="49" ht="42" customHeight="1">
      <x:c r="A49" s="37" t="str">
        <x:v>DEP-0048</x:v>
      </x:c>
      <x:c r="B49" s="37" t="str">
        <x:v>IGM-027</x:v>
      </x:c>
      <x:c r="C49" s="37" t="str">
        <x:v>IGM-002</x:v>
      </x:c>
      <x:c r="D49" s="37" t="str">
        <x:v>완료 후 시작</x:v>
      </x:c>
      <x:c r="E49" s="37" t="str">
        <x:v>게임플레이 엔지니어링</x:v>
      </x:c>
      <x:c r="F49" s="37" t="str">
        <x:v>미정</x:v>
      </x:c>
      <x:c r="G49" s="37" t="str">
        <x:v>미착수</x:v>
      </x:c>
      <x:c r="H49" s="40" t="str">
        <x:v>미정</x:v>
      </x:c>
      <x:c r="I49" s="37"/>
      <x:c r="J49" s="37" t="str">
        <x:v>부문 내</x:v>
      </x:c>
    </x:row>
    <x:row r="50" ht="42" customHeight="1">
      <x:c r="A50" s="37" t="str">
        <x:v>DEP-0049</x:v>
      </x:c>
      <x:c r="B50" s="37" t="str">
        <x:v>IGM-028</x:v>
      </x:c>
      <x:c r="C50" s="37" t="str">
        <x:v>IGM-001</x:v>
      </x:c>
      <x:c r="D50" s="37" t="str">
        <x:v>완료 후 시작</x:v>
      </x:c>
      <x:c r="E50" s="37" t="str">
        <x:v>게임플레이 엔지니어링</x:v>
      </x:c>
      <x:c r="F50" s="37" t="str">
        <x:v>미정</x:v>
      </x:c>
      <x:c r="G50" s="37" t="str">
        <x:v>미착수</x:v>
      </x:c>
      <x:c r="H50" s="40" t="str">
        <x:v>미정</x:v>
      </x:c>
      <x:c r="I50" s="37"/>
      <x:c r="J50" s="37" t="str">
        <x:v>부문 내</x:v>
      </x:c>
    </x:row>
    <x:row r="51" ht="42" customHeight="1">
      <x:c r="A51" s="37" t="str">
        <x:v>DEP-0050</x:v>
      </x:c>
      <x:c r="B51" s="37" t="str">
        <x:v>IGM-028</x:v>
      </x:c>
      <x:c r="C51" s="37" t="str">
        <x:v>CNT-022</x:v>
      </x:c>
      <x:c r="D51" s="37" t="str">
        <x:v>인터페이스·협업</x:v>
      </x:c>
      <x:c r="E51" s="37" t="str">
        <x:v>게임플레이 엔지니어링</x:v>
      </x:c>
      <x:c r="F51" s="37" t="str">
        <x:v>미정</x:v>
      </x:c>
      <x:c r="G51" s="37" t="str">
        <x:v>미착수</x:v>
      </x:c>
      <x:c r="H51" s="40" t="str">
        <x:v>미정</x:v>
      </x:c>
      <x:c r="I51" s="37"/>
      <x:c r="J51" s="37" t="str">
        <x:v>부문 간</x:v>
      </x:c>
    </x:row>
    <x:row r="52" ht="42" customHeight="1">
      <x:c r="A52" s="37" t="str">
        <x:v>DEP-0051</x:v>
      </x:c>
      <x:c r="B52" s="37" t="str">
        <x:v>IGM-028</x:v>
      </x:c>
      <x:c r="C52" s="37" t="str">
        <x:v>SET-013</x:v>
      </x:c>
      <x:c r="D52" s="37" t="str">
        <x:v>인터페이스·협업</x:v>
      </x:c>
      <x:c r="E52" s="37" t="str">
        <x:v>게임플레이 엔지니어링</x:v>
      </x:c>
      <x:c r="F52" s="37" t="str">
        <x:v>미정</x:v>
      </x:c>
      <x:c r="G52" s="37" t="str">
        <x:v>미착수</x:v>
      </x:c>
      <x:c r="H52" s="40" t="str">
        <x:v>미정</x:v>
      </x:c>
      <x:c r="I52" s="37"/>
      <x:c r="J52" s="37" t="str">
        <x:v>부문 간</x:v>
      </x:c>
    </x:row>
    <x:row r="53" ht="42" customHeight="1">
      <x:c r="A53" s="37" t="str">
        <x:v>DEP-0052</x:v>
      </x:c>
      <x:c r="B53" s="37" t="str">
        <x:v>IGM-029</x:v>
      </x:c>
      <x:c r="C53" s="37" t="str">
        <x:v>IGM-021</x:v>
      </x:c>
      <x:c r="D53" s="37" t="str">
        <x:v>완료 후 시작</x:v>
      </x:c>
      <x:c r="E53" s="37" t="str">
        <x:v>게임플레이 엔지니어링</x:v>
      </x:c>
      <x:c r="F53" s="37" t="str">
        <x:v>미정</x:v>
      </x:c>
      <x:c r="G53" s="37" t="str">
        <x:v>미착수</x:v>
      </x:c>
      <x:c r="H53" s="40" t="str">
        <x:v>미정</x:v>
      </x:c>
      <x:c r="I53" s="37"/>
      <x:c r="J53" s="37" t="str">
        <x:v>부문 내</x:v>
      </x:c>
    </x:row>
    <x:row r="54" ht="42" customHeight="1">
      <x:c r="A54" s="37" t="str">
        <x:v>DEP-0053</x:v>
      </x:c>
      <x:c r="B54" s="37" t="str">
        <x:v>IGM-029</x:v>
      </x:c>
      <x:c r="C54" s="37" t="str">
        <x:v>IGM-028</x:v>
      </x:c>
      <x:c r="D54" s="37" t="str">
        <x:v>완료 후 시작</x:v>
      </x:c>
      <x:c r="E54" s="37" t="str">
        <x:v>게임플레이 엔지니어링</x:v>
      </x:c>
      <x:c r="F54" s="37" t="str">
        <x:v>미정</x:v>
      </x:c>
      <x:c r="G54" s="37" t="str">
        <x:v>미착수</x:v>
      </x:c>
      <x:c r="H54" s="40" t="str">
        <x:v>미정</x:v>
      </x:c>
      <x:c r="I54" s="37"/>
      <x:c r="J54" s="37" t="str">
        <x:v>부문 내</x:v>
      </x:c>
    </x:row>
    <x:row r="55" ht="42" customHeight="1">
      <x:c r="A55" s="37" t="str">
        <x:v>DEP-0054</x:v>
      </x:c>
      <x:c r="B55" s="37" t="str">
        <x:v>IGM-029</x:v>
      </x:c>
      <x:c r="C55" s="37" t="str">
        <x:v>NET-018</x:v>
      </x:c>
      <x:c r="D55" s="37" t="str">
        <x:v>인터페이스·협업</x:v>
      </x:c>
      <x:c r="E55" s="37" t="str">
        <x:v>게임플레이 엔지니어링</x:v>
      </x:c>
      <x:c r="F55" s="37" t="str">
        <x:v>미정</x:v>
      </x:c>
      <x:c r="G55" s="37" t="str">
        <x:v>미착수</x:v>
      </x:c>
      <x:c r="H55" s="40" t="str">
        <x:v>미정</x:v>
      </x:c>
      <x:c r="I55" s="37"/>
      <x:c r="J55" s="37" t="str">
        <x:v>부문 간</x:v>
      </x:c>
    </x:row>
    <x:row r="56" ht="42" customHeight="1">
      <x:c r="A56" s="37" t="str">
        <x:v>DEP-0055</x:v>
      </x:c>
      <x:c r="B56" s="37" t="str">
        <x:v>IGM-030</x:v>
      </x:c>
      <x:c r="C56" s="37" t="str">
        <x:v>IGM-028</x:v>
      </x:c>
      <x:c r="D56" s="37" t="str">
        <x:v>완료 후 시작</x:v>
      </x:c>
      <x:c r="E56" s="37" t="str">
        <x:v>게임플레이 엔지니어링</x:v>
      </x:c>
      <x:c r="F56" s="37" t="str">
        <x:v>미정</x:v>
      </x:c>
      <x:c r="G56" s="37" t="str">
        <x:v>미착수</x:v>
      </x:c>
      <x:c r="H56" s="40" t="str">
        <x:v>미정</x:v>
      </x:c>
      <x:c r="I56" s="37"/>
      <x:c r="J56" s="37" t="str">
        <x:v>부문 내</x:v>
      </x:c>
    </x:row>
    <x:row r="57" ht="42" customHeight="1">
      <x:c r="A57" s="37" t="str">
        <x:v>DEP-0056</x:v>
      </x:c>
      <x:c r="B57" s="37" t="str">
        <x:v>IGM-030</x:v>
      </x:c>
      <x:c r="C57" s="37" t="str">
        <x:v>AUD-008</x:v>
      </x:c>
      <x:c r="D57" s="37" t="str">
        <x:v>인터페이스·협업</x:v>
      </x:c>
      <x:c r="E57" s="37" t="str">
        <x:v>게임플레이 엔지니어링</x:v>
      </x:c>
      <x:c r="F57" s="37" t="str">
        <x:v>미정</x:v>
      </x:c>
      <x:c r="G57" s="37" t="str">
        <x:v>미착수</x:v>
      </x:c>
      <x:c r="H57" s="40" t="str">
        <x:v>미정</x:v>
      </x:c>
      <x:c r="I57" s="37"/>
      <x:c r="J57" s="37" t="str">
        <x:v>부문 간</x:v>
      </x:c>
    </x:row>
    <x:row r="58" ht="42" customHeight="1">
      <x:c r="A58" s="37" t="str">
        <x:v>DEP-0057</x:v>
      </x:c>
      <x:c r="B58" s="37" t="str">
        <x:v>IGM-030</x:v>
      </x:c>
      <x:c r="C58" s="37" t="str">
        <x:v>UIX-022</x:v>
      </x:c>
      <x:c r="D58" s="37" t="str">
        <x:v>인터페이스·협업</x:v>
      </x:c>
      <x:c r="E58" s="37" t="str">
        <x:v>게임플레이 엔지니어링</x:v>
      </x:c>
      <x:c r="F58" s="37" t="str">
        <x:v>미정</x:v>
      </x:c>
      <x:c r="G58" s="37" t="str">
        <x:v>미착수</x:v>
      </x:c>
      <x:c r="H58" s="40" t="str">
        <x:v>미정</x:v>
      </x:c>
      <x:c r="I58" s="37"/>
      <x:c r="J58" s="37" t="str">
        <x:v>부문 간</x:v>
      </x:c>
    </x:row>
    <x:row r="59" ht="42" customHeight="1">
      <x:c r="A59" s="37" t="str">
        <x:v>DEP-0058</x:v>
      </x:c>
      <x:c r="B59" s="37" t="str">
        <x:v>IGM-031</x:v>
      </x:c>
      <x:c r="C59" s="37" t="str">
        <x:v>IGM-030</x:v>
      </x:c>
      <x:c r="D59" s="37" t="str">
        <x:v>완료 후 시작</x:v>
      </x:c>
      <x:c r="E59" s="37" t="str">
        <x:v>게임플레이 엔지니어링</x:v>
      </x:c>
      <x:c r="F59" s="37" t="str">
        <x:v>미정</x:v>
      </x:c>
      <x:c r="G59" s="37" t="str">
        <x:v>미착수</x:v>
      </x:c>
      <x:c r="H59" s="40" t="str">
        <x:v>미정</x:v>
      </x:c>
      <x:c r="I59" s="37"/>
      <x:c r="J59" s="37" t="str">
        <x:v>부문 내</x:v>
      </x:c>
    </x:row>
    <x:row r="60" ht="42" customHeight="1">
      <x:c r="A60" s="37" t="str">
        <x:v>DEP-0059</x:v>
      </x:c>
      <x:c r="B60" s="37" t="str">
        <x:v>IGM-031</x:v>
      </x:c>
      <x:c r="C60" s="37" t="str">
        <x:v>IGM-029</x:v>
      </x:c>
      <x:c r="D60" s="37" t="str">
        <x:v>완료 후 시작</x:v>
      </x:c>
      <x:c r="E60" s="37" t="str">
        <x:v>게임플레이 엔지니어링</x:v>
      </x:c>
      <x:c r="F60" s="37" t="str">
        <x:v>미정</x:v>
      </x:c>
      <x:c r="G60" s="37" t="str">
        <x:v>미착수</x:v>
      </x:c>
      <x:c r="H60" s="40" t="str">
        <x:v>미정</x:v>
      </x:c>
      <x:c r="I60" s="37"/>
      <x:c r="J60" s="37" t="str">
        <x:v>부문 내</x:v>
      </x:c>
    </x:row>
    <x:row r="61" ht="42" customHeight="1">
      <x:c r="A61" s="37" t="str">
        <x:v>DEP-0060</x:v>
      </x:c>
      <x:c r="B61" s="37" t="str">
        <x:v>IGM-031</x:v>
      </x:c>
      <x:c r="C61" s="37" t="str">
        <x:v>IGM-024</x:v>
      </x:c>
      <x:c r="D61" s="37" t="str">
        <x:v>완료 후 시작</x:v>
      </x:c>
      <x:c r="E61" s="37" t="str">
        <x:v>게임플레이 엔지니어링</x:v>
      </x:c>
      <x:c r="F61" s="37" t="str">
        <x:v>미정</x:v>
      </x:c>
      <x:c r="G61" s="37" t="str">
        <x:v>미착수</x:v>
      </x:c>
      <x:c r="H61" s="40" t="str">
        <x:v>미정</x:v>
      </x:c>
      <x:c r="I61" s="37"/>
      <x:c r="J61" s="37" t="str">
        <x:v>부문 내</x:v>
      </x:c>
    </x:row>
    <x:row r="62" ht="42" customHeight="1">
      <x:c r="A62" s="37" t="str">
        <x:v>DEP-0061</x:v>
      </x:c>
      <x:c r="B62" s="37" t="str">
        <x:v>IGM-032</x:v>
      </x:c>
      <x:c r="C62" s="37" t="str">
        <x:v>IGM-001</x:v>
      </x:c>
      <x:c r="D62" s="37" t="str">
        <x:v>완료 후 시작</x:v>
      </x:c>
      <x:c r="E62" s="37" t="str">
        <x:v>게임플레이 엔지니어링</x:v>
      </x:c>
      <x:c r="F62" s="37" t="str">
        <x:v>미정</x:v>
      </x:c>
      <x:c r="G62" s="37" t="str">
        <x:v>미착수</x:v>
      </x:c>
      <x:c r="H62" s="40" t="str">
        <x:v>미정</x:v>
      </x:c>
      <x:c r="I62" s="37"/>
      <x:c r="J62" s="37" t="str">
        <x:v>부문 내</x:v>
      </x:c>
    </x:row>
    <x:row r="63" ht="42" customHeight="1">
      <x:c r="A63" s="37" t="str">
        <x:v>DEP-0062</x:v>
      </x:c>
      <x:c r="B63" s="37" t="str">
        <x:v>IGM-032</x:v>
      </x:c>
      <x:c r="C63" s="37" t="str">
        <x:v>ONL-017</x:v>
      </x:c>
      <x:c r="D63" s="37" t="str">
        <x:v>인터페이스·협업</x:v>
      </x:c>
      <x:c r="E63" s="37" t="str">
        <x:v>게임플레이 엔지니어링</x:v>
      </x:c>
      <x:c r="F63" s="37" t="str">
        <x:v>미정</x:v>
      </x:c>
      <x:c r="G63" s="37" t="str">
        <x:v>미착수</x:v>
      </x:c>
      <x:c r="H63" s="40" t="str">
        <x:v>미정</x:v>
      </x:c>
      <x:c r="I63" s="37"/>
      <x:c r="J63" s="37" t="str">
        <x:v>부문 간</x:v>
      </x:c>
    </x:row>
    <x:row r="64" ht="42" customHeight="1">
      <x:c r="A64" s="37" t="str">
        <x:v>DEP-0063</x:v>
      </x:c>
      <x:c r="B64" s="37" t="str">
        <x:v>IGM-033</x:v>
      </x:c>
      <x:c r="C64" s="37" t="str">
        <x:v>IGM-032</x:v>
      </x:c>
      <x:c r="D64" s="37" t="str">
        <x:v>완료 후 시작</x:v>
      </x:c>
      <x:c r="E64" s="37" t="str">
        <x:v>게임플레이 엔지니어링</x:v>
      </x:c>
      <x:c r="F64" s="37" t="str">
        <x:v>미정</x:v>
      </x:c>
      <x:c r="G64" s="37" t="str">
        <x:v>미착수</x:v>
      </x:c>
      <x:c r="H64" s="40" t="str">
        <x:v>미정</x:v>
      </x:c>
      <x:c r="I64" s="37"/>
      <x:c r="J64" s="37" t="str">
        <x:v>부문 내</x:v>
      </x:c>
    </x:row>
    <x:row r="65" ht="42" customHeight="1">
      <x:c r="A65" s="37" t="str">
        <x:v>DEP-0064</x:v>
      </x:c>
      <x:c r="B65" s="37" t="str">
        <x:v>IGM-033</x:v>
      </x:c>
      <x:c r="C65" s="37" t="str">
        <x:v>NET-019</x:v>
      </x:c>
      <x:c r="D65" s="37" t="str">
        <x:v>인터페이스·협업</x:v>
      </x:c>
      <x:c r="E65" s="37" t="str">
        <x:v>게임플레이 엔지니어링</x:v>
      </x:c>
      <x:c r="F65" s="37" t="str">
        <x:v>미정</x:v>
      </x:c>
      <x:c r="G65" s="37" t="str">
        <x:v>미착수</x:v>
      </x:c>
      <x:c r="H65" s="40" t="str">
        <x:v>미정</x:v>
      </x:c>
      <x:c r="I65" s="37"/>
      <x:c r="J65" s="37" t="str">
        <x:v>부문 간</x:v>
      </x:c>
    </x:row>
    <x:row r="66" ht="42" customHeight="1">
      <x:c r="A66" s="37" t="str">
        <x:v>DEP-0065</x:v>
      </x:c>
      <x:c r="B66" s="37" t="str">
        <x:v>IGM-034</x:v>
      </x:c>
      <x:c r="C66" s="37" t="str">
        <x:v>CNT-029</x:v>
      </x:c>
      <x:c r="D66" s="37" t="str">
        <x:v>인터페이스·협업</x:v>
      </x:c>
      <x:c r="E66" s="37" t="str">
        <x:v>게임플레이 엔지니어링</x:v>
      </x:c>
      <x:c r="F66" s="37" t="str">
        <x:v>미정</x:v>
      </x:c>
      <x:c r="G66" s="37" t="str">
        <x:v>미착수</x:v>
      </x:c>
      <x:c r="H66" s="40" t="str">
        <x:v>미정</x:v>
      </x:c>
      <x:c r="I66" s="37"/>
      <x:c r="J66" s="37" t="str">
        <x:v>부문 간</x:v>
      </x:c>
    </x:row>
    <x:row r="67" ht="42" customHeight="1">
      <x:c r="A67" s="37" t="str">
        <x:v>DEP-0066</x:v>
      </x:c>
      <x:c r="B67" s="37" t="str">
        <x:v>IGM-034</x:v>
      </x:c>
      <x:c r="C67" s="37" t="str">
        <x:v>UIX-030</x:v>
      </x:c>
      <x:c r="D67" s="37" t="str">
        <x:v>인터페이스·협업</x:v>
      </x:c>
      <x:c r="E67" s="37" t="str">
        <x:v>게임플레이 엔지니어링</x:v>
      </x:c>
      <x:c r="F67" s="37" t="str">
        <x:v>미정</x:v>
      </x:c>
      <x:c r="G67" s="37" t="str">
        <x:v>미착수</x:v>
      </x:c>
      <x:c r="H67" s="40" t="str">
        <x:v>미정</x:v>
      </x:c>
      <x:c r="I67" s="37"/>
      <x:c r="J67" s="37" t="str">
        <x:v>부문 간</x:v>
      </x:c>
    </x:row>
    <x:row r="68" ht="42" customHeight="1">
      <x:c r="A68" s="37" t="str">
        <x:v>DEP-0067</x:v>
      </x:c>
      <x:c r="B68" s="37" t="str">
        <x:v>IGM-035</x:v>
      </x:c>
      <x:c r="C68" s="37" t="str">
        <x:v>IGM-009</x:v>
      </x:c>
      <x:c r="D68" s="37" t="str">
        <x:v>완료 후 시작</x:v>
      </x:c>
      <x:c r="E68" s="37" t="str">
        <x:v>게임플레이 엔지니어링</x:v>
      </x:c>
      <x:c r="F68" s="37" t="str">
        <x:v>미정</x:v>
      </x:c>
      <x:c r="G68" s="37" t="str">
        <x:v>미착수</x:v>
      </x:c>
      <x:c r="H68" s="40" t="str">
        <x:v>미정</x:v>
      </x:c>
      <x:c r="I68" s="37"/>
      <x:c r="J68" s="37" t="str">
        <x:v>부문 내</x:v>
      </x:c>
    </x:row>
    <x:row r="69" ht="42" customHeight="1">
      <x:c r="A69" s="37" t="str">
        <x:v>DEP-0068</x:v>
      </x:c>
      <x:c r="B69" s="37" t="str">
        <x:v>IGM-036</x:v>
      </x:c>
      <x:c r="C69" s="37" t="str">
        <x:v>IGM-010</x:v>
      </x:c>
      <x:c r="D69" s="37" t="str">
        <x:v>완료 후 시작</x:v>
      </x:c>
      <x:c r="E69" s="37" t="str">
        <x:v>게임플레이 엔지니어링</x:v>
      </x:c>
      <x:c r="F69" s="37" t="str">
        <x:v>미정</x:v>
      </x:c>
      <x:c r="G69" s="37" t="str">
        <x:v>미착수</x:v>
      </x:c>
      <x:c r="H69" s="40" t="str">
        <x:v>미정</x:v>
      </x:c>
      <x:c r="I69" s="37"/>
      <x:c r="J69" s="37" t="str">
        <x:v>부문 내</x:v>
      </x:c>
    </x:row>
    <x:row r="70" ht="42" customHeight="1">
      <x:c r="A70" s="37" t="str">
        <x:v>DEP-0069</x:v>
      </x:c>
      <x:c r="B70" s="37" t="str">
        <x:v>IGM-036</x:v>
      </x:c>
      <x:c r="C70" s="37" t="str">
        <x:v>CNT-030</x:v>
      </x:c>
      <x:c r="D70" s="37" t="str">
        <x:v>인터페이스·협업</x:v>
      </x:c>
      <x:c r="E70" s="37" t="str">
        <x:v>게임플레이 엔지니어링</x:v>
      </x:c>
      <x:c r="F70" s="37" t="str">
        <x:v>미정</x:v>
      </x:c>
      <x:c r="G70" s="37" t="str">
        <x:v>미착수</x:v>
      </x:c>
      <x:c r="H70" s="40" t="str">
        <x:v>미정</x:v>
      </x:c>
      <x:c r="I70" s="37"/>
      <x:c r="J70" s="37" t="str">
        <x:v>부문 간</x:v>
      </x:c>
    </x:row>
    <x:row r="71" ht="42" customHeight="1">
      <x:c r="A71" s="37" t="str">
        <x:v>DEP-0070</x:v>
      </x:c>
      <x:c r="B71" s="37" t="str">
        <x:v>IGM-037</x:v>
      </x:c>
      <x:c r="C71" s="37" t="str">
        <x:v>IGM-014</x:v>
      </x:c>
      <x:c r="D71" s="37" t="str">
        <x:v>완료 후 시작</x:v>
      </x:c>
      <x:c r="E71" s="37" t="str">
        <x:v>게임플레이 엔지니어링</x:v>
      </x:c>
      <x:c r="F71" s="37" t="str">
        <x:v>미정</x:v>
      </x:c>
      <x:c r="G71" s="37" t="str">
        <x:v>미착수</x:v>
      </x:c>
      <x:c r="H71" s="40" t="str">
        <x:v>미정</x:v>
      </x:c>
      <x:c r="I71" s="37"/>
      <x:c r="J71" s="37" t="str">
        <x:v>부문 내</x:v>
      </x:c>
    </x:row>
    <x:row r="72" ht="42" customHeight="1">
      <x:c r="A72" s="37" t="str">
        <x:v>DEP-0071</x:v>
      </x:c>
      <x:c r="B72" s="37" t="str">
        <x:v>IGM-037</x:v>
      </x:c>
      <x:c r="C72" s="37" t="str">
        <x:v>SET-018</x:v>
      </x:c>
      <x:c r="D72" s="37" t="str">
        <x:v>인터페이스·협업</x:v>
      </x:c>
      <x:c r="E72" s="37" t="str">
        <x:v>게임플레이 엔지니어링</x:v>
      </x:c>
      <x:c r="F72" s="37" t="str">
        <x:v>미정</x:v>
      </x:c>
      <x:c r="G72" s="37" t="str">
        <x:v>미착수</x:v>
      </x:c>
      <x:c r="H72" s="40" t="str">
        <x:v>미정</x:v>
      </x:c>
      <x:c r="I72" s="37"/>
      <x:c r="J72" s="37" t="str">
        <x:v>부문 간</x:v>
      </x:c>
    </x:row>
    <x:row r="73" ht="42" customHeight="1">
      <x:c r="A73" s="37" t="str">
        <x:v>DEP-0072</x:v>
      </x:c>
      <x:c r="B73" s="37" t="str">
        <x:v>IGM-038</x:v>
      </x:c>
      <x:c r="C73" s="37" t="str">
        <x:v>IGM-002</x:v>
      </x:c>
      <x:c r="D73" s="37" t="str">
        <x:v>완료 후 시작</x:v>
      </x:c>
      <x:c r="E73" s="37" t="str">
        <x:v>게임플레이 엔지니어링</x:v>
      </x:c>
      <x:c r="F73" s="37" t="str">
        <x:v>미정</x:v>
      </x:c>
      <x:c r="G73" s="37" t="str">
        <x:v>미착수</x:v>
      </x:c>
      <x:c r="H73" s="40" t="str">
        <x:v>미정</x:v>
      </x:c>
      <x:c r="I73" s="37"/>
      <x:c r="J73" s="37" t="str">
        <x:v>부문 내</x:v>
      </x:c>
    </x:row>
    <x:row r="74" ht="42" customHeight="1">
      <x:c r="A74" s="37" t="str">
        <x:v>DEP-0073</x:v>
      </x:c>
      <x:c r="B74" s="37" t="str">
        <x:v>IGM-038</x:v>
      </x:c>
      <x:c r="C74" s="37" t="str">
        <x:v>IGM-026</x:v>
      </x:c>
      <x:c r="D74" s="37" t="str">
        <x:v>완료 후 시작</x:v>
      </x:c>
      <x:c r="E74" s="37" t="str">
        <x:v>게임플레이 엔지니어링</x:v>
      </x:c>
      <x:c r="F74" s="37" t="str">
        <x:v>미정</x:v>
      </x:c>
      <x:c r="G74" s="37" t="str">
        <x:v>미착수</x:v>
      </x:c>
      <x:c r="H74" s="40" t="str">
        <x:v>미정</x:v>
      </x:c>
      <x:c r="I74" s="37"/>
      <x:c r="J74" s="37" t="str">
        <x:v>부문 내</x:v>
      </x:c>
    </x:row>
    <x:row r="75" ht="42" customHeight="1">
      <x:c r="A75" s="37" t="str">
        <x:v>DEP-0074</x:v>
      </x:c>
      <x:c r="B75" s="37" t="str">
        <x:v>IGM-038</x:v>
      </x:c>
      <x:c r="C75" s="37" t="str">
        <x:v>AUD-020</x:v>
      </x:c>
      <x:c r="D75" s="37" t="str">
        <x:v>인터페이스·협업</x:v>
      </x:c>
      <x:c r="E75" s="37" t="str">
        <x:v>게임플레이 엔지니어링</x:v>
      </x:c>
      <x:c r="F75" s="37" t="str">
        <x:v>미정</x:v>
      </x:c>
      <x:c r="G75" s="37" t="str">
        <x:v>미착수</x:v>
      </x:c>
      <x:c r="H75" s="40" t="str">
        <x:v>미정</x:v>
      </x:c>
      <x:c r="I75" s="37"/>
      <x:c r="J75" s="37" t="str">
        <x:v>부문 간</x:v>
      </x:c>
    </x:row>
    <x:row r="76" ht="42" customHeight="1">
      <x:c r="A76" s="37" t="str">
        <x:v>DEP-0075</x:v>
      </x:c>
      <x:c r="B76" s="37" t="str">
        <x:v>UIX-002</x:v>
      </x:c>
      <x:c r="C76" s="37" t="str">
        <x:v>UIX-001</x:v>
      </x:c>
      <x:c r="D76" s="37" t="str">
        <x:v>완료 후 시작</x:v>
      </x:c>
      <x:c r="E76" s="37" t="str">
        <x:v>UI·UX 팀</x:v>
      </x:c>
      <x:c r="F76" s="37" t="str">
        <x:v>미정</x:v>
      </x:c>
      <x:c r="G76" s="37" t="str">
        <x:v>미착수</x:v>
      </x:c>
      <x:c r="H76" s="40" t="str">
        <x:v>미정</x:v>
      </x:c>
      <x:c r="I76" s="37"/>
      <x:c r="J76" s="37" t="str">
        <x:v>부문 내</x:v>
      </x:c>
    </x:row>
    <x:row r="77" ht="42" customHeight="1">
      <x:c r="A77" s="37" t="str">
        <x:v>DEP-0076</x:v>
      </x:c>
      <x:c r="B77" s="37" t="str">
        <x:v>UIX-003</x:v>
      </x:c>
      <x:c r="C77" s="37" t="str">
        <x:v>ONL-001</x:v>
      </x:c>
      <x:c r="D77" s="37" t="str">
        <x:v>인터페이스·협업</x:v>
      </x:c>
      <x:c r="E77" s="37" t="str">
        <x:v>UI·UX 팀</x:v>
      </x:c>
      <x:c r="F77" s="37" t="str">
        <x:v>미정</x:v>
      </x:c>
      <x:c r="G77" s="37" t="str">
        <x:v>미착수</x:v>
      </x:c>
      <x:c r="H77" s="40" t="str">
        <x:v>미정</x:v>
      </x:c>
      <x:c r="I77" s="37"/>
      <x:c r="J77" s="37" t="str">
        <x:v>부문 간</x:v>
      </x:c>
    </x:row>
    <x:row r="78" ht="42" customHeight="1">
      <x:c r="A78" s="37" t="str">
        <x:v>DEP-0077</x:v>
      </x:c>
      <x:c r="B78" s="37" t="str">
        <x:v>UIX-003</x:v>
      </x:c>
      <x:c r="C78" s="37" t="str">
        <x:v>BED-001</x:v>
      </x:c>
      <x:c r="D78" s="37" t="str">
        <x:v>인터페이스·협업</x:v>
      </x:c>
      <x:c r="E78" s="37" t="str">
        <x:v>UI·UX 팀</x:v>
      </x:c>
      <x:c r="F78" s="37" t="str">
        <x:v>미정</x:v>
      </x:c>
      <x:c r="G78" s="37" t="str">
        <x:v>미착수</x:v>
      </x:c>
      <x:c r="H78" s="40" t="str">
        <x:v>미정</x:v>
      </x:c>
      <x:c r="I78" s="37"/>
      <x:c r="J78" s="37" t="str">
        <x:v>부문 간</x:v>
      </x:c>
    </x:row>
    <x:row r="79" ht="42" customHeight="1">
      <x:c r="A79" s="37" t="str">
        <x:v>DEP-0078</x:v>
      </x:c>
      <x:c r="B79" s="37" t="str">
        <x:v>UIX-004</x:v>
      </x:c>
      <x:c r="C79" s="37" t="str">
        <x:v>ONL-004</x:v>
      </x:c>
      <x:c r="D79" s="37" t="str">
        <x:v>인터페이스·협업</x:v>
      </x:c>
      <x:c r="E79" s="37" t="str">
        <x:v>UI·UX 팀</x:v>
      </x:c>
      <x:c r="F79" s="37" t="str">
        <x:v>미정</x:v>
      </x:c>
      <x:c r="G79" s="37" t="str">
        <x:v>미착수</x:v>
      </x:c>
      <x:c r="H79" s="40" t="str">
        <x:v>미정</x:v>
      </x:c>
      <x:c r="I79" s="37"/>
      <x:c r="J79" s="37" t="str">
        <x:v>부문 간</x:v>
      </x:c>
    </x:row>
    <x:row r="80" ht="42" customHeight="1">
      <x:c r="A80" s="37" t="str">
        <x:v>DEP-0079</x:v>
      </x:c>
      <x:c r="B80" s="37" t="str">
        <x:v>UIX-004</x:v>
      </x:c>
      <x:c r="C80" s="37" t="str">
        <x:v>ONL-006</x:v>
      </x:c>
      <x:c r="D80" s="37" t="str">
        <x:v>인터페이스·협업</x:v>
      </x:c>
      <x:c r="E80" s="37" t="str">
        <x:v>UI·UX 팀</x:v>
      </x:c>
      <x:c r="F80" s="37" t="str">
        <x:v>미정</x:v>
      </x:c>
      <x:c r="G80" s="37" t="str">
        <x:v>미착수</x:v>
      </x:c>
      <x:c r="H80" s="40" t="str">
        <x:v>미정</x:v>
      </x:c>
      <x:c r="I80" s="37"/>
      <x:c r="J80" s="37" t="str">
        <x:v>부문 간</x:v>
      </x:c>
    </x:row>
    <x:row r="81" ht="42" customHeight="1">
      <x:c r="A81" s="37" t="str">
        <x:v>DEP-0080</x:v>
      </x:c>
      <x:c r="B81" s="37" t="str">
        <x:v>UIX-005</x:v>
      </x:c>
      <x:c r="C81" s="37" t="str">
        <x:v>SET-009</x:v>
      </x:c>
      <x:c r="D81" s="37" t="str">
        <x:v>인터페이스·협업</x:v>
      </x:c>
      <x:c r="E81" s="37" t="str">
        <x:v>UI·UX 팀</x:v>
      </x:c>
      <x:c r="F81" s="37" t="str">
        <x:v>미정</x:v>
      </x:c>
      <x:c r="G81" s="37" t="str">
        <x:v>미착수</x:v>
      </x:c>
      <x:c r="H81" s="40" t="str">
        <x:v>미정</x:v>
      </x:c>
      <x:c r="I81" s="37"/>
      <x:c r="J81" s="37" t="str">
        <x:v>부문 간</x:v>
      </x:c>
    </x:row>
    <x:row r="82" ht="42" customHeight="1">
      <x:c r="A82" s="37" t="str">
        <x:v>DEP-0081</x:v>
      </x:c>
      <x:c r="B82" s="37" t="str">
        <x:v>UIX-005</x:v>
      </x:c>
      <x:c r="C82" s="37" t="str">
        <x:v>ONL-004</x:v>
      </x:c>
      <x:c r="D82" s="37" t="str">
        <x:v>인터페이스·협업</x:v>
      </x:c>
      <x:c r="E82" s="37" t="str">
        <x:v>UI·UX 팀</x:v>
      </x:c>
      <x:c r="F82" s="37" t="str">
        <x:v>미정</x:v>
      </x:c>
      <x:c r="G82" s="37" t="str">
        <x:v>미착수</x:v>
      </x:c>
      <x:c r="H82" s="40" t="str">
        <x:v>미정</x:v>
      </x:c>
      <x:c r="I82" s="37"/>
      <x:c r="J82" s="37" t="str">
        <x:v>부문 간</x:v>
      </x:c>
    </x:row>
    <x:row r="83" ht="42" customHeight="1">
      <x:c r="A83" s="37" t="str">
        <x:v>DEP-0082</x:v>
      </x:c>
      <x:c r="B83" s="37" t="str">
        <x:v>UIX-006</x:v>
      </x:c>
      <x:c r="C83" s="37" t="str">
        <x:v>ONL-006</x:v>
      </x:c>
      <x:c r="D83" s="37" t="str">
        <x:v>인터페이스·협업</x:v>
      </x:c>
      <x:c r="E83" s="37" t="str">
        <x:v>UI·UX 팀</x:v>
      </x:c>
      <x:c r="F83" s="37" t="str">
        <x:v>미정</x:v>
      </x:c>
      <x:c r="G83" s="37" t="str">
        <x:v>미착수</x:v>
      </x:c>
      <x:c r="H83" s="40" t="str">
        <x:v>미정</x:v>
      </x:c>
      <x:c r="I83" s="37"/>
      <x:c r="J83" s="37" t="str">
        <x:v>부문 간</x:v>
      </x:c>
    </x:row>
    <x:row r="84" ht="42" customHeight="1">
      <x:c r="A84" s="37" t="str">
        <x:v>DEP-0083</x:v>
      </x:c>
      <x:c r="B84" s="37" t="str">
        <x:v>UIX-006</x:v>
      </x:c>
      <x:c r="C84" s="37" t="str">
        <x:v>ONL-020</x:v>
      </x:c>
      <x:c r="D84" s="37" t="str">
        <x:v>인터페이스·협업</x:v>
      </x:c>
      <x:c r="E84" s="37" t="str">
        <x:v>UI·UX 팀</x:v>
      </x:c>
      <x:c r="F84" s="37" t="str">
        <x:v>미정</x:v>
      </x:c>
      <x:c r="G84" s="37" t="str">
        <x:v>미착수</x:v>
      </x:c>
      <x:c r="H84" s="40" t="str">
        <x:v>미정</x:v>
      </x:c>
      <x:c r="I84" s="37"/>
      <x:c r="J84" s="37" t="str">
        <x:v>부문 간</x:v>
      </x:c>
    </x:row>
    <x:row r="85" ht="42" customHeight="1">
      <x:c r="A85" s="37" t="str">
        <x:v>DEP-0084</x:v>
      </x:c>
      <x:c r="B85" s="37" t="str">
        <x:v>UIX-007</x:v>
      </x:c>
      <x:c r="C85" s="37" t="str">
        <x:v>ONL-007</x:v>
      </x:c>
      <x:c r="D85" s="37" t="str">
        <x:v>인터페이스·협업</x:v>
      </x:c>
      <x:c r="E85" s="37" t="str">
        <x:v>UI·UX 팀</x:v>
      </x:c>
      <x:c r="F85" s="37" t="str">
        <x:v>미정</x:v>
      </x:c>
      <x:c r="G85" s="37" t="str">
        <x:v>미착수</x:v>
      </x:c>
      <x:c r="H85" s="40" t="str">
        <x:v>미정</x:v>
      </x:c>
      <x:c r="I85" s="37"/>
      <x:c r="J85" s="37" t="str">
        <x:v>부문 간</x:v>
      </x:c>
    </x:row>
    <x:row r="86" ht="42" customHeight="1">
      <x:c r="A86" s="37" t="str">
        <x:v>DEP-0085</x:v>
      </x:c>
      <x:c r="B86" s="37" t="str">
        <x:v>UIX-007</x:v>
      </x:c>
      <x:c r="C86" s="37" t="str">
        <x:v>ONL-009</x:v>
      </x:c>
      <x:c r="D86" s="37" t="str">
        <x:v>인터페이스·협업</x:v>
      </x:c>
      <x:c r="E86" s="37" t="str">
        <x:v>UI·UX 팀</x:v>
      </x:c>
      <x:c r="F86" s="37" t="str">
        <x:v>미정</x:v>
      </x:c>
      <x:c r="G86" s="37" t="str">
        <x:v>미착수</x:v>
      </x:c>
      <x:c r="H86" s="40" t="str">
        <x:v>미정</x:v>
      </x:c>
      <x:c r="I86" s="37"/>
      <x:c r="J86" s="37" t="str">
        <x:v>부문 간</x:v>
      </x:c>
    </x:row>
    <x:row r="87" ht="42" customHeight="1">
      <x:c r="A87" s="37" t="str">
        <x:v>DEP-0086</x:v>
      </x:c>
      <x:c r="B87" s="37" t="str">
        <x:v>UIX-008</x:v>
      </x:c>
      <x:c r="C87" s="37" t="str">
        <x:v>ONL-010</x:v>
      </x:c>
      <x:c r="D87" s="37" t="str">
        <x:v>인터페이스·협업</x:v>
      </x:c>
      <x:c r="E87" s="37" t="str">
        <x:v>UI·UX 팀</x:v>
      </x:c>
      <x:c r="F87" s="37" t="str">
        <x:v>미정</x:v>
      </x:c>
      <x:c r="G87" s="37" t="str">
        <x:v>미착수</x:v>
      </x:c>
      <x:c r="H87" s="40" t="str">
        <x:v>미정</x:v>
      </x:c>
      <x:c r="I87" s="37"/>
      <x:c r="J87" s="37" t="str">
        <x:v>부문 간</x:v>
      </x:c>
    </x:row>
    <x:row r="88" ht="42" customHeight="1">
      <x:c r="A88" s="37" t="str">
        <x:v>DEP-0087</x:v>
      </x:c>
      <x:c r="B88" s="37" t="str">
        <x:v>UIX-008</x:v>
      </x:c>
      <x:c r="C88" s="37" t="str">
        <x:v>ONL-011</x:v>
      </x:c>
      <x:c r="D88" s="37" t="str">
        <x:v>인터페이스·협업</x:v>
      </x:c>
      <x:c r="E88" s="37" t="str">
        <x:v>UI·UX 팀</x:v>
      </x:c>
      <x:c r="F88" s="37" t="str">
        <x:v>미정</x:v>
      </x:c>
      <x:c r="G88" s="37" t="str">
        <x:v>미착수</x:v>
      </x:c>
      <x:c r="H88" s="40" t="str">
        <x:v>미정</x:v>
      </x:c>
      <x:c r="I88" s="37"/>
      <x:c r="J88" s="37" t="str">
        <x:v>부문 간</x:v>
      </x:c>
    </x:row>
    <x:row r="89" ht="42" customHeight="1">
      <x:c r="A89" s="37" t="str">
        <x:v>DEP-0088</x:v>
      </x:c>
      <x:c r="B89" s="37" t="str">
        <x:v>UIX-009</x:v>
      </x:c>
      <x:c r="C89" s="37" t="str">
        <x:v>IGM-002</x:v>
      </x:c>
      <x:c r="D89" s="37" t="str">
        <x:v>인터페이스·협업</x:v>
      </x:c>
      <x:c r="E89" s="37" t="str">
        <x:v>UI·UX 팀</x:v>
      </x:c>
      <x:c r="F89" s="37" t="str">
        <x:v>미정</x:v>
      </x:c>
      <x:c r="G89" s="37" t="str">
        <x:v>미착수</x:v>
      </x:c>
      <x:c r="H89" s="40" t="str">
        <x:v>미정</x:v>
      </x:c>
      <x:c r="I89" s="37"/>
      <x:c r="J89" s="37" t="str">
        <x:v>부문 간</x:v>
      </x:c>
    </x:row>
    <x:row r="90" ht="42" customHeight="1">
      <x:c r="A90" s="37" t="str">
        <x:v>DEP-0089</x:v>
      </x:c>
      <x:c r="B90" s="37" t="str">
        <x:v>UIX-009</x:v>
      </x:c>
      <x:c r="C90" s="37" t="str">
        <x:v>NET-018</x:v>
      </x:c>
      <x:c r="D90" s="37" t="str">
        <x:v>인터페이스·협업</x:v>
      </x:c>
      <x:c r="E90" s="37" t="str">
        <x:v>UI·UX 팀</x:v>
      </x:c>
      <x:c r="F90" s="37" t="str">
        <x:v>미정</x:v>
      </x:c>
      <x:c r="G90" s="37" t="str">
        <x:v>미착수</x:v>
      </x:c>
      <x:c r="H90" s="40" t="str">
        <x:v>미정</x:v>
      </x:c>
      <x:c r="I90" s="37"/>
      <x:c r="J90" s="37" t="str">
        <x:v>부문 간</x:v>
      </x:c>
    </x:row>
    <x:row r="91" ht="42" customHeight="1">
      <x:c r="A91" s="37" t="str">
        <x:v>DEP-0090</x:v>
      </x:c>
      <x:c r="B91" s="37" t="str">
        <x:v>UIX-010</x:v>
      </x:c>
      <x:c r="C91" s="37" t="str">
        <x:v>IGM-001</x:v>
      </x:c>
      <x:c r="D91" s="37" t="str">
        <x:v>인터페이스·협업</x:v>
      </x:c>
      <x:c r="E91" s="37" t="str">
        <x:v>UI·UX 팀</x:v>
      </x:c>
      <x:c r="F91" s="37" t="str">
        <x:v>미정</x:v>
      </x:c>
      <x:c r="G91" s="37" t="str">
        <x:v>미착수</x:v>
      </x:c>
      <x:c r="H91" s="40" t="str">
        <x:v>미정</x:v>
      </x:c>
      <x:c r="I91" s="37"/>
      <x:c r="J91" s="37" t="str">
        <x:v>부문 간</x:v>
      </x:c>
    </x:row>
    <x:row r="92" ht="42" customHeight="1">
      <x:c r="A92" s="37" t="str">
        <x:v>DEP-0091</x:v>
      </x:c>
      <x:c r="B92" s="37" t="str">
        <x:v>UIX-010</x:v>
      </x:c>
      <x:c r="C92" s="37" t="str">
        <x:v>NET-008</x:v>
      </x:c>
      <x:c r="D92" s="37" t="str">
        <x:v>인터페이스·협업</x:v>
      </x:c>
      <x:c r="E92" s="37" t="str">
        <x:v>UI·UX 팀</x:v>
      </x:c>
      <x:c r="F92" s="37" t="str">
        <x:v>미정</x:v>
      </x:c>
      <x:c r="G92" s="37" t="str">
        <x:v>미착수</x:v>
      </x:c>
      <x:c r="H92" s="40" t="str">
        <x:v>미정</x:v>
      </x:c>
      <x:c r="I92" s="37"/>
      <x:c r="J92" s="37" t="str">
        <x:v>부문 간</x:v>
      </x:c>
    </x:row>
    <x:row r="93" ht="42" customHeight="1">
      <x:c r="A93" s="37" t="str">
        <x:v>DEP-0092</x:v>
      </x:c>
      <x:c r="B93" s="37" t="str">
        <x:v>UIX-011</x:v>
      </x:c>
      <x:c r="C93" s="37" t="str">
        <x:v>IGM-009</x:v>
      </x:c>
      <x:c r="D93" s="37" t="str">
        <x:v>인터페이스·협업</x:v>
      </x:c>
      <x:c r="E93" s="37" t="str">
        <x:v>UI·UX 팀</x:v>
      </x:c>
      <x:c r="F93" s="37" t="str">
        <x:v>미정</x:v>
      </x:c>
      <x:c r="G93" s="37" t="str">
        <x:v>미착수</x:v>
      </x:c>
      <x:c r="H93" s="40" t="str">
        <x:v>미정</x:v>
      </x:c>
      <x:c r="I93" s="37"/>
      <x:c r="J93" s="37" t="str">
        <x:v>부문 간</x:v>
      </x:c>
    </x:row>
    <x:row r="94" ht="42" customHeight="1">
      <x:c r="A94" s="37" t="str">
        <x:v>DEP-0093</x:v>
      </x:c>
      <x:c r="B94" s="37" t="str">
        <x:v>UIX-011</x:v>
      </x:c>
      <x:c r="C94" s="37" t="str">
        <x:v>IGM-015</x:v>
      </x:c>
      <x:c r="D94" s="37" t="str">
        <x:v>인터페이스·협업</x:v>
      </x:c>
      <x:c r="E94" s="37" t="str">
        <x:v>UI·UX 팀</x:v>
      </x:c>
      <x:c r="F94" s="37" t="str">
        <x:v>미정</x:v>
      </x:c>
      <x:c r="G94" s="37" t="str">
        <x:v>미착수</x:v>
      </x:c>
      <x:c r="H94" s="40" t="str">
        <x:v>미정</x:v>
      </x:c>
      <x:c r="I94" s="37"/>
      <x:c r="J94" s="37" t="str">
        <x:v>부문 간</x:v>
      </x:c>
    </x:row>
    <x:row r="95" ht="42" customHeight="1">
      <x:c r="A95" s="37" t="str">
        <x:v>DEP-0094</x:v>
      </x:c>
      <x:c r="B95" s="37" t="str">
        <x:v>UIX-011</x:v>
      </x:c>
      <x:c r="C95" s="37" t="str">
        <x:v>NET-018</x:v>
      </x:c>
      <x:c r="D95" s="37" t="str">
        <x:v>인터페이스·협업</x:v>
      </x:c>
      <x:c r="E95" s="37" t="str">
        <x:v>UI·UX 팀</x:v>
      </x:c>
      <x:c r="F95" s="37" t="str">
        <x:v>미정</x:v>
      </x:c>
      <x:c r="G95" s="37" t="str">
        <x:v>미착수</x:v>
      </x:c>
      <x:c r="H95" s="40" t="str">
        <x:v>미정</x:v>
      </x:c>
      <x:c r="I95" s="37"/>
      <x:c r="J95" s="37" t="str">
        <x:v>부문 간</x:v>
      </x:c>
    </x:row>
    <x:row r="96" ht="42" customHeight="1">
      <x:c r="A96" s="37" t="str">
        <x:v>DEP-0095</x:v>
      </x:c>
      <x:c r="B96" s="37" t="str">
        <x:v>UIX-012</x:v>
      </x:c>
      <x:c r="C96" s="37" t="str">
        <x:v>IGM-012</x:v>
      </x:c>
      <x:c r="D96" s="37" t="str">
        <x:v>인터페이스·협업</x:v>
      </x:c>
      <x:c r="E96" s="37" t="str">
        <x:v>UI·UX 팀</x:v>
      </x:c>
      <x:c r="F96" s="37" t="str">
        <x:v>미정</x:v>
      </x:c>
      <x:c r="G96" s="37" t="str">
        <x:v>미착수</x:v>
      </x:c>
      <x:c r="H96" s="40" t="str">
        <x:v>미정</x:v>
      </x:c>
      <x:c r="I96" s="37"/>
      <x:c r="J96" s="37" t="str">
        <x:v>부문 간</x:v>
      </x:c>
    </x:row>
    <x:row r="97" ht="42" customHeight="1">
      <x:c r="A97" s="37" t="str">
        <x:v>DEP-0096</x:v>
      </x:c>
      <x:c r="B97" s="37" t="str">
        <x:v>UIX-012</x:v>
      </x:c>
      <x:c r="C97" s="37" t="str">
        <x:v>SET-016</x:v>
      </x:c>
      <x:c r="D97" s="37" t="str">
        <x:v>인터페이스·협업</x:v>
      </x:c>
      <x:c r="E97" s="37" t="str">
        <x:v>UI·UX 팀</x:v>
      </x:c>
      <x:c r="F97" s="37" t="str">
        <x:v>미정</x:v>
      </x:c>
      <x:c r="G97" s="37" t="str">
        <x:v>미착수</x:v>
      </x:c>
      <x:c r="H97" s="40" t="str">
        <x:v>미정</x:v>
      </x:c>
      <x:c r="I97" s="37"/>
      <x:c r="J97" s="37" t="str">
        <x:v>부문 간</x:v>
      </x:c>
    </x:row>
    <x:row r="98" ht="42" customHeight="1">
      <x:c r="A98" s="37" t="str">
        <x:v>DEP-0097</x:v>
      </x:c>
      <x:c r="B98" s="37" t="str">
        <x:v>UIX-013</x:v>
      </x:c>
      <x:c r="C98" s="37" t="str">
        <x:v>IGM-014</x:v>
      </x:c>
      <x:c r="D98" s="37" t="str">
        <x:v>인터페이스·협업</x:v>
      </x:c>
      <x:c r="E98" s="37" t="str">
        <x:v>UI·UX 팀</x:v>
      </x:c>
      <x:c r="F98" s="37" t="str">
        <x:v>미정</x:v>
      </x:c>
      <x:c r="G98" s="37" t="str">
        <x:v>미착수</x:v>
      </x:c>
      <x:c r="H98" s="40" t="str">
        <x:v>미정</x:v>
      </x:c>
      <x:c r="I98" s="37"/>
      <x:c r="J98" s="37" t="str">
        <x:v>부문 간</x:v>
      </x:c>
    </x:row>
    <x:row r="99" ht="42" customHeight="1">
      <x:c r="A99" s="37" t="str">
        <x:v>DEP-0098</x:v>
      </x:c>
      <x:c r="B99" s="37" t="str">
        <x:v>UIX-013</x:v>
      </x:c>
      <x:c r="C99" s="37" t="str">
        <x:v>IGM-015</x:v>
      </x:c>
      <x:c r="D99" s="37" t="str">
        <x:v>인터페이스·협업</x:v>
      </x:c>
      <x:c r="E99" s="37" t="str">
        <x:v>UI·UX 팀</x:v>
      </x:c>
      <x:c r="F99" s="37" t="str">
        <x:v>미정</x:v>
      </x:c>
      <x:c r="G99" s="37" t="str">
        <x:v>미착수</x:v>
      </x:c>
      <x:c r="H99" s="40" t="str">
        <x:v>미정</x:v>
      </x:c>
      <x:c r="I99" s="37"/>
      <x:c r="J99" s="37" t="str">
        <x:v>부문 간</x:v>
      </x:c>
    </x:row>
    <x:row r="100" ht="42" customHeight="1">
      <x:c r="A100" s="37" t="str">
        <x:v>DEP-0099</x:v>
      </x:c>
      <x:c r="B100" s="37" t="str">
        <x:v>UIX-014</x:v>
      </x:c>
      <x:c r="C100" s="37" t="str">
        <x:v>IGM-020</x:v>
      </x:c>
      <x:c r="D100" s="37" t="str">
        <x:v>인터페이스·협업</x:v>
      </x:c>
      <x:c r="E100" s="37" t="str">
        <x:v>UI·UX 팀</x:v>
      </x:c>
      <x:c r="F100" s="37" t="str">
        <x:v>미정</x:v>
      </x:c>
      <x:c r="G100" s="37" t="str">
        <x:v>미착수</x:v>
      </x:c>
      <x:c r="H100" s="40" t="str">
        <x:v>미정</x:v>
      </x:c>
      <x:c r="I100" s="37"/>
      <x:c r="J100" s="37" t="str">
        <x:v>부문 간</x:v>
      </x:c>
    </x:row>
    <x:row r="101" ht="42" customHeight="1">
      <x:c r="A101" s="37" t="str">
        <x:v>DEP-0100</x:v>
      </x:c>
      <x:c r="B101" s="37" t="str">
        <x:v>UIX-014</x:v>
      </x:c>
      <x:c r="C101" s="37" t="str">
        <x:v>IGM-021</x:v>
      </x:c>
      <x:c r="D101" s="37" t="str">
        <x:v>인터페이스·협업</x:v>
      </x:c>
      <x:c r="E101" s="37" t="str">
        <x:v>UI·UX 팀</x:v>
      </x:c>
      <x:c r="F101" s="37" t="str">
        <x:v>미정</x:v>
      </x:c>
      <x:c r="G101" s="37" t="str">
        <x:v>미착수</x:v>
      </x:c>
      <x:c r="H101" s="40" t="str">
        <x:v>미정</x:v>
      </x:c>
      <x:c r="I101" s="37"/>
      <x:c r="J101" s="37" t="str">
        <x:v>부문 간</x:v>
      </x:c>
    </x:row>
    <x:row r="102" ht="42" customHeight="1">
      <x:c r="A102" s="37" t="str">
        <x:v>DEP-0101</x:v>
      </x:c>
      <x:c r="B102" s="37" t="str">
        <x:v>UIX-014</x:v>
      </x:c>
      <x:c r="C102" s="37" t="str">
        <x:v>CHR-012</x:v>
      </x:c>
      <x:c r="D102" s="37" t="str">
        <x:v>인터페이스·협업</x:v>
      </x:c>
      <x:c r="E102" s="37" t="str">
        <x:v>UI·UX 팀</x:v>
      </x:c>
      <x:c r="F102" s="37" t="str">
        <x:v>미정</x:v>
      </x:c>
      <x:c r="G102" s="37" t="str">
        <x:v>미착수</x:v>
      </x:c>
      <x:c r="H102" s="40" t="str">
        <x:v>미정</x:v>
      </x:c>
      <x:c r="I102" s="37"/>
      <x:c r="J102" s="37" t="str">
        <x:v>부문 간</x:v>
      </x:c>
    </x:row>
    <x:row r="103" ht="42" customHeight="1">
      <x:c r="A103" s="37" t="str">
        <x:v>DEP-0102</x:v>
      </x:c>
      <x:c r="B103" s="37" t="str">
        <x:v>UIX-014</x:v>
      </x:c>
      <x:c r="C103" s="37" t="str">
        <x:v>SET-024</x:v>
      </x:c>
      <x:c r="D103" s="37" t="str">
        <x:v>인터페이스·협업</x:v>
      </x:c>
      <x:c r="E103" s="37" t="str">
        <x:v>UI·UX 팀</x:v>
      </x:c>
      <x:c r="F103" s="37" t="str">
        <x:v>미정</x:v>
      </x:c>
      <x:c r="G103" s="37" t="str">
        <x:v>미착수</x:v>
      </x:c>
      <x:c r="H103" s="40" t="str">
        <x:v>미정</x:v>
      </x:c>
      <x:c r="I103" s="37"/>
      <x:c r="J103" s="37" t="str">
        <x:v>부문 간</x:v>
      </x:c>
    </x:row>
    <x:row r="104" ht="42" customHeight="1">
      <x:c r="A104" s="37" t="str">
        <x:v>DEP-0103</x:v>
      </x:c>
      <x:c r="B104" s="37" t="str">
        <x:v>UIX-015</x:v>
      </x:c>
      <x:c r="C104" s="37" t="str">
        <x:v>IGM-016</x:v>
      </x:c>
      <x:c r="D104" s="37" t="str">
        <x:v>인터페이스·협업</x:v>
      </x:c>
      <x:c r="E104" s="37" t="str">
        <x:v>UI·UX 팀</x:v>
      </x:c>
      <x:c r="F104" s="37" t="str">
        <x:v>미정</x:v>
      </x:c>
      <x:c r="G104" s="37" t="str">
        <x:v>미착수</x:v>
      </x:c>
      <x:c r="H104" s="40" t="str">
        <x:v>미정</x:v>
      </x:c>
      <x:c r="I104" s="37"/>
      <x:c r="J104" s="37" t="str">
        <x:v>부문 간</x:v>
      </x:c>
    </x:row>
    <x:row r="105" ht="42" customHeight="1">
      <x:c r="A105" s="37" t="str">
        <x:v>DEP-0104</x:v>
      </x:c>
      <x:c r="B105" s="37" t="str">
        <x:v>UIX-015</x:v>
      </x:c>
      <x:c r="C105" s="37" t="str">
        <x:v>CNT-020</x:v>
      </x:c>
      <x:c r="D105" s="37" t="str">
        <x:v>인터페이스·협업</x:v>
      </x:c>
      <x:c r="E105" s="37" t="str">
        <x:v>UI·UX 팀</x:v>
      </x:c>
      <x:c r="F105" s="37" t="str">
        <x:v>미정</x:v>
      </x:c>
      <x:c r="G105" s="37" t="str">
        <x:v>미착수</x:v>
      </x:c>
      <x:c r="H105" s="40" t="str">
        <x:v>미정</x:v>
      </x:c>
      <x:c r="I105" s="37"/>
      <x:c r="J105" s="37" t="str">
        <x:v>부문 간</x:v>
      </x:c>
    </x:row>
    <x:row r="106" ht="42" customHeight="1">
      <x:c r="A106" s="37" t="str">
        <x:v>DEP-0105</x:v>
      </x:c>
      <x:c r="B106" s="37" t="str">
        <x:v>UIX-015</x:v>
      </x:c>
      <x:c r="C106" s="37" t="str">
        <x:v>SET-006</x:v>
      </x:c>
      <x:c r="D106" s="37" t="str">
        <x:v>인터페이스·협업</x:v>
      </x:c>
      <x:c r="E106" s="37" t="str">
        <x:v>UI·UX 팀</x:v>
      </x:c>
      <x:c r="F106" s="37" t="str">
        <x:v>미정</x:v>
      </x:c>
      <x:c r="G106" s="37" t="str">
        <x:v>미착수</x:v>
      </x:c>
      <x:c r="H106" s="40" t="str">
        <x:v>미정</x:v>
      </x:c>
      <x:c r="I106" s="37"/>
      <x:c r="J106" s="37" t="str">
        <x:v>부문 간</x:v>
      </x:c>
    </x:row>
    <x:row r="107" ht="42" customHeight="1">
      <x:c r="A107" s="37" t="str">
        <x:v>DEP-0106</x:v>
      </x:c>
      <x:c r="B107" s="37" t="str">
        <x:v>UIX-016</x:v>
      </x:c>
      <x:c r="C107" s="37" t="str">
        <x:v>IGM-017</x:v>
      </x:c>
      <x:c r="D107" s="37" t="str">
        <x:v>인터페이스·협업</x:v>
      </x:c>
      <x:c r="E107" s="37" t="str">
        <x:v>UI·UX 팀</x:v>
      </x:c>
      <x:c r="F107" s="37" t="str">
        <x:v>미정</x:v>
      </x:c>
      <x:c r="G107" s="37" t="str">
        <x:v>미착수</x:v>
      </x:c>
      <x:c r="H107" s="40" t="str">
        <x:v>미정</x:v>
      </x:c>
      <x:c r="I107" s="37"/>
      <x:c r="J107" s="37" t="str">
        <x:v>부문 간</x:v>
      </x:c>
    </x:row>
    <x:row r="108" ht="42" customHeight="1">
      <x:c r="A108" s="37" t="str">
        <x:v>DEP-0107</x:v>
      </x:c>
      <x:c r="B108" s="37" t="str">
        <x:v>UIX-016</x:v>
      </x:c>
      <x:c r="C108" s="37" t="str">
        <x:v>IGM-018</x:v>
      </x:c>
      <x:c r="D108" s="37" t="str">
        <x:v>인터페이스·협업</x:v>
      </x:c>
      <x:c r="E108" s="37" t="str">
        <x:v>UI·UX 팀</x:v>
      </x:c>
      <x:c r="F108" s="37" t="str">
        <x:v>미정</x:v>
      </x:c>
      <x:c r="G108" s="37" t="str">
        <x:v>미착수</x:v>
      </x:c>
      <x:c r="H108" s="40" t="str">
        <x:v>미정</x:v>
      </x:c>
      <x:c r="I108" s="37"/>
      <x:c r="J108" s="37" t="str">
        <x:v>부문 간</x:v>
      </x:c>
    </x:row>
    <x:row r="109" ht="42" customHeight="1">
      <x:c r="A109" s="37" t="str">
        <x:v>DEP-0108</x:v>
      </x:c>
      <x:c r="B109" s="37" t="str">
        <x:v>UIX-017</x:v>
      </x:c>
      <x:c r="C109" s="37" t="str">
        <x:v>CNT-020</x:v>
      </x:c>
      <x:c r="D109" s="37" t="str">
        <x:v>인터페이스·협업</x:v>
      </x:c>
      <x:c r="E109" s="37" t="str">
        <x:v>UI·UX 팀</x:v>
      </x:c>
      <x:c r="F109" s="37" t="str">
        <x:v>미정</x:v>
      </x:c>
      <x:c r="G109" s="37" t="str">
        <x:v>미착수</x:v>
      </x:c>
      <x:c r="H109" s="40" t="str">
        <x:v>미정</x:v>
      </x:c>
      <x:c r="I109" s="37"/>
      <x:c r="J109" s="37" t="str">
        <x:v>부문 간</x:v>
      </x:c>
    </x:row>
    <x:row r="110" ht="42" customHeight="1">
      <x:c r="A110" s="37" t="str">
        <x:v>DEP-0109</x:v>
      </x:c>
      <x:c r="B110" s="37" t="str">
        <x:v>UIX-017</x:v>
      </x:c>
      <x:c r="C110" s="37" t="str">
        <x:v>CNT-021</x:v>
      </x:c>
      <x:c r="D110" s="37" t="str">
        <x:v>인터페이스·협업</x:v>
      </x:c>
      <x:c r="E110" s="37" t="str">
        <x:v>UI·UX 팀</x:v>
      </x:c>
      <x:c r="F110" s="37" t="str">
        <x:v>미정</x:v>
      </x:c>
      <x:c r="G110" s="37" t="str">
        <x:v>미착수</x:v>
      </x:c>
      <x:c r="H110" s="40" t="str">
        <x:v>미정</x:v>
      </x:c>
      <x:c r="I110" s="37"/>
      <x:c r="J110" s="37" t="str">
        <x:v>부문 간</x:v>
      </x:c>
    </x:row>
    <x:row r="111" ht="42" customHeight="1">
      <x:c r="A111" s="37" t="str">
        <x:v>DEP-0110</x:v>
      </x:c>
      <x:c r="B111" s="37" t="str">
        <x:v>UIX-018</x:v>
      </x:c>
      <x:c r="C111" s="37" t="str">
        <x:v>IGM-008</x:v>
      </x:c>
      <x:c r="D111" s="37" t="str">
        <x:v>인터페이스·협업</x:v>
      </x:c>
      <x:c r="E111" s="37" t="str">
        <x:v>UI·UX 팀</x:v>
      </x:c>
      <x:c r="F111" s="37" t="str">
        <x:v>미정</x:v>
      </x:c>
      <x:c r="G111" s="37" t="str">
        <x:v>미착수</x:v>
      </x:c>
      <x:c r="H111" s="40" t="str">
        <x:v>미정</x:v>
      </x:c>
      <x:c r="I111" s="37"/>
      <x:c r="J111" s="37" t="str">
        <x:v>부문 간</x:v>
      </x:c>
    </x:row>
    <x:row r="112" ht="42" customHeight="1">
      <x:c r="A112" s="37" t="str">
        <x:v>DEP-0111</x:v>
      </x:c>
      <x:c r="B112" s="37" t="str">
        <x:v>UIX-018</x:v>
      </x:c>
      <x:c r="C112" s="37" t="str">
        <x:v>AUD-006</x:v>
      </x:c>
      <x:c r="D112" s="37" t="str">
        <x:v>인터페이스·협업</x:v>
      </x:c>
      <x:c r="E112" s="37" t="str">
        <x:v>UI·UX 팀</x:v>
      </x:c>
      <x:c r="F112" s="37" t="str">
        <x:v>미정</x:v>
      </x:c>
      <x:c r="G112" s="37" t="str">
        <x:v>미착수</x:v>
      </x:c>
      <x:c r="H112" s="40" t="str">
        <x:v>미정</x:v>
      </x:c>
      <x:c r="I112" s="37"/>
      <x:c r="J112" s="37" t="str">
        <x:v>부문 간</x:v>
      </x:c>
    </x:row>
    <x:row r="113" ht="42" customHeight="1">
      <x:c r="A113" s="37" t="str">
        <x:v>DEP-0112</x:v>
      </x:c>
      <x:c r="B113" s="37" t="str">
        <x:v>UIX-019</x:v>
      </x:c>
      <x:c r="C113" s="37" t="str">
        <x:v>IGM-023</x:v>
      </x:c>
      <x:c r="D113" s="37" t="str">
        <x:v>인터페이스·협업</x:v>
      </x:c>
      <x:c r="E113" s="37" t="str">
        <x:v>UI·UX 팀</x:v>
      </x:c>
      <x:c r="F113" s="37" t="str">
        <x:v>미정</x:v>
      </x:c>
      <x:c r="G113" s="37" t="str">
        <x:v>미착수</x:v>
      </x:c>
      <x:c r="H113" s="40" t="str">
        <x:v>미정</x:v>
      </x:c>
      <x:c r="I113" s="37"/>
      <x:c r="J113" s="37" t="str">
        <x:v>부문 간</x:v>
      </x:c>
    </x:row>
    <x:row r="114" ht="42" customHeight="1">
      <x:c r="A114" s="37" t="str">
        <x:v>DEP-0113</x:v>
      </x:c>
      <x:c r="B114" s="37" t="str">
        <x:v>UIX-019</x:v>
      </x:c>
      <x:c r="C114" s="37" t="str">
        <x:v>NET-016</x:v>
      </x:c>
      <x:c r="D114" s="37" t="str">
        <x:v>인터페이스·협업</x:v>
      </x:c>
      <x:c r="E114" s="37" t="str">
        <x:v>UI·UX 팀</x:v>
      </x:c>
      <x:c r="F114" s="37" t="str">
        <x:v>미정</x:v>
      </x:c>
      <x:c r="G114" s="37" t="str">
        <x:v>미착수</x:v>
      </x:c>
      <x:c r="H114" s="40" t="str">
        <x:v>미정</x:v>
      </x:c>
      <x:c r="I114" s="37"/>
      <x:c r="J114" s="37" t="str">
        <x:v>부문 간</x:v>
      </x:c>
    </x:row>
    <x:row r="115" ht="42" customHeight="1">
      <x:c r="A115" s="37" t="str">
        <x:v>DEP-0114</x:v>
      </x:c>
      <x:c r="B115" s="37" t="str">
        <x:v>UIX-020</x:v>
      </x:c>
      <x:c r="C115" s="37" t="str">
        <x:v>IGM-024</x:v>
      </x:c>
      <x:c r="D115" s="37" t="str">
        <x:v>인터페이스·협업</x:v>
      </x:c>
      <x:c r="E115" s="37" t="str">
        <x:v>UI·UX 팀</x:v>
      </x:c>
      <x:c r="F115" s="37" t="str">
        <x:v>미정</x:v>
      </x:c>
      <x:c r="G115" s="37" t="str">
        <x:v>미착수</x:v>
      </x:c>
      <x:c r="H115" s="40" t="str">
        <x:v>미정</x:v>
      </x:c>
      <x:c r="I115" s="37"/>
      <x:c r="J115" s="37" t="str">
        <x:v>부문 간</x:v>
      </x:c>
    </x:row>
    <x:row r="116" ht="42" customHeight="1">
      <x:c r="A116" s="37" t="str">
        <x:v>DEP-0115</x:v>
      </x:c>
      <x:c r="B116" s="37" t="str">
        <x:v>UIX-020</x:v>
      </x:c>
      <x:c r="C116" s="37" t="str">
        <x:v>IGM-025</x:v>
      </x:c>
      <x:c r="D116" s="37" t="str">
        <x:v>인터페이스·협업</x:v>
      </x:c>
      <x:c r="E116" s="37" t="str">
        <x:v>UI·UX 팀</x:v>
      </x:c>
      <x:c r="F116" s="37" t="str">
        <x:v>미정</x:v>
      </x:c>
      <x:c r="G116" s="37" t="str">
        <x:v>미착수</x:v>
      </x:c>
      <x:c r="H116" s="40" t="str">
        <x:v>미정</x:v>
      </x:c>
      <x:c r="I116" s="37"/>
      <x:c r="J116" s="37" t="str">
        <x:v>부문 간</x:v>
      </x:c>
    </x:row>
    <x:row r="117" ht="42" customHeight="1">
      <x:c r="A117" s="37" t="str">
        <x:v>DEP-0116</x:v>
      </x:c>
      <x:c r="B117" s="37" t="str">
        <x:v>UIX-021</x:v>
      </x:c>
      <x:c r="C117" s="37" t="str">
        <x:v>IGM-029</x:v>
      </x:c>
      <x:c r="D117" s="37" t="str">
        <x:v>인터페이스·협업</x:v>
      </x:c>
      <x:c r="E117" s="37" t="str">
        <x:v>UI·UX 팀</x:v>
      </x:c>
      <x:c r="F117" s="37" t="str">
        <x:v>미정</x:v>
      </x:c>
      <x:c r="G117" s="37" t="str">
        <x:v>미착수</x:v>
      </x:c>
      <x:c r="H117" s="40" t="str">
        <x:v>미정</x:v>
      </x:c>
      <x:c r="I117" s="37"/>
      <x:c r="J117" s="37" t="str">
        <x:v>부문 간</x:v>
      </x:c>
    </x:row>
    <x:row r="118" ht="42" customHeight="1">
      <x:c r="A118" s="37" t="str">
        <x:v>DEP-0117</x:v>
      </x:c>
      <x:c r="B118" s="37" t="str">
        <x:v>UIX-021</x:v>
      </x:c>
      <x:c r="C118" s="37" t="str">
        <x:v>NET-018</x:v>
      </x:c>
      <x:c r="D118" s="37" t="str">
        <x:v>인터페이스·협업</x:v>
      </x:c>
      <x:c r="E118" s="37" t="str">
        <x:v>UI·UX 팀</x:v>
      </x:c>
      <x:c r="F118" s="37" t="str">
        <x:v>미정</x:v>
      </x:c>
      <x:c r="G118" s="37" t="str">
        <x:v>미착수</x:v>
      </x:c>
      <x:c r="H118" s="40" t="str">
        <x:v>미정</x:v>
      </x:c>
      <x:c r="I118" s="37"/>
      <x:c r="J118" s="37" t="str">
        <x:v>부문 간</x:v>
      </x:c>
    </x:row>
    <x:row r="119" ht="42" customHeight="1">
      <x:c r="A119" s="37" t="str">
        <x:v>DEP-0118</x:v>
      </x:c>
      <x:c r="B119" s="37" t="str">
        <x:v>UIX-022</x:v>
      </x:c>
      <x:c r="C119" s="37" t="str">
        <x:v>IGM-030</x:v>
      </x:c>
      <x:c r="D119" s="37" t="str">
        <x:v>인터페이스·협업</x:v>
      </x:c>
      <x:c r="E119" s="37" t="str">
        <x:v>UI·UX 팀</x:v>
      </x:c>
      <x:c r="F119" s="37" t="str">
        <x:v>미정</x:v>
      </x:c>
      <x:c r="G119" s="37" t="str">
        <x:v>미착수</x:v>
      </x:c>
      <x:c r="H119" s="40" t="str">
        <x:v>미정</x:v>
      </x:c>
      <x:c r="I119" s="37"/>
      <x:c r="J119" s="37" t="str">
        <x:v>부문 간</x:v>
      </x:c>
    </x:row>
    <x:row r="120" ht="42" customHeight="1">
      <x:c r="A120" s="37" t="str">
        <x:v>DEP-0119</x:v>
      </x:c>
      <x:c r="B120" s="37" t="str">
        <x:v>UIX-022</x:v>
      </x:c>
      <x:c r="C120" s="37" t="str">
        <x:v>AUD-008</x:v>
      </x:c>
      <x:c r="D120" s="37" t="str">
        <x:v>인터페이스·협업</x:v>
      </x:c>
      <x:c r="E120" s="37" t="str">
        <x:v>UI·UX 팀</x:v>
      </x:c>
      <x:c r="F120" s="37" t="str">
        <x:v>미정</x:v>
      </x:c>
      <x:c r="G120" s="37" t="str">
        <x:v>미착수</x:v>
      </x:c>
      <x:c r="H120" s="40" t="str">
        <x:v>미정</x:v>
      </x:c>
      <x:c r="I120" s="37"/>
      <x:c r="J120" s="37" t="str">
        <x:v>부문 간</x:v>
      </x:c>
    </x:row>
    <x:row r="121" ht="42" customHeight="1">
      <x:c r="A121" s="37" t="str">
        <x:v>DEP-0120</x:v>
      </x:c>
      <x:c r="B121" s="37" t="str">
        <x:v>UIX-023</x:v>
      </x:c>
      <x:c r="C121" s="37" t="str">
        <x:v>IGM-031</x:v>
      </x:c>
      <x:c r="D121" s="37" t="str">
        <x:v>인터페이스·협업</x:v>
      </x:c>
      <x:c r="E121" s="37" t="str">
        <x:v>UI·UX 팀</x:v>
      </x:c>
      <x:c r="F121" s="37" t="str">
        <x:v>미정</x:v>
      </x:c>
      <x:c r="G121" s="37" t="str">
        <x:v>미착수</x:v>
      </x:c>
      <x:c r="H121" s="40" t="str">
        <x:v>미정</x:v>
      </x:c>
      <x:c r="I121" s="37"/>
      <x:c r="J121" s="37" t="str">
        <x:v>부문 간</x:v>
      </x:c>
    </x:row>
    <x:row r="122" ht="42" customHeight="1">
      <x:c r="A122" s="37" t="str">
        <x:v>DEP-0121</x:v>
      </x:c>
      <x:c r="B122" s="37" t="str">
        <x:v>UIX-024</x:v>
      </x:c>
      <x:c r="C122" s="37" t="str">
        <x:v>IGM-026</x:v>
      </x:c>
      <x:c r="D122" s="37" t="str">
        <x:v>인터페이스·협업</x:v>
      </x:c>
      <x:c r="E122" s="37" t="str">
        <x:v>UI·UX 팀</x:v>
      </x:c>
      <x:c r="F122" s="37" t="str">
        <x:v>미정</x:v>
      </x:c>
      <x:c r="G122" s="37" t="str">
        <x:v>미착수</x:v>
      </x:c>
      <x:c r="H122" s="40" t="str">
        <x:v>미정</x:v>
      </x:c>
      <x:c r="I122" s="37"/>
      <x:c r="J122" s="37" t="str">
        <x:v>부문 간</x:v>
      </x:c>
    </x:row>
    <x:row r="123" ht="42" customHeight="1">
      <x:c r="A123" s="37" t="str">
        <x:v>DEP-0122</x:v>
      </x:c>
      <x:c r="B123" s="37" t="str">
        <x:v>UIX-024</x:v>
      </x:c>
      <x:c r="C123" s="37" t="str">
        <x:v>IGM-027</x:v>
      </x:c>
      <x:c r="D123" s="37" t="str">
        <x:v>인터페이스·협업</x:v>
      </x:c>
      <x:c r="E123" s="37" t="str">
        <x:v>UI·UX 팀</x:v>
      </x:c>
      <x:c r="F123" s="37" t="str">
        <x:v>미정</x:v>
      </x:c>
      <x:c r="G123" s="37" t="str">
        <x:v>미착수</x:v>
      </x:c>
      <x:c r="H123" s="40" t="str">
        <x:v>미정</x:v>
      </x:c>
      <x:c r="I123" s="37"/>
      <x:c r="J123" s="37" t="str">
        <x:v>부문 간</x:v>
      </x:c>
    </x:row>
    <x:row r="124" ht="42" customHeight="1">
      <x:c r="A124" s="37" t="str">
        <x:v>DEP-0123</x:v>
      </x:c>
      <x:c r="B124" s="37" t="str">
        <x:v>UIX-024</x:v>
      </x:c>
      <x:c r="C124" s="37" t="str">
        <x:v>IGM-031</x:v>
      </x:c>
      <x:c r="D124" s="37" t="str">
        <x:v>인터페이스·협업</x:v>
      </x:c>
      <x:c r="E124" s="37" t="str">
        <x:v>UI·UX 팀</x:v>
      </x:c>
      <x:c r="F124" s="37" t="str">
        <x:v>미정</x:v>
      </x:c>
      <x:c r="G124" s="37" t="str">
        <x:v>미착수</x:v>
      </x:c>
      <x:c r="H124" s="40" t="str">
        <x:v>미정</x:v>
      </x:c>
      <x:c r="I124" s="37"/>
      <x:c r="J124" s="37" t="str">
        <x:v>부문 간</x:v>
      </x:c>
    </x:row>
    <x:row r="125" ht="42" customHeight="1">
      <x:c r="A125" s="37" t="str">
        <x:v>DEP-0124</x:v>
      </x:c>
      <x:c r="B125" s="37" t="str">
        <x:v>UIX-024</x:v>
      </x:c>
      <x:c r="C125" s="37" t="str">
        <x:v>BED-006</x:v>
      </x:c>
      <x:c r="D125" s="37" t="str">
        <x:v>인터페이스·협업</x:v>
      </x:c>
      <x:c r="E125" s="37" t="str">
        <x:v>UI·UX 팀</x:v>
      </x:c>
      <x:c r="F125" s="37" t="str">
        <x:v>미정</x:v>
      </x:c>
      <x:c r="G125" s="37" t="str">
        <x:v>미착수</x:v>
      </x:c>
      <x:c r="H125" s="40" t="str">
        <x:v>미정</x:v>
      </x:c>
      <x:c r="I125" s="37"/>
      <x:c r="J125" s="37" t="str">
        <x:v>부문 간</x:v>
      </x:c>
    </x:row>
    <x:row r="126" ht="42" customHeight="1">
      <x:c r="A126" s="37" t="str">
        <x:v>DEP-0125</x:v>
      </x:c>
      <x:c r="B126" s="37" t="str">
        <x:v>UIX-025</x:v>
      </x:c>
      <x:c r="C126" s="37" t="str">
        <x:v>IGM-033</x:v>
      </x:c>
      <x:c r="D126" s="37" t="str">
        <x:v>인터페이스·협업</x:v>
      </x:c>
      <x:c r="E126" s="37" t="str">
        <x:v>UI·UX 팀</x:v>
      </x:c>
      <x:c r="F126" s="37" t="str">
        <x:v>미정</x:v>
      </x:c>
      <x:c r="G126" s="37" t="str">
        <x:v>미착수</x:v>
      </x:c>
      <x:c r="H126" s="40" t="str">
        <x:v>미정</x:v>
      </x:c>
      <x:c r="I126" s="37"/>
      <x:c r="J126" s="37" t="str">
        <x:v>부문 간</x:v>
      </x:c>
    </x:row>
    <x:row r="127" ht="42" customHeight="1">
      <x:c r="A127" s="37" t="str">
        <x:v>DEP-0126</x:v>
      </x:c>
      <x:c r="B127" s="37" t="str">
        <x:v>UIX-025</x:v>
      </x:c>
      <x:c r="C127" s="37" t="str">
        <x:v>ONL-017</x:v>
      </x:c>
      <x:c r="D127" s="37" t="str">
        <x:v>인터페이스·협업</x:v>
      </x:c>
      <x:c r="E127" s="37" t="str">
        <x:v>UI·UX 팀</x:v>
      </x:c>
      <x:c r="F127" s="37" t="str">
        <x:v>미정</x:v>
      </x:c>
      <x:c r="G127" s="37" t="str">
        <x:v>미착수</x:v>
      </x:c>
      <x:c r="H127" s="40" t="str">
        <x:v>미정</x:v>
      </x:c>
      <x:c r="I127" s="37"/>
      <x:c r="J127" s="37" t="str">
        <x:v>부문 간</x:v>
      </x:c>
    </x:row>
    <x:row r="128" ht="42" customHeight="1">
      <x:c r="A128" s="37" t="str">
        <x:v>DEP-0127</x:v>
      </x:c>
      <x:c r="B128" s="37" t="str">
        <x:v>UIX-025</x:v>
      </x:c>
      <x:c r="C128" s="37" t="str">
        <x:v>NET-019</x:v>
      </x:c>
      <x:c r="D128" s="37" t="str">
        <x:v>인터페이스·협업</x:v>
      </x:c>
      <x:c r="E128" s="37" t="str">
        <x:v>UI·UX 팀</x:v>
      </x:c>
      <x:c r="F128" s="37" t="str">
        <x:v>미정</x:v>
      </x:c>
      <x:c r="G128" s="37" t="str">
        <x:v>미착수</x:v>
      </x:c>
      <x:c r="H128" s="40" t="str">
        <x:v>미정</x:v>
      </x:c>
      <x:c r="I128" s="37"/>
      <x:c r="J128" s="37" t="str">
        <x:v>부문 간</x:v>
      </x:c>
    </x:row>
    <x:row r="129" ht="42" customHeight="1">
      <x:c r="A129" s="37" t="str">
        <x:v>DEP-0128</x:v>
      </x:c>
      <x:c r="B129" s="37" t="str">
        <x:v>UIX-026</x:v>
      </x:c>
      <x:c r="C129" s="37" t="str">
        <x:v>ONL-020</x:v>
      </x:c>
      <x:c r="D129" s="37" t="str">
        <x:v>인터페이스·협업</x:v>
      </x:c>
      <x:c r="E129" s="37" t="str">
        <x:v>UI·UX 팀</x:v>
      </x:c>
      <x:c r="F129" s="37" t="str">
        <x:v>미정</x:v>
      </x:c>
      <x:c r="G129" s="37" t="str">
        <x:v>미착수</x:v>
      </x:c>
      <x:c r="H129" s="40" t="str">
        <x:v>미정</x:v>
      </x:c>
      <x:c r="I129" s="37"/>
      <x:c r="J129" s="37" t="str">
        <x:v>부문 간</x:v>
      </x:c>
    </x:row>
    <x:row r="130" ht="42" customHeight="1">
      <x:c r="A130" s="37" t="str">
        <x:v>DEP-0129</x:v>
      </x:c>
      <x:c r="B130" s="37" t="str">
        <x:v>UIX-026</x:v>
      </x:c>
      <x:c r="C130" s="37" t="str">
        <x:v>NET-025</x:v>
      </x:c>
      <x:c r="D130" s="37" t="str">
        <x:v>인터페이스·협업</x:v>
      </x:c>
      <x:c r="E130" s="37" t="str">
        <x:v>UI·UX 팀</x:v>
      </x:c>
      <x:c r="F130" s="37" t="str">
        <x:v>미정</x:v>
      </x:c>
      <x:c r="G130" s="37" t="str">
        <x:v>미착수</x:v>
      </x:c>
      <x:c r="H130" s="40" t="str">
        <x:v>미정</x:v>
      </x:c>
      <x:c r="I130" s="37"/>
      <x:c r="J130" s="37" t="str">
        <x:v>부문 간</x:v>
      </x:c>
    </x:row>
    <x:row r="131" ht="42" customHeight="1">
      <x:c r="A131" s="37" t="str">
        <x:v>DEP-0130</x:v>
      </x:c>
      <x:c r="B131" s="37" t="str">
        <x:v>UIX-026</x:v>
      </x:c>
      <x:c r="C131" s="37" t="str">
        <x:v>BED-018</x:v>
      </x:c>
      <x:c r="D131" s="37" t="str">
        <x:v>인터페이스·협업</x:v>
      </x:c>
      <x:c r="E131" s="37" t="str">
        <x:v>UI·UX 팀</x:v>
      </x:c>
      <x:c r="F131" s="37" t="str">
        <x:v>미정</x:v>
      </x:c>
      <x:c r="G131" s="37" t="str">
        <x:v>미착수</x:v>
      </x:c>
      <x:c r="H131" s="40" t="str">
        <x:v>미정</x:v>
      </x:c>
      <x:c r="I131" s="37"/>
      <x:c r="J131" s="37" t="str">
        <x:v>부문 간</x:v>
      </x:c>
    </x:row>
    <x:row r="132" ht="42" customHeight="1">
      <x:c r="A132" s="37" t="str">
        <x:v>DEP-0131</x:v>
      </x:c>
      <x:c r="B132" s="37" t="str">
        <x:v>UIX-027</x:v>
      </x:c>
      <x:c r="C132" s="37" t="str">
        <x:v>IGM-012</x:v>
      </x:c>
      <x:c r="D132" s="37" t="str">
        <x:v>인터페이스·협업</x:v>
      </x:c>
      <x:c r="E132" s="37" t="str">
        <x:v>UI·UX 팀</x:v>
      </x:c>
      <x:c r="F132" s="37" t="str">
        <x:v>미정</x:v>
      </x:c>
      <x:c r="G132" s="37" t="str">
        <x:v>미착수</x:v>
      </x:c>
      <x:c r="H132" s="40" t="str">
        <x:v>미정</x:v>
      </x:c>
      <x:c r="I132" s="37"/>
      <x:c r="J132" s="37" t="str">
        <x:v>부문 간</x:v>
      </x:c>
    </x:row>
    <x:row r="133" ht="42" customHeight="1">
      <x:c r="A133" s="37" t="str">
        <x:v>DEP-0132</x:v>
      </x:c>
      <x:c r="B133" s="37" t="str">
        <x:v>UIX-027</x:v>
      </x:c>
      <x:c r="C133" s="37" t="str">
        <x:v>IGM-019</x:v>
      </x:c>
      <x:c r="D133" s="37" t="str">
        <x:v>인터페이스·협업</x:v>
      </x:c>
      <x:c r="E133" s="37" t="str">
        <x:v>UI·UX 팀</x:v>
      </x:c>
      <x:c r="F133" s="37" t="str">
        <x:v>미정</x:v>
      </x:c>
      <x:c r="G133" s="37" t="str">
        <x:v>미착수</x:v>
      </x:c>
      <x:c r="H133" s="40" t="str">
        <x:v>미정</x:v>
      </x:c>
      <x:c r="I133" s="37"/>
      <x:c r="J133" s="37" t="str">
        <x:v>부문 간</x:v>
      </x:c>
    </x:row>
    <x:row r="134" ht="42" customHeight="1">
      <x:c r="A134" s="37" t="str">
        <x:v>DEP-0133</x:v>
      </x:c>
      <x:c r="B134" s="37" t="str">
        <x:v>UIX-027</x:v>
      </x:c>
      <x:c r="C134" s="37" t="str">
        <x:v>IGM-023</x:v>
      </x:c>
      <x:c r="D134" s="37" t="str">
        <x:v>인터페이스·협업</x:v>
      </x:c>
      <x:c r="E134" s="37" t="str">
        <x:v>UI·UX 팀</x:v>
      </x:c>
      <x:c r="F134" s="37" t="str">
        <x:v>미정</x:v>
      </x:c>
      <x:c r="G134" s="37" t="str">
        <x:v>미착수</x:v>
      </x:c>
      <x:c r="H134" s="40" t="str">
        <x:v>미정</x:v>
      </x:c>
      <x:c r="I134" s="37"/>
      <x:c r="J134" s="37" t="str">
        <x:v>부문 간</x:v>
      </x:c>
    </x:row>
    <x:row r="135" ht="42" customHeight="1">
      <x:c r="A135" s="37" t="str">
        <x:v>DEP-0134</x:v>
      </x:c>
      <x:c r="B135" s="37" t="str">
        <x:v>UIX-027</x:v>
      </x:c>
      <x:c r="C135" s="37" t="str">
        <x:v>BED-003</x:v>
      </x:c>
      <x:c r="D135" s="37" t="str">
        <x:v>인터페이스·협업</x:v>
      </x:c>
      <x:c r="E135" s="37" t="str">
        <x:v>UI·UX 팀</x:v>
      </x:c>
      <x:c r="F135" s="37" t="str">
        <x:v>미정</x:v>
      </x:c>
      <x:c r="G135" s="37" t="str">
        <x:v>미착수</x:v>
      </x:c>
      <x:c r="H135" s="40" t="str">
        <x:v>미정</x:v>
      </x:c>
      <x:c r="I135" s="37"/>
      <x:c r="J135" s="37" t="str">
        <x:v>부문 간</x:v>
      </x:c>
    </x:row>
    <x:row r="136" ht="42" customHeight="1">
      <x:c r="A136" s="37" t="str">
        <x:v>DEP-0135</x:v>
      </x:c>
      <x:c r="B136" s="37" t="str">
        <x:v>UIX-028</x:v>
      </x:c>
      <x:c r="C136" s="37" t="str">
        <x:v>SET-024</x:v>
      </x:c>
      <x:c r="D136" s="37" t="str">
        <x:v>인터페이스·협업</x:v>
      </x:c>
      <x:c r="E136" s="37" t="str">
        <x:v>UI·UX 팀</x:v>
      </x:c>
      <x:c r="F136" s="37" t="str">
        <x:v>미정</x:v>
      </x:c>
      <x:c r="G136" s="37" t="str">
        <x:v>미착수</x:v>
      </x:c>
      <x:c r="H136" s="40" t="str">
        <x:v>미정</x:v>
      </x:c>
      <x:c r="I136" s="37"/>
      <x:c r="J136" s="37" t="str">
        <x:v>부문 간</x:v>
      </x:c>
    </x:row>
    <x:row r="137" ht="42" customHeight="1">
      <x:c r="A137" s="37" t="str">
        <x:v>DEP-0136</x:v>
      </x:c>
      <x:c r="B137" s="37" t="str">
        <x:v>UIX-028</x:v>
      </x:c>
      <x:c r="C137" s="37" t="str">
        <x:v>CHR-015</x:v>
      </x:c>
      <x:c r="D137" s="37" t="str">
        <x:v>인터페이스·협업</x:v>
      </x:c>
      <x:c r="E137" s="37" t="str">
        <x:v>UI·UX 팀</x:v>
      </x:c>
      <x:c r="F137" s="37" t="str">
        <x:v>미정</x:v>
      </x:c>
      <x:c r="G137" s="37" t="str">
        <x:v>미착수</x:v>
      </x:c>
      <x:c r="H137" s="40" t="str">
        <x:v>미정</x:v>
      </x:c>
      <x:c r="I137" s="37"/>
      <x:c r="J137" s="37" t="str">
        <x:v>부문 간</x:v>
      </x:c>
    </x:row>
    <x:row r="138" ht="42" customHeight="1">
      <x:c r="A138" s="37" t="str">
        <x:v>DEP-0137</x:v>
      </x:c>
      <x:c r="B138" s="37" t="str">
        <x:v>UIX-029</x:v>
      </x:c>
      <x:c r="C138" s="37" t="str">
        <x:v>SET-004</x:v>
      </x:c>
      <x:c r="D138" s="37" t="str">
        <x:v>인터페이스·협업</x:v>
      </x:c>
      <x:c r="E138" s="37" t="str">
        <x:v>UI·UX 팀</x:v>
      </x:c>
      <x:c r="F138" s="37" t="str">
        <x:v>미정</x:v>
      </x:c>
      <x:c r="G138" s="37" t="str">
        <x:v>미착수</x:v>
      </x:c>
      <x:c r="H138" s="40" t="str">
        <x:v>미정</x:v>
      </x:c>
      <x:c r="I138" s="37"/>
      <x:c r="J138" s="37" t="str">
        <x:v>부문 간</x:v>
      </x:c>
    </x:row>
    <x:row r="139" ht="42" customHeight="1">
      <x:c r="A139" s="37" t="str">
        <x:v>DEP-0138</x:v>
      </x:c>
      <x:c r="B139" s="37" t="str">
        <x:v>UIX-029</x:v>
      </x:c>
      <x:c r="C139" s="37" t="str">
        <x:v>SET-006</x:v>
      </x:c>
      <x:c r="D139" s="37" t="str">
        <x:v>인터페이스·협업</x:v>
      </x:c>
      <x:c r="E139" s="37" t="str">
        <x:v>UI·UX 팀</x:v>
      </x:c>
      <x:c r="F139" s="37" t="str">
        <x:v>미정</x:v>
      </x:c>
      <x:c r="G139" s="37" t="str">
        <x:v>미착수</x:v>
      </x:c>
      <x:c r="H139" s="40" t="str">
        <x:v>미정</x:v>
      </x:c>
      <x:c r="I139" s="37"/>
      <x:c r="J139" s="37" t="str">
        <x:v>부문 간</x:v>
      </x:c>
    </x:row>
    <x:row r="140" ht="42" customHeight="1">
      <x:c r="A140" s="37" t="str">
        <x:v>DEP-0139</x:v>
      </x:c>
      <x:c r="B140" s="37" t="str">
        <x:v>UIX-030</x:v>
      </x:c>
      <x:c r="C140" s="37" t="str">
        <x:v>IGM-034</x:v>
      </x:c>
      <x:c r="D140" s="37" t="str">
        <x:v>인터페이스·협업</x:v>
      </x:c>
      <x:c r="E140" s="37" t="str">
        <x:v>UI·UX 팀</x:v>
      </x:c>
      <x:c r="F140" s="37" t="str">
        <x:v>미정</x:v>
      </x:c>
      <x:c r="G140" s="37" t="str">
        <x:v>미착수</x:v>
      </x:c>
      <x:c r="H140" s="40" t="str">
        <x:v>미정</x:v>
      </x:c>
      <x:c r="I140" s="37"/>
      <x:c r="J140" s="37" t="str">
        <x:v>부문 간</x:v>
      </x:c>
    </x:row>
    <x:row r="141" ht="42" customHeight="1">
      <x:c r="A141" s="37" t="str">
        <x:v>DEP-0140</x:v>
      </x:c>
      <x:c r="B141" s="37" t="str">
        <x:v>UIX-030</x:v>
      </x:c>
      <x:c r="C141" s="37" t="str">
        <x:v>CNT-029</x:v>
      </x:c>
      <x:c r="D141" s="37" t="str">
        <x:v>인터페이스·협업</x:v>
      </x:c>
      <x:c r="E141" s="37" t="str">
        <x:v>UI·UX 팀</x:v>
      </x:c>
      <x:c r="F141" s="37" t="str">
        <x:v>미정</x:v>
      </x:c>
      <x:c r="G141" s="37" t="str">
        <x:v>미착수</x:v>
      </x:c>
      <x:c r="H141" s="40" t="str">
        <x:v>미정</x:v>
      </x:c>
      <x:c r="I141" s="37"/>
      <x:c r="J141" s="37" t="str">
        <x:v>부문 간</x:v>
      </x:c>
    </x:row>
    <x:row r="142" ht="42" customHeight="1">
      <x:c r="A142" s="37" t="str">
        <x:v>DEP-0141</x:v>
      </x:c>
      <x:c r="B142" s="37" t="str">
        <x:v>SET-002</x:v>
      </x:c>
      <x:c r="C142" s="37" t="str">
        <x:v>SET-001</x:v>
      </x:c>
      <x:c r="D142" s="37" t="str">
        <x:v>완료 후 시작</x:v>
      </x:c>
      <x:c r="E142" s="37" t="str">
        <x:v>UX·클라이언트 엔지니어링</x:v>
      </x:c>
      <x:c r="F142" s="37" t="str">
        <x:v>미정</x:v>
      </x:c>
      <x:c r="G142" s="37" t="str">
        <x:v>미착수</x:v>
      </x:c>
      <x:c r="H142" s="40" t="str">
        <x:v>미정</x:v>
      </x:c>
      <x:c r="I142" s="37"/>
      <x:c r="J142" s="37" t="str">
        <x:v>부문 내</x:v>
      </x:c>
    </x:row>
    <x:row r="143" ht="42" customHeight="1">
      <x:c r="A143" s="37" t="str">
        <x:v>DEP-0142</x:v>
      </x:c>
      <x:c r="B143" s="37" t="str">
        <x:v>SET-002</x:v>
      </x:c>
      <x:c r="C143" s="37" t="str">
        <x:v>BED-003</x:v>
      </x:c>
      <x:c r="D143" s="37" t="str">
        <x:v>인터페이스·협업</x:v>
      </x:c>
      <x:c r="E143" s="37" t="str">
        <x:v>UX·클라이언트 엔지니어링</x:v>
      </x:c>
      <x:c r="F143" s="37" t="str">
        <x:v>미정</x:v>
      </x:c>
      <x:c r="G143" s="37" t="str">
        <x:v>미착수</x:v>
      </x:c>
      <x:c r="H143" s="40" t="str">
        <x:v>미정</x:v>
      </x:c>
      <x:c r="I143" s="37"/>
      <x:c r="J143" s="37" t="str">
        <x:v>부문 간</x:v>
      </x:c>
    </x:row>
    <x:row r="144" ht="42" customHeight="1">
      <x:c r="A144" s="37" t="str">
        <x:v>DEP-0143</x:v>
      </x:c>
      <x:c r="B144" s="37" t="str">
        <x:v>SET-003</x:v>
      </x:c>
      <x:c r="C144" s="37" t="str">
        <x:v>SET-001</x:v>
      </x:c>
      <x:c r="D144" s="37" t="str">
        <x:v>완료 후 시작</x:v>
      </x:c>
      <x:c r="E144" s="37" t="str">
        <x:v>UX·클라이언트 엔지니어링</x:v>
      </x:c>
      <x:c r="F144" s="37" t="str">
        <x:v>미정</x:v>
      </x:c>
      <x:c r="G144" s="37" t="str">
        <x:v>미착수</x:v>
      </x:c>
      <x:c r="H144" s="40" t="str">
        <x:v>미정</x:v>
      </x:c>
      <x:c r="I144" s="37"/>
      <x:c r="J144" s="37" t="str">
        <x:v>부문 내</x:v>
      </x:c>
    </x:row>
    <x:row r="145" ht="42" customHeight="1">
      <x:c r="A145" s="37" t="str">
        <x:v>DEP-0144</x:v>
      </x:c>
      <x:c r="B145" s="37" t="str">
        <x:v>SET-004</x:v>
      </x:c>
      <x:c r="C145" s="37" t="str">
        <x:v>SET-001</x:v>
      </x:c>
      <x:c r="D145" s="37" t="str">
        <x:v>완료 후 시작</x:v>
      </x:c>
      <x:c r="E145" s="37" t="str">
        <x:v>UX·클라이언트 엔지니어링</x:v>
      </x:c>
      <x:c r="F145" s="37" t="str">
        <x:v>미정</x:v>
      </x:c>
      <x:c r="G145" s="37" t="str">
        <x:v>미착수</x:v>
      </x:c>
      <x:c r="H145" s="40" t="str">
        <x:v>미정</x:v>
      </x:c>
      <x:c r="I145" s="37"/>
      <x:c r="J145" s="37" t="str">
        <x:v>부문 내</x:v>
      </x:c>
    </x:row>
    <x:row r="146" ht="42" customHeight="1">
      <x:c r="A146" s="37" t="str">
        <x:v>DEP-0145</x:v>
      </x:c>
      <x:c r="B146" s="37" t="str">
        <x:v>SET-005</x:v>
      </x:c>
      <x:c r="C146" s="37" t="str">
        <x:v>SET-001</x:v>
      </x:c>
      <x:c r="D146" s="37" t="str">
        <x:v>완료 후 시작</x:v>
      </x:c>
      <x:c r="E146" s="37" t="str">
        <x:v>UX·클라이언트 엔지니어링</x:v>
      </x:c>
      <x:c r="F146" s="37" t="str">
        <x:v>미정</x:v>
      </x:c>
      <x:c r="G146" s="37" t="str">
        <x:v>미착수</x:v>
      </x:c>
      <x:c r="H146" s="40" t="str">
        <x:v>미정</x:v>
      </x:c>
      <x:c r="I146" s="37"/>
      <x:c r="J146" s="37" t="str">
        <x:v>부문 내</x:v>
      </x:c>
    </x:row>
    <x:row r="147" ht="42" customHeight="1">
      <x:c r="A147" s="37" t="str">
        <x:v>DEP-0146</x:v>
      </x:c>
      <x:c r="B147" s="37" t="str">
        <x:v>SET-005</x:v>
      </x:c>
      <x:c r="C147" s="37" t="str">
        <x:v>CHR-012</x:v>
      </x:c>
      <x:c r="D147" s="37" t="str">
        <x:v>인터페이스·협업</x:v>
      </x:c>
      <x:c r="E147" s="37" t="str">
        <x:v>UX·클라이언트 엔지니어링</x:v>
      </x:c>
      <x:c r="F147" s="37" t="str">
        <x:v>미정</x:v>
      </x:c>
      <x:c r="G147" s="37" t="str">
        <x:v>미착수</x:v>
      </x:c>
      <x:c r="H147" s="40" t="str">
        <x:v>미정</x:v>
      </x:c>
      <x:c r="I147" s="37"/>
      <x:c r="J147" s="37" t="str">
        <x:v>부문 간</x:v>
      </x:c>
    </x:row>
    <x:row r="148" ht="42" customHeight="1">
      <x:c r="A148" s="37" t="str">
        <x:v>DEP-0147</x:v>
      </x:c>
      <x:c r="B148" s="37" t="str">
        <x:v>SET-006</x:v>
      </x:c>
      <x:c r="C148" s="37" t="str">
        <x:v>SET-001</x:v>
      </x:c>
      <x:c r="D148" s="37" t="str">
        <x:v>완료 후 시작</x:v>
      </x:c>
      <x:c r="E148" s="37" t="str">
        <x:v>UX·클라이언트 엔지니어링</x:v>
      </x:c>
      <x:c r="F148" s="37" t="str">
        <x:v>미정</x:v>
      </x:c>
      <x:c r="G148" s="37" t="str">
        <x:v>미착수</x:v>
      </x:c>
      <x:c r="H148" s="40" t="str">
        <x:v>미정</x:v>
      </x:c>
      <x:c r="I148" s="37"/>
      <x:c r="J148" s="37" t="str">
        <x:v>부문 내</x:v>
      </x:c>
    </x:row>
    <x:row r="149" ht="42" customHeight="1">
      <x:c r="A149" s="37" t="str">
        <x:v>DEP-0148</x:v>
      </x:c>
      <x:c r="B149" s="37" t="str">
        <x:v>SET-007</x:v>
      </x:c>
      <x:c r="C149" s="37" t="str">
        <x:v>SET-001</x:v>
      </x:c>
      <x:c r="D149" s="37" t="str">
        <x:v>완료 후 시작</x:v>
      </x:c>
      <x:c r="E149" s="37" t="str">
        <x:v>UX·클라이언트 엔지니어링</x:v>
      </x:c>
      <x:c r="F149" s="37" t="str">
        <x:v>미정</x:v>
      </x:c>
      <x:c r="G149" s="37" t="str">
        <x:v>미착수</x:v>
      </x:c>
      <x:c r="H149" s="40" t="str">
        <x:v>미정</x:v>
      </x:c>
      <x:c r="I149" s="37"/>
      <x:c r="J149" s="37" t="str">
        <x:v>부문 내</x:v>
      </x:c>
    </x:row>
    <x:row r="150" ht="42" customHeight="1">
      <x:c r="A150" s="37" t="str">
        <x:v>DEP-0149</x:v>
      </x:c>
      <x:c r="B150" s="37" t="str">
        <x:v>SET-007</x:v>
      </x:c>
      <x:c r="C150" s="37" t="str">
        <x:v>AUD-001</x:v>
      </x:c>
      <x:c r="D150" s="37" t="str">
        <x:v>인터페이스·협업</x:v>
      </x:c>
      <x:c r="E150" s="37" t="str">
        <x:v>UX·클라이언트 엔지니어링</x:v>
      </x:c>
      <x:c r="F150" s="37" t="str">
        <x:v>미정</x:v>
      </x:c>
      <x:c r="G150" s="37" t="str">
        <x:v>미착수</x:v>
      </x:c>
      <x:c r="H150" s="40" t="str">
        <x:v>미정</x:v>
      </x:c>
      <x:c r="I150" s="37"/>
      <x:c r="J150" s="37" t="str">
        <x:v>부문 간</x:v>
      </x:c>
    </x:row>
    <x:row r="151" ht="42" customHeight="1">
      <x:c r="A151" s="37" t="str">
        <x:v>DEP-0150</x:v>
      </x:c>
      <x:c r="B151" s="37" t="str">
        <x:v>SET-008</x:v>
      </x:c>
      <x:c r="C151" s="37" t="str">
        <x:v>SET-001</x:v>
      </x:c>
      <x:c r="D151" s="37" t="str">
        <x:v>완료 후 시작</x:v>
      </x:c>
      <x:c r="E151" s="37" t="str">
        <x:v>UX·클라이언트 엔지니어링</x:v>
      </x:c>
      <x:c r="F151" s="37" t="str">
        <x:v>미정</x:v>
      </x:c>
      <x:c r="G151" s="37" t="str">
        <x:v>미착수</x:v>
      </x:c>
      <x:c r="H151" s="40" t="str">
        <x:v>미정</x:v>
      </x:c>
      <x:c r="I151" s="37"/>
      <x:c r="J151" s="37" t="str">
        <x:v>부문 내</x:v>
      </x:c>
    </x:row>
    <x:row r="152" ht="42" customHeight="1">
      <x:c r="A152" s="37" t="str">
        <x:v>DEP-0151</x:v>
      </x:c>
      <x:c r="B152" s="37" t="str">
        <x:v>SET-008</x:v>
      </x:c>
      <x:c r="C152" s="37" t="str">
        <x:v>AUD-002</x:v>
      </x:c>
      <x:c r="D152" s="37" t="str">
        <x:v>인터페이스·협업</x:v>
      </x:c>
      <x:c r="E152" s="37" t="str">
        <x:v>UX·클라이언트 엔지니어링</x:v>
      </x:c>
      <x:c r="F152" s="37" t="str">
        <x:v>미정</x:v>
      </x:c>
      <x:c r="G152" s="37" t="str">
        <x:v>미착수</x:v>
      </x:c>
      <x:c r="H152" s="40" t="str">
        <x:v>미정</x:v>
      </x:c>
      <x:c r="I152" s="37"/>
      <x:c r="J152" s="37" t="str">
        <x:v>부문 간</x:v>
      </x:c>
    </x:row>
    <x:row r="153" ht="42" customHeight="1">
      <x:c r="A153" s="37" t="str">
        <x:v>DEP-0152</x:v>
      </x:c>
      <x:c r="B153" s="37" t="str">
        <x:v>SET-008</x:v>
      </x:c>
      <x:c r="C153" s="37" t="str">
        <x:v>BED-012</x:v>
      </x:c>
      <x:c r="D153" s="37" t="str">
        <x:v>인터페이스·협업</x:v>
      </x:c>
      <x:c r="E153" s="37" t="str">
        <x:v>UX·클라이언트 엔지니어링</x:v>
      </x:c>
      <x:c r="F153" s="37" t="str">
        <x:v>미정</x:v>
      </x:c>
      <x:c r="G153" s="37" t="str">
        <x:v>미착수</x:v>
      </x:c>
      <x:c r="H153" s="40" t="str">
        <x:v>미정</x:v>
      </x:c>
      <x:c r="I153" s="37"/>
      <x:c r="J153" s="37" t="str">
        <x:v>부문 간</x:v>
      </x:c>
    </x:row>
    <x:row r="154" ht="42" customHeight="1">
      <x:c r="A154" s="37" t="str">
        <x:v>DEP-0153</x:v>
      </x:c>
      <x:c r="B154" s="37" t="str">
        <x:v>SET-009</x:v>
      </x:c>
      <x:c r="C154" s="37" t="str">
        <x:v>SET-001</x:v>
      </x:c>
      <x:c r="D154" s="37" t="str">
        <x:v>완료 후 시작</x:v>
      </x:c>
      <x:c r="E154" s="37" t="str">
        <x:v>UX·클라이언트 엔지니어링</x:v>
      </x:c>
      <x:c r="F154" s="37" t="str">
        <x:v>미정</x:v>
      </x:c>
      <x:c r="G154" s="37" t="str">
        <x:v>미착수</x:v>
      </x:c>
      <x:c r="H154" s="40" t="str">
        <x:v>미정</x:v>
      </x:c>
      <x:c r="I154" s="37"/>
      <x:c r="J154" s="37" t="str">
        <x:v>부문 내</x:v>
      </x:c>
    </x:row>
    <x:row r="155" ht="42" customHeight="1">
      <x:c r="A155" s="37" t="str">
        <x:v>DEP-0154</x:v>
      </x:c>
      <x:c r="B155" s="37" t="str">
        <x:v>SET-010</x:v>
      </x:c>
      <x:c r="C155" s="37" t="str">
        <x:v>SET-009</x:v>
      </x:c>
      <x:c r="D155" s="37" t="str">
        <x:v>완료 후 시작</x:v>
      </x:c>
      <x:c r="E155" s="37" t="str">
        <x:v>UX·클라이언트 엔지니어링</x:v>
      </x:c>
      <x:c r="F155" s="37" t="str">
        <x:v>미정</x:v>
      </x:c>
      <x:c r="G155" s="37" t="str">
        <x:v>미착수</x:v>
      </x:c>
      <x:c r="H155" s="40" t="str">
        <x:v>미정</x:v>
      </x:c>
      <x:c r="I155" s="37"/>
      <x:c r="J155" s="37" t="str">
        <x:v>부문 내</x:v>
      </x:c>
    </x:row>
    <x:row r="156" ht="42" customHeight="1">
      <x:c r="A156" s="37" t="str">
        <x:v>DEP-0155</x:v>
      </x:c>
      <x:c r="B156" s="37" t="str">
        <x:v>SET-010</x:v>
      </x:c>
      <x:c r="C156" s="37" t="str">
        <x:v>ONL-007</x:v>
      </x:c>
      <x:c r="D156" s="37" t="str">
        <x:v>인터페이스·협업</x:v>
      </x:c>
      <x:c r="E156" s="37" t="str">
        <x:v>UX·클라이언트 엔지니어링</x:v>
      </x:c>
      <x:c r="F156" s="37" t="str">
        <x:v>미정</x:v>
      </x:c>
      <x:c r="G156" s="37" t="str">
        <x:v>미착수</x:v>
      </x:c>
      <x:c r="H156" s="40" t="str">
        <x:v>미정</x:v>
      </x:c>
      <x:c r="I156" s="37"/>
      <x:c r="J156" s="37" t="str">
        <x:v>부문 간</x:v>
      </x:c>
    </x:row>
    <x:row r="157" ht="42" customHeight="1">
      <x:c r="A157" s="37" t="str">
        <x:v>DEP-0156</x:v>
      </x:c>
      <x:c r="B157" s="37" t="str">
        <x:v>SET-011</x:v>
      </x:c>
      <x:c r="C157" s="37" t="str">
        <x:v>SET-001</x:v>
      </x:c>
      <x:c r="D157" s="37" t="str">
        <x:v>완료 후 시작</x:v>
      </x:c>
      <x:c r="E157" s="37" t="str">
        <x:v>UX·클라이언트 엔지니어링</x:v>
      </x:c>
      <x:c r="F157" s="37" t="str">
        <x:v>미정</x:v>
      </x:c>
      <x:c r="G157" s="37" t="str">
        <x:v>미착수</x:v>
      </x:c>
      <x:c r="H157" s="40" t="str">
        <x:v>미정</x:v>
      </x:c>
      <x:c r="I157" s="37"/>
      <x:c r="J157" s="37" t="str">
        <x:v>부문 내</x:v>
      </x:c>
    </x:row>
    <x:row r="158" ht="42" customHeight="1">
      <x:c r="A158" s="37" t="str">
        <x:v>DEP-0157</x:v>
      </x:c>
      <x:c r="B158" s="37" t="str">
        <x:v>SET-011</x:v>
      </x:c>
      <x:c r="C158" s="37" t="str">
        <x:v>IGM-024</x:v>
      </x:c>
      <x:c r="D158" s="37" t="str">
        <x:v>인터페이스·협업</x:v>
      </x:c>
      <x:c r="E158" s="37" t="str">
        <x:v>UX·클라이언트 엔지니어링</x:v>
      </x:c>
      <x:c r="F158" s="37" t="str">
        <x:v>미정</x:v>
      </x:c>
      <x:c r="G158" s="37" t="str">
        <x:v>미착수</x:v>
      </x:c>
      <x:c r="H158" s="40" t="str">
        <x:v>미정</x:v>
      </x:c>
      <x:c r="I158" s="37"/>
      <x:c r="J158" s="37" t="str">
        <x:v>부문 간</x:v>
      </x:c>
    </x:row>
    <x:row r="159" ht="42" customHeight="1">
      <x:c r="A159" s="37" t="str">
        <x:v>DEP-0158</x:v>
      </x:c>
      <x:c r="B159" s="37" t="str">
        <x:v>SET-012</x:v>
      </x:c>
      <x:c r="C159" s="37" t="str">
        <x:v>SET-001</x:v>
      </x:c>
      <x:c r="D159" s="37" t="str">
        <x:v>완료 후 시작</x:v>
      </x:c>
      <x:c r="E159" s="37" t="str">
        <x:v>UX·클라이언트 엔지니어링</x:v>
      </x:c>
      <x:c r="F159" s="37" t="str">
        <x:v>미정</x:v>
      </x:c>
      <x:c r="G159" s="37" t="str">
        <x:v>미착수</x:v>
      </x:c>
      <x:c r="H159" s="40" t="str">
        <x:v>미정</x:v>
      </x:c>
      <x:c r="I159" s="37"/>
      <x:c r="J159" s="37" t="str">
        <x:v>부문 내</x:v>
      </x:c>
    </x:row>
    <x:row r="160" ht="42" customHeight="1">
      <x:c r="A160" s="37" t="str">
        <x:v>DEP-0159</x:v>
      </x:c>
      <x:c r="B160" s="37" t="str">
        <x:v>SET-012</x:v>
      </x:c>
      <x:c r="C160" s="37" t="str">
        <x:v>IGM-004</x:v>
      </x:c>
      <x:c r="D160" s="37" t="str">
        <x:v>인터페이스·협업</x:v>
      </x:c>
      <x:c r="E160" s="37" t="str">
        <x:v>UX·클라이언트 엔지니어링</x:v>
      </x:c>
      <x:c r="F160" s="37" t="str">
        <x:v>미정</x:v>
      </x:c>
      <x:c r="G160" s="37" t="str">
        <x:v>미착수</x:v>
      </x:c>
      <x:c r="H160" s="40" t="str">
        <x:v>미정</x:v>
      </x:c>
      <x:c r="I160" s="37"/>
      <x:c r="J160" s="37" t="str">
        <x:v>부문 간</x:v>
      </x:c>
    </x:row>
    <x:row r="161" ht="42" customHeight="1">
      <x:c r="A161" s="37" t="str">
        <x:v>DEP-0160</x:v>
      </x:c>
      <x:c r="B161" s="37" t="str">
        <x:v>SET-012</x:v>
      </x:c>
      <x:c r="C161" s="37" t="str">
        <x:v>IGM-008</x:v>
      </x:c>
      <x:c r="D161" s="37" t="str">
        <x:v>인터페이스·협업</x:v>
      </x:c>
      <x:c r="E161" s="37" t="str">
        <x:v>UX·클라이언트 엔지니어링</x:v>
      </x:c>
      <x:c r="F161" s="37" t="str">
        <x:v>미정</x:v>
      </x:c>
      <x:c r="G161" s="37" t="str">
        <x:v>미착수</x:v>
      </x:c>
      <x:c r="H161" s="40" t="str">
        <x:v>미정</x:v>
      </x:c>
      <x:c r="I161" s="37"/>
      <x:c r="J161" s="37" t="str">
        <x:v>부문 간</x:v>
      </x:c>
    </x:row>
    <x:row r="162" ht="42" customHeight="1">
      <x:c r="A162" s="37" t="str">
        <x:v>DEP-0161</x:v>
      </x:c>
      <x:c r="B162" s="37" t="str">
        <x:v>SET-013</x:v>
      </x:c>
      <x:c r="C162" s="37" t="str">
        <x:v>SET-001</x:v>
      </x:c>
      <x:c r="D162" s="37" t="str">
        <x:v>완료 후 시작</x:v>
      </x:c>
      <x:c r="E162" s="37" t="str">
        <x:v>UX·클라이언트 엔지니어링</x:v>
      </x:c>
      <x:c r="F162" s="37" t="str">
        <x:v>미정</x:v>
      </x:c>
      <x:c r="G162" s="37" t="str">
        <x:v>미착수</x:v>
      </x:c>
      <x:c r="H162" s="40" t="str">
        <x:v>미정</x:v>
      </x:c>
      <x:c r="I162" s="37"/>
      <x:c r="J162" s="37" t="str">
        <x:v>부문 내</x:v>
      </x:c>
    </x:row>
    <x:row r="163" ht="42" customHeight="1">
      <x:c r="A163" s="37" t="str">
        <x:v>DEP-0162</x:v>
      </x:c>
      <x:c r="B163" s="37" t="str">
        <x:v>SET-013</x:v>
      </x:c>
      <x:c r="C163" s="37" t="str">
        <x:v>IGM-028</x:v>
      </x:c>
      <x:c r="D163" s="37" t="str">
        <x:v>인터페이스·협업</x:v>
      </x:c>
      <x:c r="E163" s="37" t="str">
        <x:v>UX·클라이언트 엔지니어링</x:v>
      </x:c>
      <x:c r="F163" s="37" t="str">
        <x:v>미정</x:v>
      </x:c>
      <x:c r="G163" s="37" t="str">
        <x:v>미착수</x:v>
      </x:c>
      <x:c r="H163" s="40" t="str">
        <x:v>미정</x:v>
      </x:c>
      <x:c r="I163" s="37"/>
      <x:c r="J163" s="37" t="str">
        <x:v>부문 간</x:v>
      </x:c>
    </x:row>
    <x:row r="164" ht="42" customHeight="1">
      <x:c r="A164" s="37" t="str">
        <x:v>DEP-0163</x:v>
      </x:c>
      <x:c r="B164" s="37" t="str">
        <x:v>SET-014</x:v>
      </x:c>
      <x:c r="C164" s="37" t="str">
        <x:v>SET-001</x:v>
      </x:c>
      <x:c r="D164" s="37" t="str">
        <x:v>완료 후 시작</x:v>
      </x:c>
      <x:c r="E164" s="37" t="str">
        <x:v>UX·클라이언트 엔지니어링</x:v>
      </x:c>
      <x:c r="F164" s="37" t="str">
        <x:v>미정</x:v>
      </x:c>
      <x:c r="G164" s="37" t="str">
        <x:v>미착수</x:v>
      </x:c>
      <x:c r="H164" s="40" t="str">
        <x:v>미정</x:v>
      </x:c>
      <x:c r="I164" s="37"/>
      <x:c r="J164" s="37" t="str">
        <x:v>부문 내</x:v>
      </x:c>
    </x:row>
    <x:row r="165" ht="42" customHeight="1">
      <x:c r="A165" s="37" t="str">
        <x:v>DEP-0164</x:v>
      </x:c>
      <x:c r="B165" s="37" t="str">
        <x:v>SET-014</x:v>
      </x:c>
      <x:c r="C165" s="37" t="str">
        <x:v>IGM-009</x:v>
      </x:c>
      <x:c r="D165" s="37" t="str">
        <x:v>인터페이스·협업</x:v>
      </x:c>
      <x:c r="E165" s="37" t="str">
        <x:v>UX·클라이언트 엔지니어링</x:v>
      </x:c>
      <x:c r="F165" s="37" t="str">
        <x:v>미정</x:v>
      </x:c>
      <x:c r="G165" s="37" t="str">
        <x:v>미착수</x:v>
      </x:c>
      <x:c r="H165" s="40" t="str">
        <x:v>미정</x:v>
      </x:c>
      <x:c r="I165" s="37"/>
      <x:c r="J165" s="37" t="str">
        <x:v>부문 간</x:v>
      </x:c>
    </x:row>
    <x:row r="166" ht="42" customHeight="1">
      <x:c r="A166" s="37" t="str">
        <x:v>DEP-0165</x:v>
      </x:c>
      <x:c r="B166" s="37" t="str">
        <x:v>SET-014</x:v>
      </x:c>
      <x:c r="C166" s="37" t="str">
        <x:v>IGM-022</x:v>
      </x:c>
      <x:c r="D166" s="37" t="str">
        <x:v>인터페이스·협업</x:v>
      </x:c>
      <x:c r="E166" s="37" t="str">
        <x:v>UX·클라이언트 엔지니어링</x:v>
      </x:c>
      <x:c r="F166" s="37" t="str">
        <x:v>미정</x:v>
      </x:c>
      <x:c r="G166" s="37" t="str">
        <x:v>미착수</x:v>
      </x:c>
      <x:c r="H166" s="40" t="str">
        <x:v>미정</x:v>
      </x:c>
      <x:c r="I166" s="37"/>
      <x:c r="J166" s="37" t="str">
        <x:v>부문 간</x:v>
      </x:c>
    </x:row>
    <x:row r="167" ht="42" customHeight="1">
      <x:c r="A167" s="37" t="str">
        <x:v>DEP-0166</x:v>
      </x:c>
      <x:c r="B167" s="37" t="str">
        <x:v>SET-015</x:v>
      </x:c>
      <x:c r="C167" s="37" t="str">
        <x:v>SET-001</x:v>
      </x:c>
      <x:c r="D167" s="37" t="str">
        <x:v>완료 후 시작</x:v>
      </x:c>
      <x:c r="E167" s="37" t="str">
        <x:v>UX·클라이언트 엔지니어링</x:v>
      </x:c>
      <x:c r="F167" s="37" t="str">
        <x:v>미정</x:v>
      </x:c>
      <x:c r="G167" s="37" t="str">
        <x:v>미착수</x:v>
      </x:c>
      <x:c r="H167" s="40" t="str">
        <x:v>미정</x:v>
      </x:c>
      <x:c r="I167" s="37"/>
      <x:c r="J167" s="37" t="str">
        <x:v>부문 내</x:v>
      </x:c>
    </x:row>
    <x:row r="168" ht="42" customHeight="1">
      <x:c r="A168" s="37" t="str">
        <x:v>DEP-0167</x:v>
      </x:c>
      <x:c r="B168" s="37" t="str">
        <x:v>SET-015</x:v>
      </x:c>
      <x:c r="C168" s="37" t="str">
        <x:v>IGM-011</x:v>
      </x:c>
      <x:c r="D168" s="37" t="str">
        <x:v>인터페이스·협업</x:v>
      </x:c>
      <x:c r="E168" s="37" t="str">
        <x:v>UX·클라이언트 엔지니어링</x:v>
      </x:c>
      <x:c r="F168" s="37" t="str">
        <x:v>미정</x:v>
      </x:c>
      <x:c r="G168" s="37" t="str">
        <x:v>미착수</x:v>
      </x:c>
      <x:c r="H168" s="40" t="str">
        <x:v>미정</x:v>
      </x:c>
      <x:c r="I168" s="37"/>
      <x:c r="J168" s="37" t="str">
        <x:v>부문 간</x:v>
      </x:c>
    </x:row>
    <x:row r="169" ht="42" customHeight="1">
      <x:c r="A169" s="37" t="str">
        <x:v>DEP-0168</x:v>
      </x:c>
      <x:c r="B169" s="37" t="str">
        <x:v>SET-015</x:v>
      </x:c>
      <x:c r="C169" s="37" t="str">
        <x:v>IGM-015</x:v>
      </x:c>
      <x:c r="D169" s="37" t="str">
        <x:v>인터페이스·협업</x:v>
      </x:c>
      <x:c r="E169" s="37" t="str">
        <x:v>UX·클라이언트 엔지니어링</x:v>
      </x:c>
      <x:c r="F169" s="37" t="str">
        <x:v>미정</x:v>
      </x:c>
      <x:c r="G169" s="37" t="str">
        <x:v>미착수</x:v>
      </x:c>
      <x:c r="H169" s="40" t="str">
        <x:v>미정</x:v>
      </x:c>
      <x:c r="I169" s="37"/>
      <x:c r="J169" s="37" t="str">
        <x:v>부문 간</x:v>
      </x:c>
    </x:row>
    <x:row r="170" ht="42" customHeight="1">
      <x:c r="A170" s="37" t="str">
        <x:v>DEP-0169</x:v>
      </x:c>
      <x:c r="B170" s="37" t="str">
        <x:v>SET-016</x:v>
      </x:c>
      <x:c r="C170" s="37" t="str">
        <x:v>SET-001</x:v>
      </x:c>
      <x:c r="D170" s="37" t="str">
        <x:v>완료 후 시작</x:v>
      </x:c>
      <x:c r="E170" s="37" t="str">
        <x:v>UX·클라이언트 엔지니어링</x:v>
      </x:c>
      <x:c r="F170" s="37" t="str">
        <x:v>미정</x:v>
      </x:c>
      <x:c r="G170" s="37" t="str">
        <x:v>미착수</x:v>
      </x:c>
      <x:c r="H170" s="40" t="str">
        <x:v>미정</x:v>
      </x:c>
      <x:c r="I170" s="37"/>
      <x:c r="J170" s="37" t="str">
        <x:v>부문 내</x:v>
      </x:c>
    </x:row>
    <x:row r="171" ht="42" customHeight="1">
      <x:c r="A171" s="37" t="str">
        <x:v>DEP-0170</x:v>
      </x:c>
      <x:c r="B171" s="37" t="str">
        <x:v>SET-016</x:v>
      </x:c>
      <x:c r="C171" s="37" t="str">
        <x:v>BED-010</x:v>
      </x:c>
      <x:c r="D171" s="37" t="str">
        <x:v>인터페이스·협업</x:v>
      </x:c>
      <x:c r="E171" s="37" t="str">
        <x:v>UX·클라이언트 엔지니어링</x:v>
      </x:c>
      <x:c r="F171" s="37" t="str">
        <x:v>미정</x:v>
      </x:c>
      <x:c r="G171" s="37" t="str">
        <x:v>미착수</x:v>
      </x:c>
      <x:c r="H171" s="40" t="str">
        <x:v>미정</x:v>
      </x:c>
      <x:c r="I171" s="37"/>
      <x:c r="J171" s="37" t="str">
        <x:v>부문 간</x:v>
      </x:c>
    </x:row>
    <x:row r="172" ht="42" customHeight="1">
      <x:c r="A172" s="37" t="str">
        <x:v>DEP-0171</x:v>
      </x:c>
      <x:c r="B172" s="37" t="str">
        <x:v>SET-017</x:v>
      </x:c>
      <x:c r="C172" s="37" t="str">
        <x:v>SET-001</x:v>
      </x:c>
      <x:c r="D172" s="37" t="str">
        <x:v>완료 후 시작</x:v>
      </x:c>
      <x:c r="E172" s="37" t="str">
        <x:v>UX·클라이언트 엔지니어링</x:v>
      </x:c>
      <x:c r="F172" s="37" t="str">
        <x:v>미정</x:v>
      </x:c>
      <x:c r="G172" s="37" t="str">
        <x:v>미착수</x:v>
      </x:c>
      <x:c r="H172" s="40" t="str">
        <x:v>미정</x:v>
      </x:c>
      <x:c r="I172" s="37"/>
      <x:c r="J172" s="37" t="str">
        <x:v>부문 내</x:v>
      </x:c>
    </x:row>
    <x:row r="173" ht="42" customHeight="1">
      <x:c r="A173" s="37" t="str">
        <x:v>DEP-0172</x:v>
      </x:c>
      <x:c r="B173" s="37" t="str">
        <x:v>SET-017</x:v>
      </x:c>
      <x:c r="C173" s="37" t="str">
        <x:v>IGM-034</x:v>
      </x:c>
      <x:c r="D173" s="37" t="str">
        <x:v>인터페이스·협업</x:v>
      </x:c>
      <x:c r="E173" s="37" t="str">
        <x:v>UX·클라이언트 엔지니어링</x:v>
      </x:c>
      <x:c r="F173" s="37" t="str">
        <x:v>미정</x:v>
      </x:c>
      <x:c r="G173" s="37" t="str">
        <x:v>미착수</x:v>
      </x:c>
      <x:c r="H173" s="40" t="str">
        <x:v>미정</x:v>
      </x:c>
      <x:c r="I173" s="37"/>
      <x:c r="J173" s="37" t="str">
        <x:v>부문 간</x:v>
      </x:c>
    </x:row>
    <x:row r="174" ht="42" customHeight="1">
      <x:c r="A174" s="37" t="str">
        <x:v>DEP-0173</x:v>
      </x:c>
      <x:c r="B174" s="37" t="str">
        <x:v>SET-017</x:v>
      </x:c>
      <x:c r="C174" s="37" t="str">
        <x:v>IGM-035</x:v>
      </x:c>
      <x:c r="D174" s="37" t="str">
        <x:v>인터페이스·협업</x:v>
      </x:c>
      <x:c r="E174" s="37" t="str">
        <x:v>UX·클라이언트 엔지니어링</x:v>
      </x:c>
      <x:c r="F174" s="37" t="str">
        <x:v>미정</x:v>
      </x:c>
      <x:c r="G174" s="37" t="str">
        <x:v>미착수</x:v>
      </x:c>
      <x:c r="H174" s="40" t="str">
        <x:v>미정</x:v>
      </x:c>
      <x:c r="I174" s="37"/>
      <x:c r="J174" s="37" t="str">
        <x:v>부문 간</x:v>
      </x:c>
    </x:row>
    <x:row r="175" ht="42" customHeight="1">
      <x:c r="A175" s="37" t="str">
        <x:v>DEP-0174</x:v>
      </x:c>
      <x:c r="B175" s="37" t="str">
        <x:v>SET-018</x:v>
      </x:c>
      <x:c r="C175" s="37" t="str">
        <x:v>SET-010</x:v>
      </x:c>
      <x:c r="D175" s="37" t="str">
        <x:v>완료 후 시작</x:v>
      </x:c>
      <x:c r="E175" s="37" t="str">
        <x:v>UX·클라이언트 엔지니어링</x:v>
      </x:c>
      <x:c r="F175" s="37" t="str">
        <x:v>미정</x:v>
      </x:c>
      <x:c r="G175" s="37" t="str">
        <x:v>미착수</x:v>
      </x:c>
      <x:c r="H175" s="40" t="str">
        <x:v>미정</x:v>
      </x:c>
      <x:c r="I175" s="37"/>
      <x:c r="J175" s="37" t="str">
        <x:v>부문 내</x:v>
      </x:c>
    </x:row>
    <x:row r="176" ht="42" customHeight="1">
      <x:c r="A176" s="37" t="str">
        <x:v>DEP-0175</x:v>
      </x:c>
      <x:c r="B176" s="37" t="str">
        <x:v>SET-018</x:v>
      </x:c>
      <x:c r="C176" s="37" t="str">
        <x:v>IGM-037</x:v>
      </x:c>
      <x:c r="D176" s="37" t="str">
        <x:v>인터페이스·협업</x:v>
      </x:c>
      <x:c r="E176" s="37" t="str">
        <x:v>UX·클라이언트 엔지니어링</x:v>
      </x:c>
      <x:c r="F176" s="37" t="str">
        <x:v>미정</x:v>
      </x:c>
      <x:c r="G176" s="37" t="str">
        <x:v>미착수</x:v>
      </x:c>
      <x:c r="H176" s="40" t="str">
        <x:v>미정</x:v>
      </x:c>
      <x:c r="I176" s="37"/>
      <x:c r="J176" s="37" t="str">
        <x:v>부문 간</x:v>
      </x:c>
    </x:row>
    <x:row r="177" ht="42" customHeight="1">
      <x:c r="A177" s="37" t="str">
        <x:v>DEP-0176</x:v>
      </x:c>
      <x:c r="B177" s="37" t="str">
        <x:v>SET-018</x:v>
      </x:c>
      <x:c r="C177" s="37" t="str">
        <x:v>IGM-038</x:v>
      </x:c>
      <x:c r="D177" s="37" t="str">
        <x:v>인터페이스·협업</x:v>
      </x:c>
      <x:c r="E177" s="37" t="str">
        <x:v>UX·클라이언트 엔지니어링</x:v>
      </x:c>
      <x:c r="F177" s="37" t="str">
        <x:v>미정</x:v>
      </x:c>
      <x:c r="G177" s="37" t="str">
        <x:v>미착수</x:v>
      </x:c>
      <x:c r="H177" s="40" t="str">
        <x:v>미정</x:v>
      </x:c>
      <x:c r="I177" s="37"/>
      <x:c r="J177" s="37" t="str">
        <x:v>부문 간</x:v>
      </x:c>
    </x:row>
    <x:row r="178" ht="42" customHeight="1">
      <x:c r="A178" s="37" t="str">
        <x:v>DEP-0177</x:v>
      </x:c>
      <x:c r="B178" s="37" t="str">
        <x:v>SET-019</x:v>
      </x:c>
      <x:c r="C178" s="37" t="str">
        <x:v>ONL-008</x:v>
      </x:c>
      <x:c r="D178" s="37" t="str">
        <x:v>인터페이스·협업</x:v>
      </x:c>
      <x:c r="E178" s="37" t="str">
        <x:v>UX·클라이언트 엔지니어링</x:v>
      </x:c>
      <x:c r="F178" s="37" t="str">
        <x:v>미정</x:v>
      </x:c>
      <x:c r="G178" s="37" t="str">
        <x:v>미착수</x:v>
      </x:c>
      <x:c r="H178" s="40" t="str">
        <x:v>미정</x:v>
      </x:c>
      <x:c r="I178" s="37"/>
      <x:c r="J178" s="37" t="str">
        <x:v>부문 간</x:v>
      </x:c>
    </x:row>
    <x:row r="179" ht="42" customHeight="1">
      <x:c r="A179" s="37" t="str">
        <x:v>DEP-0178</x:v>
      </x:c>
      <x:c r="B179" s="37" t="str">
        <x:v>SET-019</x:v>
      </x:c>
      <x:c r="C179" s="37" t="str">
        <x:v>NET-006</x:v>
      </x:c>
      <x:c r="D179" s="37" t="str">
        <x:v>인터페이스·협업</x:v>
      </x:c>
      <x:c r="E179" s="37" t="str">
        <x:v>UX·클라이언트 엔지니어링</x:v>
      </x:c>
      <x:c r="F179" s="37" t="str">
        <x:v>미정</x:v>
      </x:c>
      <x:c r="G179" s="37" t="str">
        <x:v>미착수</x:v>
      </x:c>
      <x:c r="H179" s="40" t="str">
        <x:v>미정</x:v>
      </x:c>
      <x:c r="I179" s="37"/>
      <x:c r="J179" s="37" t="str">
        <x:v>부문 간</x:v>
      </x:c>
    </x:row>
    <x:row r="180" ht="42" customHeight="1">
      <x:c r="A180" s="37" t="str">
        <x:v>DEP-0179</x:v>
      </x:c>
      <x:c r="B180" s="37" t="str">
        <x:v>SET-020</x:v>
      </x:c>
      <x:c r="C180" s="37" t="str">
        <x:v>SET-009</x:v>
      </x:c>
      <x:c r="D180" s="37" t="str">
        <x:v>완료 후 시작</x:v>
      </x:c>
      <x:c r="E180" s="37" t="str">
        <x:v>UX·클라이언트 엔지니어링</x:v>
      </x:c>
      <x:c r="F180" s="37" t="str">
        <x:v>미정</x:v>
      </x:c>
      <x:c r="G180" s="37" t="str">
        <x:v>미착수</x:v>
      </x:c>
      <x:c r="H180" s="40" t="str">
        <x:v>미정</x:v>
      </x:c>
      <x:c r="I180" s="37"/>
      <x:c r="J180" s="37" t="str">
        <x:v>부문 내</x:v>
      </x:c>
    </x:row>
    <x:row r="181" ht="42" customHeight="1">
      <x:c r="A181" s="37" t="str">
        <x:v>DEP-0180</x:v>
      </x:c>
      <x:c r="B181" s="37" t="str">
        <x:v>SET-020</x:v>
      </x:c>
      <x:c r="C181" s="37" t="str">
        <x:v>SET-010</x:v>
      </x:c>
      <x:c r="D181" s="37" t="str">
        <x:v>완료 후 시작</x:v>
      </x:c>
      <x:c r="E181" s="37" t="str">
        <x:v>UX·클라이언트 엔지니어링</x:v>
      </x:c>
      <x:c r="F181" s="37" t="str">
        <x:v>미정</x:v>
      </x:c>
      <x:c r="G181" s="37" t="str">
        <x:v>미착수</x:v>
      </x:c>
      <x:c r="H181" s="40" t="str">
        <x:v>미정</x:v>
      </x:c>
      <x:c r="I181" s="37"/>
      <x:c r="J181" s="37" t="str">
        <x:v>부문 내</x:v>
      </x:c>
    </x:row>
    <x:row r="182" ht="42" customHeight="1">
      <x:c r="A182" s="37" t="str">
        <x:v>DEP-0181</x:v>
      </x:c>
      <x:c r="B182" s="37" t="str">
        <x:v>SET-020</x:v>
      </x:c>
      <x:c r="C182" s="37" t="str">
        <x:v>SET-013</x:v>
      </x:c>
      <x:c r="D182" s="37" t="str">
        <x:v>완료 후 시작</x:v>
      </x:c>
      <x:c r="E182" s="37" t="str">
        <x:v>UX·클라이언트 엔지니어링</x:v>
      </x:c>
      <x:c r="F182" s="37" t="str">
        <x:v>미정</x:v>
      </x:c>
      <x:c r="G182" s="37" t="str">
        <x:v>미착수</x:v>
      </x:c>
      <x:c r="H182" s="40" t="str">
        <x:v>미정</x:v>
      </x:c>
      <x:c r="I182" s="37"/>
      <x:c r="J182" s="37" t="str">
        <x:v>부문 내</x:v>
      </x:c>
    </x:row>
    <x:row r="183" ht="42" customHeight="1">
      <x:c r="A183" s="37" t="str">
        <x:v>DEP-0182</x:v>
      </x:c>
      <x:c r="B183" s="37" t="str">
        <x:v>SET-020</x:v>
      </x:c>
      <x:c r="C183" s="37" t="str">
        <x:v>SET-018</x:v>
      </x:c>
      <x:c r="D183" s="37" t="str">
        <x:v>완료 후 시작</x:v>
      </x:c>
      <x:c r="E183" s="37" t="str">
        <x:v>UX·클라이언트 엔지니어링</x:v>
      </x:c>
      <x:c r="F183" s="37" t="str">
        <x:v>미정</x:v>
      </x:c>
      <x:c r="G183" s="37" t="str">
        <x:v>미착수</x:v>
      </x:c>
      <x:c r="H183" s="40" t="str">
        <x:v>미정</x:v>
      </x:c>
      <x:c r="I183" s="37"/>
      <x:c r="J183" s="37" t="str">
        <x:v>부문 내</x:v>
      </x:c>
    </x:row>
    <x:row r="184" ht="42" customHeight="1">
      <x:c r="A184" s="37" t="str">
        <x:v>DEP-0183</x:v>
      </x:c>
      <x:c r="B184" s="37" t="str">
        <x:v>SET-021</x:v>
      </x:c>
      <x:c r="C184" s="37" t="str">
        <x:v>SET-019</x:v>
      </x:c>
      <x:c r="D184" s="37" t="str">
        <x:v>완료 후 시작</x:v>
      </x:c>
      <x:c r="E184" s="37" t="str">
        <x:v>UX·클라이언트 엔지니어링</x:v>
      </x:c>
      <x:c r="F184" s="37" t="str">
        <x:v>미정</x:v>
      </x:c>
      <x:c r="G184" s="37" t="str">
        <x:v>미착수</x:v>
      </x:c>
      <x:c r="H184" s="40" t="str">
        <x:v>미정</x:v>
      </x:c>
      <x:c r="I184" s="37"/>
      <x:c r="J184" s="37" t="str">
        <x:v>부문 내</x:v>
      </x:c>
    </x:row>
    <x:row r="185" ht="42" customHeight="1">
      <x:c r="A185" s="37" t="str">
        <x:v>DEP-0184</x:v>
      </x:c>
      <x:c r="B185" s="37" t="str">
        <x:v>SET-021</x:v>
      </x:c>
      <x:c r="C185" s="37" t="str">
        <x:v>SET-020</x:v>
      </x:c>
      <x:c r="D185" s="37" t="str">
        <x:v>완료 후 시작</x:v>
      </x:c>
      <x:c r="E185" s="37" t="str">
        <x:v>UX·클라이언트 엔지니어링</x:v>
      </x:c>
      <x:c r="F185" s="37" t="str">
        <x:v>미정</x:v>
      </x:c>
      <x:c r="G185" s="37" t="str">
        <x:v>미착수</x:v>
      </x:c>
      <x:c r="H185" s="40" t="str">
        <x:v>미정</x:v>
      </x:c>
      <x:c r="I185" s="37"/>
      <x:c r="J185" s="37" t="str">
        <x:v>부문 내</x:v>
      </x:c>
    </x:row>
    <x:row r="186" ht="42" customHeight="1">
      <x:c r="A186" s="37" t="str">
        <x:v>DEP-0185</x:v>
      </x:c>
      <x:c r="B186" s="37" t="str">
        <x:v>SET-021</x:v>
      </x:c>
      <x:c r="C186" s="37" t="str">
        <x:v>NET-007</x:v>
      </x:c>
      <x:c r="D186" s="37" t="str">
        <x:v>인터페이스·협업</x:v>
      </x:c>
      <x:c r="E186" s="37" t="str">
        <x:v>UX·클라이언트 엔지니어링</x:v>
      </x:c>
      <x:c r="F186" s="37" t="str">
        <x:v>미정</x:v>
      </x:c>
      <x:c r="G186" s="37" t="str">
        <x:v>미착수</x:v>
      </x:c>
      <x:c r="H186" s="40" t="str">
        <x:v>미정</x:v>
      </x:c>
      <x:c r="I186" s="37"/>
      <x:c r="J186" s="37" t="str">
        <x:v>부문 간</x:v>
      </x:c>
    </x:row>
    <x:row r="187" ht="42" customHeight="1">
      <x:c r="A187" s="37" t="str">
        <x:v>DEP-0186</x:v>
      </x:c>
      <x:c r="B187" s="37" t="str">
        <x:v>SET-022</x:v>
      </x:c>
      <x:c r="C187" s="37" t="str">
        <x:v>SET-002</x:v>
      </x:c>
      <x:c r="D187" s="37" t="str">
        <x:v>완료 후 시작</x:v>
      </x:c>
      <x:c r="E187" s="37" t="str">
        <x:v>UX·클라이언트 엔지니어링</x:v>
      </x:c>
      <x:c r="F187" s="37" t="str">
        <x:v>미정</x:v>
      </x:c>
      <x:c r="G187" s="37" t="str">
        <x:v>미착수</x:v>
      </x:c>
      <x:c r="H187" s="40" t="str">
        <x:v>미정</x:v>
      </x:c>
      <x:c r="I187" s="37"/>
      <x:c r="J187" s="37" t="str">
        <x:v>부문 내</x:v>
      </x:c>
    </x:row>
    <x:row r="188" ht="42" customHeight="1">
      <x:c r="A188" s="37" t="str">
        <x:v>DEP-0187</x:v>
      </x:c>
      <x:c r="B188" s="37" t="str">
        <x:v>SET-022</x:v>
      </x:c>
      <x:c r="C188" s="37" t="str">
        <x:v>SET-020</x:v>
      </x:c>
      <x:c r="D188" s="37" t="str">
        <x:v>완료 후 시작</x:v>
      </x:c>
      <x:c r="E188" s="37" t="str">
        <x:v>UX·클라이언트 엔지니어링</x:v>
      </x:c>
      <x:c r="F188" s="37" t="str">
        <x:v>미정</x:v>
      </x:c>
      <x:c r="G188" s="37" t="str">
        <x:v>미착수</x:v>
      </x:c>
      <x:c r="H188" s="40" t="str">
        <x:v>미정</x:v>
      </x:c>
      <x:c r="I188" s="37"/>
      <x:c r="J188" s="37" t="str">
        <x:v>부문 내</x:v>
      </x:c>
    </x:row>
    <x:row r="189" ht="42" customHeight="1">
      <x:c r="A189" s="37" t="str">
        <x:v>DEP-0188</x:v>
      </x:c>
      <x:c r="B189" s="37" t="str">
        <x:v>SET-022</x:v>
      </x:c>
      <x:c r="C189" s="37" t="str">
        <x:v>BED-003</x:v>
      </x:c>
      <x:c r="D189" s="37" t="str">
        <x:v>인터페이스·협업</x:v>
      </x:c>
      <x:c r="E189" s="37" t="str">
        <x:v>UX·클라이언트 엔지니어링</x:v>
      </x:c>
      <x:c r="F189" s="37" t="str">
        <x:v>미정</x:v>
      </x:c>
      <x:c r="G189" s="37" t="str">
        <x:v>미착수</x:v>
      </x:c>
      <x:c r="H189" s="40" t="str">
        <x:v>미정</x:v>
      </x:c>
      <x:c r="I189" s="37"/>
      <x:c r="J189" s="37" t="str">
        <x:v>부문 간</x:v>
      </x:c>
    </x:row>
    <x:row r="190" ht="42" customHeight="1">
      <x:c r="A190" s="37" t="str">
        <x:v>DEP-0189</x:v>
      </x:c>
      <x:c r="B190" s="37" t="str">
        <x:v>SET-023</x:v>
      </x:c>
      <x:c r="C190" s="37" t="str">
        <x:v>SET-001</x:v>
      </x:c>
      <x:c r="D190" s="37" t="str">
        <x:v>완료 후 시작</x:v>
      </x:c>
      <x:c r="E190" s="37" t="str">
        <x:v>UX·클라이언트 엔지니어링</x:v>
      </x:c>
      <x:c r="F190" s="37" t="str">
        <x:v>미정</x:v>
      </x:c>
      <x:c r="G190" s="37" t="str">
        <x:v>미착수</x:v>
      </x:c>
      <x:c r="H190" s="40" t="str">
        <x:v>미정</x:v>
      </x:c>
      <x:c r="I190" s="37"/>
      <x:c r="J190" s="37" t="str">
        <x:v>부문 내</x:v>
      </x:c>
    </x:row>
    <x:row r="191" ht="42" customHeight="1">
      <x:c r="A191" s="37" t="str">
        <x:v>DEP-0190</x:v>
      </x:c>
      <x:c r="B191" s="37" t="str">
        <x:v>SET-023</x:v>
      </x:c>
      <x:c r="C191" s="37" t="str">
        <x:v>UIX-001</x:v>
      </x:c>
      <x:c r="D191" s="37" t="str">
        <x:v>인터페이스·협업</x:v>
      </x:c>
      <x:c r="E191" s="37" t="str">
        <x:v>UX·클라이언트 엔지니어링</x:v>
      </x:c>
      <x:c r="F191" s="37" t="str">
        <x:v>미정</x:v>
      </x:c>
      <x:c r="G191" s="37" t="str">
        <x:v>미착수</x:v>
      </x:c>
      <x:c r="H191" s="40" t="str">
        <x:v>미정</x:v>
      </x:c>
      <x:c r="I191" s="37"/>
      <x:c r="J191" s="37" t="str">
        <x:v>부문 간</x:v>
      </x:c>
    </x:row>
    <x:row r="192" ht="42" customHeight="1">
      <x:c r="A192" s="37" t="str">
        <x:v>DEP-0191</x:v>
      </x:c>
      <x:c r="B192" s="37" t="str">
        <x:v>SET-023</x:v>
      </x:c>
      <x:c r="C192" s="37" t="str">
        <x:v>AUD-015</x:v>
      </x:c>
      <x:c r="D192" s="37" t="str">
        <x:v>인터페이스·협업</x:v>
      </x:c>
      <x:c r="E192" s="37" t="str">
        <x:v>UX·클라이언트 엔지니어링</x:v>
      </x:c>
      <x:c r="F192" s="37" t="str">
        <x:v>미정</x:v>
      </x:c>
      <x:c r="G192" s="37" t="str">
        <x:v>미착수</x:v>
      </x:c>
      <x:c r="H192" s="40" t="str">
        <x:v>미정</x:v>
      </x:c>
      <x:c r="I192" s="37"/>
      <x:c r="J192" s="37" t="str">
        <x:v>부문 간</x:v>
      </x:c>
    </x:row>
    <x:row r="193" ht="42" customHeight="1">
      <x:c r="A193" s="37" t="str">
        <x:v>DEP-0192</x:v>
      </x:c>
      <x:c r="B193" s="37" t="str">
        <x:v>SET-024</x:v>
      </x:c>
      <x:c r="C193" s="37" t="str">
        <x:v>SET-001</x:v>
      </x:c>
      <x:c r="D193" s="37" t="str">
        <x:v>완료 후 시작</x:v>
      </x:c>
      <x:c r="E193" s="37" t="str">
        <x:v>UX·클라이언트 엔지니어링</x:v>
      </x:c>
      <x:c r="F193" s="37" t="str">
        <x:v>미정</x:v>
      </x:c>
      <x:c r="G193" s="37" t="str">
        <x:v>미착수</x:v>
      </x:c>
      <x:c r="H193" s="40" t="str">
        <x:v>미정</x:v>
      </x:c>
      <x:c r="I193" s="37"/>
      <x:c r="J193" s="37" t="str">
        <x:v>부문 내</x:v>
      </x:c>
    </x:row>
    <x:row r="194" ht="42" customHeight="1">
      <x:c r="A194" s="37" t="str">
        <x:v>DEP-0193</x:v>
      </x:c>
      <x:c r="B194" s="37" t="str">
        <x:v>SET-024</x:v>
      </x:c>
      <x:c r="C194" s="37" t="str">
        <x:v>UIX-028</x:v>
      </x:c>
      <x:c r="D194" s="37" t="str">
        <x:v>인터페이스·협업</x:v>
      </x:c>
      <x:c r="E194" s="37" t="str">
        <x:v>UX·클라이언트 엔지니어링</x:v>
      </x:c>
      <x:c r="F194" s="37" t="str">
        <x:v>미정</x:v>
      </x:c>
      <x:c r="G194" s="37" t="str">
        <x:v>미착수</x:v>
      </x:c>
      <x:c r="H194" s="40" t="str">
        <x:v>미정</x:v>
      </x:c>
      <x:c r="I194" s="37"/>
      <x:c r="J194" s="37" t="str">
        <x:v>부문 간</x:v>
      </x:c>
    </x:row>
    <x:row r="195" ht="42" customHeight="1">
      <x:c r="A195" s="37" t="str">
        <x:v>DEP-0194</x:v>
      </x:c>
      <x:c r="B195" s="37" t="str">
        <x:v>SET-024</x:v>
      </x:c>
      <x:c r="C195" s="37" t="str">
        <x:v>CHR-015</x:v>
      </x:c>
      <x:c r="D195" s="37" t="str">
        <x:v>인터페이스·협업</x:v>
      </x:c>
      <x:c r="E195" s="37" t="str">
        <x:v>UX·클라이언트 엔지니어링</x:v>
      </x:c>
      <x:c r="F195" s="37" t="str">
        <x:v>미정</x:v>
      </x:c>
      <x:c r="G195" s="37" t="str">
        <x:v>미착수</x:v>
      </x:c>
      <x:c r="H195" s="40" t="str">
        <x:v>미정</x:v>
      </x:c>
      <x:c r="I195" s="37"/>
      <x:c r="J195" s="37" t="str">
        <x:v>부문 간</x:v>
      </x:c>
    </x:row>
    <x:row r="196" ht="42" customHeight="1">
      <x:c r="A196" s="37" t="str">
        <x:v>DEP-0195</x:v>
      </x:c>
      <x:c r="B196" s="37" t="str">
        <x:v>SET-025</x:v>
      </x:c>
      <x:c r="C196" s="37" t="str">
        <x:v>SET-001</x:v>
      </x:c>
      <x:c r="D196" s="37" t="str">
        <x:v>완료 후 시작</x:v>
      </x:c>
      <x:c r="E196" s="37" t="str">
        <x:v>UX·클라이언트 엔지니어링</x:v>
      </x:c>
      <x:c r="F196" s="37" t="str">
        <x:v>미정</x:v>
      </x:c>
      <x:c r="G196" s="37" t="str">
        <x:v>미착수</x:v>
      </x:c>
      <x:c r="H196" s="40" t="str">
        <x:v>미정</x:v>
      </x:c>
      <x:c r="I196" s="37"/>
      <x:c r="J196" s="37" t="str">
        <x:v>부문 내</x:v>
      </x:c>
    </x:row>
    <x:row r="197" ht="42" customHeight="1">
      <x:c r="A197" s="37" t="str">
        <x:v>DEP-0196</x:v>
      </x:c>
      <x:c r="B197" s="37" t="str">
        <x:v>SET-025</x:v>
      </x:c>
      <x:c r="C197" s="37" t="str">
        <x:v>CHR-004</x:v>
      </x:c>
      <x:c r="D197" s="37" t="str">
        <x:v>인터페이스·협업</x:v>
      </x:c>
      <x:c r="E197" s="37" t="str">
        <x:v>UX·클라이언트 엔지니어링</x:v>
      </x:c>
      <x:c r="F197" s="37" t="str">
        <x:v>미정</x:v>
      </x:c>
      <x:c r="G197" s="37" t="str">
        <x:v>미착수</x:v>
      </x:c>
      <x:c r="H197" s="40" t="str">
        <x:v>미정</x:v>
      </x:c>
      <x:c r="I197" s="37"/>
      <x:c r="J197" s="37" t="str">
        <x:v>부문 간</x:v>
      </x:c>
    </x:row>
    <x:row r="198" ht="42" customHeight="1">
      <x:c r="A198" s="37" t="str">
        <x:v>DEP-0197</x:v>
      </x:c>
      <x:c r="B198" s="37" t="str">
        <x:v>SET-025</x:v>
      </x:c>
      <x:c r="C198" s="37" t="str">
        <x:v>AUD-014</x:v>
      </x:c>
      <x:c r="D198" s="37" t="str">
        <x:v>인터페이스·협업</x:v>
      </x:c>
      <x:c r="E198" s="37" t="str">
        <x:v>UX·클라이언트 엔지니어링</x:v>
      </x:c>
      <x:c r="F198" s="37" t="str">
        <x:v>미정</x:v>
      </x:c>
      <x:c r="G198" s="37" t="str">
        <x:v>미착수</x:v>
      </x:c>
      <x:c r="H198" s="40" t="str">
        <x:v>미정</x:v>
      </x:c>
      <x:c r="I198" s="37"/>
      <x:c r="J198" s="37" t="str">
        <x:v>부문 간</x:v>
      </x:c>
    </x:row>
    <x:row r="199" ht="42" customHeight="1">
      <x:c r="A199" s="37" t="str">
        <x:v>DEP-0198</x:v>
      </x:c>
      <x:c r="B199" s="37" t="str">
        <x:v>SET-026</x:v>
      </x:c>
      <x:c r="C199" s="37" t="str">
        <x:v>BED-009</x:v>
      </x:c>
      <x:c r="D199" s="37" t="str">
        <x:v>인터페이스·협업</x:v>
      </x:c>
      <x:c r="E199" s="37" t="str">
        <x:v>UX·클라이언트 엔지니어링</x:v>
      </x:c>
      <x:c r="F199" s="37" t="str">
        <x:v>미정</x:v>
      </x:c>
      <x:c r="G199" s="37" t="str">
        <x:v>미착수</x:v>
      </x:c>
      <x:c r="H199" s="40" t="str">
        <x:v>미정</x:v>
      </x:c>
      <x:c r="I199" s="37"/>
      <x:c r="J199" s="37" t="str">
        <x:v>부문 간</x:v>
      </x:c>
    </x:row>
    <x:row r="200" ht="42" customHeight="1">
      <x:c r="A200" s="37" t="str">
        <x:v>DEP-0199</x:v>
      </x:c>
      <x:c r="B200" s="37" t="str">
        <x:v>SET-026</x:v>
      </x:c>
      <x:c r="C200" s="37" t="str">
        <x:v>BED-012</x:v>
      </x:c>
      <x:c r="D200" s="37" t="str">
        <x:v>인터페이스·협업</x:v>
      </x:c>
      <x:c r="E200" s="37" t="str">
        <x:v>UX·클라이언트 엔지니어링</x:v>
      </x:c>
      <x:c r="F200" s="37" t="str">
        <x:v>미정</x:v>
      </x:c>
      <x:c r="G200" s="37" t="str">
        <x:v>미착수</x:v>
      </x:c>
      <x:c r="H200" s="40" t="str">
        <x:v>미정</x:v>
      </x:c>
      <x:c r="I200" s="37"/>
      <x:c r="J200" s="37" t="str">
        <x:v>부문 간</x:v>
      </x:c>
    </x:row>
    <x:row r="201" ht="42" customHeight="1">
      <x:c r="A201" s="37" t="str">
        <x:v>DEP-0200</x:v>
      </x:c>
      <x:c r="B201" s="37" t="str">
        <x:v>SET-026</x:v>
      </x:c>
      <x:c r="C201" s="37" t="str">
        <x:v>BED-013</x:v>
      </x:c>
      <x:c r="D201" s="37" t="str">
        <x:v>인터페이스·협업</x:v>
      </x:c>
      <x:c r="E201" s="37" t="str">
        <x:v>UX·클라이언트 엔지니어링</x:v>
      </x:c>
      <x:c r="F201" s="37" t="str">
        <x:v>미정</x:v>
      </x:c>
      <x:c r="G201" s="37" t="str">
        <x:v>미착수</x:v>
      </x:c>
      <x:c r="H201" s="40" t="str">
        <x:v>미정</x:v>
      </x:c>
      <x:c r="I201" s="37"/>
      <x:c r="J201" s="37" t="str">
        <x:v>부문 간</x:v>
      </x:c>
    </x:row>
    <x:row r="202" ht="42" customHeight="1">
      <x:c r="A202" s="37" t="str">
        <x:v>DEP-0201</x:v>
      </x:c>
      <x:c r="B202" s="37" t="str">
        <x:v>SET-027</x:v>
      </x:c>
      <x:c r="C202" s="37" t="str">
        <x:v>NET-023</x:v>
      </x:c>
      <x:c r="D202" s="37" t="str">
        <x:v>인터페이스·협업</x:v>
      </x:c>
      <x:c r="E202" s="37" t="str">
        <x:v>UX·클라이언트 엔지니어링</x:v>
      </x:c>
      <x:c r="F202" s="37" t="str">
        <x:v>미정</x:v>
      </x:c>
      <x:c r="G202" s="37" t="str">
        <x:v>미착수</x:v>
      </x:c>
      <x:c r="H202" s="40" t="str">
        <x:v>미정</x:v>
      </x:c>
      <x:c r="I202" s="37"/>
      <x:c r="J202" s="37" t="str">
        <x:v>부문 간</x:v>
      </x:c>
    </x:row>
    <x:row r="203" ht="42" customHeight="1">
      <x:c r="A203" s="37" t="str">
        <x:v>DEP-0202</x:v>
      </x:c>
      <x:c r="B203" s="37" t="str">
        <x:v>SET-027</x:v>
      </x:c>
      <x:c r="C203" s="37" t="str">
        <x:v>ONL-003</x:v>
      </x:c>
      <x:c r="D203" s="37" t="str">
        <x:v>인터페이스·협업</x:v>
      </x:c>
      <x:c r="E203" s="37" t="str">
        <x:v>UX·클라이언트 엔지니어링</x:v>
      </x:c>
      <x:c r="F203" s="37" t="str">
        <x:v>미정</x:v>
      </x:c>
      <x:c r="G203" s="37" t="str">
        <x:v>미착수</x:v>
      </x:c>
      <x:c r="H203" s="40" t="str">
        <x:v>미정</x:v>
      </x:c>
      <x:c r="I203" s="37"/>
      <x:c r="J203" s="37" t="str">
        <x:v>부문 간</x:v>
      </x:c>
    </x:row>
    <x:row r="204" ht="42" customHeight="1">
      <x:c r="A204" s="37" t="str">
        <x:v>DEP-0203</x:v>
      </x:c>
      <x:c r="B204" s="37" t="str">
        <x:v>SET-028</x:v>
      </x:c>
      <x:c r="C204" s="37" t="str">
        <x:v>BED-015</x:v>
      </x:c>
      <x:c r="D204" s="37" t="str">
        <x:v>인터페이스·협업</x:v>
      </x:c>
      <x:c r="E204" s="37" t="str">
        <x:v>UX·클라이언트 엔지니어링</x:v>
      </x:c>
      <x:c r="F204" s="37" t="str">
        <x:v>미정</x:v>
      </x:c>
      <x:c r="G204" s="37" t="str">
        <x:v>미착수</x:v>
      </x:c>
      <x:c r="H204" s="40" t="str">
        <x:v>미정</x:v>
      </x:c>
      <x:c r="I204" s="37"/>
      <x:c r="J204" s="37" t="str">
        <x:v>부문 간</x:v>
      </x:c>
    </x:row>
    <x:row r="205" ht="42" customHeight="1">
      <x:c r="A205" s="37" t="str">
        <x:v>DEP-0204</x:v>
      </x:c>
      <x:c r="B205" s="37" t="str">
        <x:v>SET-028</x:v>
      </x:c>
      <x:c r="C205" s="37" t="str">
        <x:v>BED-016</x:v>
      </x:c>
      <x:c r="D205" s="37" t="str">
        <x:v>인터페이스·협업</x:v>
      </x:c>
      <x:c r="E205" s="37" t="str">
        <x:v>UX·클라이언트 엔지니어링</x:v>
      </x:c>
      <x:c r="F205" s="37" t="str">
        <x:v>미정</x:v>
      </x:c>
      <x:c r="G205" s="37" t="str">
        <x:v>미착수</x:v>
      </x:c>
      <x:c r="H205" s="40" t="str">
        <x:v>미정</x:v>
      </x:c>
      <x:c r="I205" s="37"/>
      <x:c r="J205" s="37" t="str">
        <x:v>부문 간</x:v>
      </x:c>
    </x:row>
    <x:row r="206" ht="42" customHeight="1">
      <x:c r="A206" s="37" t="str">
        <x:v>DEP-0205</x:v>
      </x:c>
      <x:c r="B206" s="37" t="str">
        <x:v>ONL-001</x:v>
      </x:c>
      <x:c r="C206" s="37" t="str">
        <x:v>BED-001</x:v>
      </x:c>
      <x:c r="D206" s="37" t="str">
        <x:v>인터페이스·협업</x:v>
      </x:c>
      <x:c r="E206" s="37" t="str">
        <x:v>온라인 엔지니어링</x:v>
      </x:c>
      <x:c r="F206" s="37" t="str">
        <x:v>미정</x:v>
      </x:c>
      <x:c r="G206" s="37" t="str">
        <x:v>미착수</x:v>
      </x:c>
      <x:c r="H206" s="40" t="str">
        <x:v>미정</x:v>
      </x:c>
      <x:c r="I206" s="37"/>
      <x:c r="J206" s="37" t="str">
        <x:v>부문 간</x:v>
      </x:c>
    </x:row>
    <x:row r="207" ht="42" customHeight="1">
      <x:c r="A207" s="37" t="str">
        <x:v>DEP-0206</x:v>
      </x:c>
      <x:c r="B207" s="37" t="str">
        <x:v>ONL-002</x:v>
      </x:c>
      <x:c r="C207" s="37" t="str">
        <x:v>BED-001</x:v>
      </x:c>
      <x:c r="D207" s="37" t="str">
        <x:v>인터페이스·협업</x:v>
      </x:c>
      <x:c r="E207" s="37" t="str">
        <x:v>온라인 엔지니어링</x:v>
      </x:c>
      <x:c r="F207" s="37" t="str">
        <x:v>미정</x:v>
      </x:c>
      <x:c r="G207" s="37" t="str">
        <x:v>미착수</x:v>
      </x:c>
      <x:c r="H207" s="40" t="str">
        <x:v>미정</x:v>
      </x:c>
      <x:c r="I207" s="37"/>
      <x:c r="J207" s="37" t="str">
        <x:v>부문 간</x:v>
      </x:c>
    </x:row>
    <x:row r="208" ht="42" customHeight="1">
      <x:c r="A208" s="37" t="str">
        <x:v>DEP-0207</x:v>
      </x:c>
      <x:c r="B208" s="37" t="str">
        <x:v>ONL-002</x:v>
      </x:c>
      <x:c r="C208" s="37" t="str">
        <x:v>BED-002</x:v>
      </x:c>
      <x:c r="D208" s="37" t="str">
        <x:v>인터페이스·협업</x:v>
      </x:c>
      <x:c r="E208" s="37" t="str">
        <x:v>온라인 엔지니어링</x:v>
      </x:c>
      <x:c r="F208" s="37" t="str">
        <x:v>미정</x:v>
      </x:c>
      <x:c r="G208" s="37" t="str">
        <x:v>미착수</x:v>
      </x:c>
      <x:c r="H208" s="40" t="str">
        <x:v>미정</x:v>
      </x:c>
      <x:c r="I208" s="37"/>
      <x:c r="J208" s="37" t="str">
        <x:v>부문 간</x:v>
      </x:c>
    </x:row>
    <x:row r="209" ht="42" customHeight="1">
      <x:c r="A209" s="37" t="str">
        <x:v>DEP-0208</x:v>
      </x:c>
      <x:c r="B209" s="37" t="str">
        <x:v>ONL-003</x:v>
      </x:c>
      <x:c r="C209" s="37" t="str">
        <x:v>NET-023</x:v>
      </x:c>
      <x:c r="D209" s="37" t="str">
        <x:v>인터페이스·협업</x:v>
      </x:c>
      <x:c r="E209" s="37" t="str">
        <x:v>온라인 엔지니어링</x:v>
      </x:c>
      <x:c r="F209" s="37" t="str">
        <x:v>미정</x:v>
      </x:c>
      <x:c r="G209" s="37" t="str">
        <x:v>미착수</x:v>
      </x:c>
      <x:c r="H209" s="40" t="str">
        <x:v>미정</x:v>
      </x:c>
      <x:c r="I209" s="37"/>
      <x:c r="J209" s="37" t="str">
        <x:v>부문 간</x:v>
      </x:c>
    </x:row>
    <x:row r="210" ht="42" customHeight="1">
      <x:c r="A210" s="37" t="str">
        <x:v>DEP-0209</x:v>
      </x:c>
      <x:c r="B210" s="37" t="str">
        <x:v>ONL-004</x:v>
      </x:c>
      <x:c r="C210" s="37" t="str">
        <x:v>ONL-001</x:v>
      </x:c>
      <x:c r="D210" s="37" t="str">
        <x:v>완료 후 시작</x:v>
      </x:c>
      <x:c r="E210" s="37" t="str">
        <x:v>온라인 엔지니어링</x:v>
      </x:c>
      <x:c r="F210" s="37" t="str">
        <x:v>미정</x:v>
      </x:c>
      <x:c r="G210" s="37" t="str">
        <x:v>미착수</x:v>
      </x:c>
      <x:c r="H210" s="40" t="str">
        <x:v>미정</x:v>
      </x:c>
      <x:c r="I210" s="37"/>
      <x:c r="J210" s="37" t="str">
        <x:v>부문 내</x:v>
      </x:c>
    </x:row>
    <x:row r="211" ht="42" customHeight="1">
      <x:c r="A211" s="37" t="str">
        <x:v>DEP-0210</x:v>
      </x:c>
      <x:c r="B211" s="37" t="str">
        <x:v>ONL-004</x:v>
      </x:c>
      <x:c r="C211" s="37" t="str">
        <x:v>SET-020</x:v>
      </x:c>
      <x:c r="D211" s="37" t="str">
        <x:v>인터페이스·협업</x:v>
      </x:c>
      <x:c r="E211" s="37" t="str">
        <x:v>온라인 엔지니어링</x:v>
      </x:c>
      <x:c r="F211" s="37" t="str">
        <x:v>미정</x:v>
      </x:c>
      <x:c r="G211" s="37" t="str">
        <x:v>미착수</x:v>
      </x:c>
      <x:c r="H211" s="40" t="str">
        <x:v>미정</x:v>
      </x:c>
      <x:c r="I211" s="37"/>
      <x:c r="J211" s="37" t="str">
        <x:v>부문 간</x:v>
      </x:c>
    </x:row>
    <x:row r="212" ht="42" customHeight="1">
      <x:c r="A212" s="37" t="str">
        <x:v>DEP-0211</x:v>
      </x:c>
      <x:c r="B212" s="37" t="str">
        <x:v>ONL-005</x:v>
      </x:c>
      <x:c r="C212" s="37" t="str">
        <x:v>ONL-004</x:v>
      </x:c>
      <x:c r="D212" s="37" t="str">
        <x:v>완료 후 시작</x:v>
      </x:c>
      <x:c r="E212" s="37" t="str">
        <x:v>온라인 엔지니어링</x:v>
      </x:c>
      <x:c r="F212" s="37" t="str">
        <x:v>미정</x:v>
      </x:c>
      <x:c r="G212" s="37" t="str">
        <x:v>미착수</x:v>
      </x:c>
      <x:c r="H212" s="40" t="str">
        <x:v>미정</x:v>
      </x:c>
      <x:c r="I212" s="37"/>
      <x:c r="J212" s="37" t="str">
        <x:v>부문 내</x:v>
      </x:c>
    </x:row>
    <x:row r="213" ht="42" customHeight="1">
      <x:c r="A213" s="37" t="str">
        <x:v>DEP-0212</x:v>
      </x:c>
      <x:c r="B213" s="37" t="str">
        <x:v>ONL-006</x:v>
      </x:c>
      <x:c r="C213" s="37" t="str">
        <x:v>ONL-004</x:v>
      </x:c>
      <x:c r="D213" s="37" t="str">
        <x:v>완료 후 시작</x:v>
      </x:c>
      <x:c r="E213" s="37" t="str">
        <x:v>온라인 엔지니어링</x:v>
      </x:c>
      <x:c r="F213" s="37" t="str">
        <x:v>미정</x:v>
      </x:c>
      <x:c r="G213" s="37" t="str">
        <x:v>미착수</x:v>
      </x:c>
      <x:c r="H213" s="40" t="str">
        <x:v>미정</x:v>
      </x:c>
      <x:c r="I213" s="37"/>
      <x:c r="J213" s="37" t="str">
        <x:v>부문 내</x:v>
      </x:c>
    </x:row>
    <x:row r="214" ht="42" customHeight="1">
      <x:c r="A214" s="37" t="str">
        <x:v>DEP-0213</x:v>
      </x:c>
      <x:c r="B214" s="37" t="str">
        <x:v>ONL-006</x:v>
      </x:c>
      <x:c r="C214" s="37" t="str">
        <x:v>ONL-020</x:v>
      </x:c>
      <x:c r="D214" s="37" t="str">
        <x:v>완료 후 시작</x:v>
      </x:c>
      <x:c r="E214" s="37" t="str">
        <x:v>온라인 엔지니어링</x:v>
      </x:c>
      <x:c r="F214" s="37" t="str">
        <x:v>미정</x:v>
      </x:c>
      <x:c r="G214" s="37" t="str">
        <x:v>미착수</x:v>
      </x:c>
      <x:c r="H214" s="40" t="str">
        <x:v>미정</x:v>
      </x:c>
      <x:c r="I214" s="37"/>
      <x:c r="J214" s="37" t="str">
        <x:v>부문 내</x:v>
      </x:c>
    </x:row>
    <x:row r="215" ht="42" customHeight="1">
      <x:c r="A215" s="37" t="str">
        <x:v>DEP-0214</x:v>
      </x:c>
      <x:c r="B215" s="37" t="str">
        <x:v>ONL-007</x:v>
      </x:c>
      <x:c r="C215" s="37" t="str">
        <x:v>ONL-004</x:v>
      </x:c>
      <x:c r="D215" s="37" t="str">
        <x:v>완료 후 시작</x:v>
      </x:c>
      <x:c r="E215" s="37" t="str">
        <x:v>온라인 엔지니어링</x:v>
      </x:c>
      <x:c r="F215" s="37" t="str">
        <x:v>미정</x:v>
      </x:c>
      <x:c r="G215" s="37" t="str">
        <x:v>미착수</x:v>
      </x:c>
      <x:c r="H215" s="40" t="str">
        <x:v>미정</x:v>
      </x:c>
      <x:c r="I215" s="37"/>
      <x:c r="J215" s="37" t="str">
        <x:v>부문 내</x:v>
      </x:c>
    </x:row>
    <x:row r="216" ht="42" customHeight="1">
      <x:c r="A216" s="37" t="str">
        <x:v>DEP-0215</x:v>
      </x:c>
      <x:c r="B216" s="37" t="str">
        <x:v>ONL-007</x:v>
      </x:c>
      <x:c r="C216" s="37" t="str">
        <x:v>NET-006</x:v>
      </x:c>
      <x:c r="D216" s="37" t="str">
        <x:v>인터페이스·협업</x:v>
      </x:c>
      <x:c r="E216" s="37" t="str">
        <x:v>온라인 엔지니어링</x:v>
      </x:c>
      <x:c r="F216" s="37" t="str">
        <x:v>미정</x:v>
      </x:c>
      <x:c r="G216" s="37" t="str">
        <x:v>미착수</x:v>
      </x:c>
      <x:c r="H216" s="40" t="str">
        <x:v>미정</x:v>
      </x:c>
      <x:c r="I216" s="37"/>
      <x:c r="J216" s="37" t="str">
        <x:v>부문 간</x:v>
      </x:c>
    </x:row>
    <x:row r="217" ht="42" customHeight="1">
      <x:c r="A217" s="37" t="str">
        <x:v>DEP-0216</x:v>
      </x:c>
      <x:c r="B217" s="37" t="str">
        <x:v>ONL-008</x:v>
      </x:c>
      <x:c r="C217" s="37" t="str">
        <x:v>ONL-004</x:v>
      </x:c>
      <x:c r="D217" s="37" t="str">
        <x:v>완료 후 시작</x:v>
      </x:c>
      <x:c r="E217" s="37" t="str">
        <x:v>온라인 엔지니어링</x:v>
      </x:c>
      <x:c r="F217" s="37" t="str">
        <x:v>미정</x:v>
      </x:c>
      <x:c r="G217" s="37" t="str">
        <x:v>미착수</x:v>
      </x:c>
      <x:c r="H217" s="40" t="str">
        <x:v>미정</x:v>
      </x:c>
      <x:c r="I217" s="37"/>
      <x:c r="J217" s="37" t="str">
        <x:v>부문 내</x:v>
      </x:c>
    </x:row>
    <x:row r="218" ht="42" customHeight="1">
      <x:c r="A218" s="37" t="str">
        <x:v>DEP-0217</x:v>
      </x:c>
      <x:c r="B218" s="37" t="str">
        <x:v>ONL-009</x:v>
      </x:c>
      <x:c r="C218" s="37" t="str">
        <x:v>ONL-007</x:v>
      </x:c>
      <x:c r="D218" s="37" t="str">
        <x:v>완료 후 시작</x:v>
      </x:c>
      <x:c r="E218" s="37" t="str">
        <x:v>온라인 엔지니어링</x:v>
      </x:c>
      <x:c r="F218" s="37" t="str">
        <x:v>미정</x:v>
      </x:c>
      <x:c r="G218" s="37" t="str">
        <x:v>미착수</x:v>
      </x:c>
      <x:c r="H218" s="40" t="str">
        <x:v>미정</x:v>
      </x:c>
      <x:c r="I218" s="37"/>
      <x:c r="J218" s="37" t="str">
        <x:v>부문 내</x:v>
      </x:c>
    </x:row>
    <x:row r="219" ht="42" customHeight="1">
      <x:c r="A219" s="37" t="str">
        <x:v>DEP-0218</x:v>
      </x:c>
      <x:c r="B219" s="37" t="str">
        <x:v>ONL-009</x:v>
      </x:c>
      <x:c r="C219" s="37" t="str">
        <x:v>CHR-005</x:v>
      </x:c>
      <x:c r="D219" s="37" t="str">
        <x:v>인터페이스·협업</x:v>
      </x:c>
      <x:c r="E219" s="37" t="str">
        <x:v>온라인 엔지니어링</x:v>
      </x:c>
      <x:c r="F219" s="37" t="str">
        <x:v>미정</x:v>
      </x:c>
      <x:c r="G219" s="37" t="str">
        <x:v>미착수</x:v>
      </x:c>
      <x:c r="H219" s="40" t="str">
        <x:v>미정</x:v>
      </x:c>
      <x:c r="I219" s="37"/>
      <x:c r="J219" s="37" t="str">
        <x:v>부문 간</x:v>
      </x:c>
    </x:row>
    <x:row r="220" ht="42" customHeight="1">
      <x:c r="A220" s="37" t="str">
        <x:v>DEP-0219</x:v>
      </x:c>
      <x:c r="B220" s="37" t="str">
        <x:v>ONL-010</x:v>
      </x:c>
      <x:c r="C220" s="37" t="str">
        <x:v>ONL-007</x:v>
      </x:c>
      <x:c r="D220" s="37" t="str">
        <x:v>완료 후 시작</x:v>
      </x:c>
      <x:c r="E220" s="37" t="str">
        <x:v>온라인 엔지니어링</x:v>
      </x:c>
      <x:c r="F220" s="37" t="str">
        <x:v>미정</x:v>
      </x:c>
      <x:c r="G220" s="37" t="str">
        <x:v>미착수</x:v>
      </x:c>
      <x:c r="H220" s="40" t="str">
        <x:v>미정</x:v>
      </x:c>
      <x:c r="I220" s="37"/>
      <x:c r="J220" s="37" t="str">
        <x:v>부문 내</x:v>
      </x:c>
    </x:row>
    <x:row r="221" ht="42" customHeight="1">
      <x:c r="A221" s="37" t="str">
        <x:v>DEP-0220</x:v>
      </x:c>
      <x:c r="B221" s="37" t="str">
        <x:v>ONL-010</x:v>
      </x:c>
      <x:c r="C221" s="37" t="str">
        <x:v>SET-021</x:v>
      </x:c>
      <x:c r="D221" s="37" t="str">
        <x:v>인터페이스·협업</x:v>
      </x:c>
      <x:c r="E221" s="37" t="str">
        <x:v>온라인 엔지니어링</x:v>
      </x:c>
      <x:c r="F221" s="37" t="str">
        <x:v>미정</x:v>
      </x:c>
      <x:c r="G221" s="37" t="str">
        <x:v>미착수</x:v>
      </x:c>
      <x:c r="H221" s="40" t="str">
        <x:v>미정</x:v>
      </x:c>
      <x:c r="I221" s="37"/>
      <x:c r="J221" s="37" t="str">
        <x:v>부문 간</x:v>
      </x:c>
    </x:row>
    <x:row r="222" ht="42" customHeight="1">
      <x:c r="A222" s="37" t="str">
        <x:v>DEP-0221</x:v>
      </x:c>
      <x:c r="B222" s="37" t="str">
        <x:v>ONL-011</x:v>
      </x:c>
      <x:c r="C222" s="37" t="str">
        <x:v>ONL-010</x:v>
      </x:c>
      <x:c r="D222" s="37" t="str">
        <x:v>완료 후 시작</x:v>
      </x:c>
      <x:c r="E222" s="37" t="str">
        <x:v>온라인 엔지니어링</x:v>
      </x:c>
      <x:c r="F222" s="37" t="str">
        <x:v>미정</x:v>
      </x:c>
      <x:c r="G222" s="37" t="str">
        <x:v>미착수</x:v>
      </x:c>
      <x:c r="H222" s="40" t="str">
        <x:v>미정</x:v>
      </x:c>
      <x:c r="I222" s="37"/>
      <x:c r="J222" s="37" t="str">
        <x:v>부문 내</x:v>
      </x:c>
    </x:row>
    <x:row r="223" ht="42" customHeight="1">
      <x:c r="A223" s="37" t="str">
        <x:v>DEP-0222</x:v>
      </x:c>
      <x:c r="B223" s="37" t="str">
        <x:v>ONL-011</x:v>
      </x:c>
      <x:c r="C223" s="37" t="str">
        <x:v>SET-020</x:v>
      </x:c>
      <x:c r="D223" s="37" t="str">
        <x:v>인터페이스·협업</x:v>
      </x:c>
      <x:c r="E223" s="37" t="str">
        <x:v>온라인 엔지니어링</x:v>
      </x:c>
      <x:c r="F223" s="37" t="str">
        <x:v>미정</x:v>
      </x:c>
      <x:c r="G223" s="37" t="str">
        <x:v>미착수</x:v>
      </x:c>
      <x:c r="H223" s="40" t="str">
        <x:v>미정</x:v>
      </x:c>
      <x:c r="I223" s="37"/>
      <x:c r="J223" s="37" t="str">
        <x:v>부문 간</x:v>
      </x:c>
    </x:row>
    <x:row r="224" ht="42" customHeight="1">
      <x:c r="A224" s="37" t="str">
        <x:v>DEP-0223</x:v>
      </x:c>
      <x:c r="B224" s="37" t="str">
        <x:v>ONL-011</x:v>
      </x:c>
      <x:c r="C224" s="37" t="str">
        <x:v>ONL-015</x:v>
      </x:c>
      <x:c r="D224" s="37" t="str">
        <x:v>완료 후 시작</x:v>
      </x:c>
      <x:c r="E224" s="37" t="str">
        <x:v>온라인 엔지니어링</x:v>
      </x:c>
      <x:c r="F224" s="37" t="str">
        <x:v>미정</x:v>
      </x:c>
      <x:c r="G224" s="37" t="str">
        <x:v>미착수</x:v>
      </x:c>
      <x:c r="H224" s="40" t="str">
        <x:v>미정</x:v>
      </x:c>
      <x:c r="I224" s="37"/>
      <x:c r="J224" s="37" t="str">
        <x:v>부문 내</x:v>
      </x:c>
    </x:row>
    <x:row r="225" ht="42" customHeight="1">
      <x:c r="A225" s="37" t="str">
        <x:v>DEP-0224</x:v>
      </x:c>
      <x:c r="B225" s="37" t="str">
        <x:v>ONL-011</x:v>
      </x:c>
      <x:c r="C225" s="37" t="str">
        <x:v>CNT-028</x:v>
      </x:c>
      <x:c r="D225" s="37" t="str">
        <x:v>인터페이스·협업</x:v>
      </x:c>
      <x:c r="E225" s="37" t="str">
        <x:v>온라인 엔지니어링</x:v>
      </x:c>
      <x:c r="F225" s="37" t="str">
        <x:v>미정</x:v>
      </x:c>
      <x:c r="G225" s="37" t="str">
        <x:v>미착수</x:v>
      </x:c>
      <x:c r="H225" s="40" t="str">
        <x:v>미정</x:v>
      </x:c>
      <x:c r="I225" s="37"/>
      <x:c r="J225" s="37" t="str">
        <x:v>부문 간</x:v>
      </x:c>
    </x:row>
    <x:row r="226" ht="42" customHeight="1">
      <x:c r="A226" s="37" t="str">
        <x:v>DEP-0225</x:v>
      </x:c>
      <x:c r="B226" s="37" t="str">
        <x:v>ONL-011</x:v>
      </x:c>
      <x:c r="C226" s="37" t="str">
        <x:v>AUD-003</x:v>
      </x:c>
      <x:c r="D226" s="37" t="str">
        <x:v>인터페이스·협업</x:v>
      </x:c>
      <x:c r="E226" s="37" t="str">
        <x:v>온라인 엔지니어링</x:v>
      </x:c>
      <x:c r="F226" s="37" t="str">
        <x:v>미정</x:v>
      </x:c>
      <x:c r="G226" s="37" t="str">
        <x:v>미착수</x:v>
      </x:c>
      <x:c r="H226" s="40" t="str">
        <x:v>미정</x:v>
      </x:c>
      <x:c r="I226" s="37"/>
      <x:c r="J226" s="37" t="str">
        <x:v>부문 간</x:v>
      </x:c>
    </x:row>
    <x:row r="227" ht="42" customHeight="1">
      <x:c r="A227" s="37" t="str">
        <x:v>DEP-0226</x:v>
      </x:c>
      <x:c r="B227" s="37" t="str">
        <x:v>ONL-012</x:v>
      </x:c>
      <x:c r="C227" s="37" t="str">
        <x:v>ONL-006</x:v>
      </x:c>
      <x:c r="D227" s="37" t="str">
        <x:v>완료 후 시작</x:v>
      </x:c>
      <x:c r="E227" s="37" t="str">
        <x:v>온라인 엔지니어링</x:v>
      </x:c>
      <x:c r="F227" s="37" t="str">
        <x:v>미정</x:v>
      </x:c>
      <x:c r="G227" s="37" t="str">
        <x:v>미착수</x:v>
      </x:c>
      <x:c r="H227" s="40" t="str">
        <x:v>미정</x:v>
      </x:c>
      <x:c r="I227" s="37"/>
      <x:c r="J227" s="37" t="str">
        <x:v>부문 내</x:v>
      </x:c>
    </x:row>
    <x:row r="228" ht="42" customHeight="1">
      <x:c r="A228" s="37" t="str">
        <x:v>DEP-0227</x:v>
      </x:c>
      <x:c r="B228" s="37" t="str">
        <x:v>ONL-012</x:v>
      </x:c>
      <x:c r="C228" s="37" t="str">
        <x:v>BED-002</x:v>
      </x:c>
      <x:c r="D228" s="37" t="str">
        <x:v>인터페이스·협업</x:v>
      </x:c>
      <x:c r="E228" s="37" t="str">
        <x:v>온라인 엔지니어링</x:v>
      </x:c>
      <x:c r="F228" s="37" t="str">
        <x:v>미정</x:v>
      </x:c>
      <x:c r="G228" s="37" t="str">
        <x:v>미착수</x:v>
      </x:c>
      <x:c r="H228" s="40" t="str">
        <x:v>미정</x:v>
      </x:c>
      <x:c r="I228" s="37"/>
      <x:c r="J228" s="37" t="str">
        <x:v>부문 간</x:v>
      </x:c>
    </x:row>
    <x:row r="229" ht="42" customHeight="1">
      <x:c r="A229" s="37" t="str">
        <x:v>DEP-0228</x:v>
      </x:c>
      <x:c r="B229" s="37" t="str">
        <x:v>ONL-013</x:v>
      </x:c>
      <x:c r="C229" s="37" t="str">
        <x:v>ONL-003</x:v>
      </x:c>
      <x:c r="D229" s="37" t="str">
        <x:v>완료 후 시작</x:v>
      </x:c>
      <x:c r="E229" s="37" t="str">
        <x:v>온라인 엔지니어링</x:v>
      </x:c>
      <x:c r="F229" s="37" t="str">
        <x:v>미정</x:v>
      </x:c>
      <x:c r="G229" s="37" t="str">
        <x:v>미착수</x:v>
      </x:c>
      <x:c r="H229" s="40" t="str">
        <x:v>미정</x:v>
      </x:c>
      <x:c r="I229" s="37"/>
      <x:c r="J229" s="37" t="str">
        <x:v>부문 내</x:v>
      </x:c>
    </x:row>
    <x:row r="230" ht="42" customHeight="1">
      <x:c r="A230" s="37" t="str">
        <x:v>DEP-0229</x:v>
      </x:c>
      <x:c r="B230" s="37" t="str">
        <x:v>ONL-013</x:v>
      </x:c>
      <x:c r="C230" s="37" t="str">
        <x:v>ONL-004</x:v>
      </x:c>
      <x:c r="D230" s="37" t="str">
        <x:v>완료 후 시작</x:v>
      </x:c>
      <x:c r="E230" s="37" t="str">
        <x:v>온라인 엔지니어링</x:v>
      </x:c>
      <x:c r="F230" s="37" t="str">
        <x:v>미정</x:v>
      </x:c>
      <x:c r="G230" s="37" t="str">
        <x:v>미착수</x:v>
      </x:c>
      <x:c r="H230" s="40" t="str">
        <x:v>미정</x:v>
      </x:c>
      <x:c r="I230" s="37"/>
      <x:c r="J230" s="37" t="str">
        <x:v>부문 내</x:v>
      </x:c>
    </x:row>
    <x:row r="231" ht="42" customHeight="1">
      <x:c r="A231" s="37" t="str">
        <x:v>DEP-0230</x:v>
      </x:c>
      <x:c r="B231" s="37" t="str">
        <x:v>ONL-013</x:v>
      </x:c>
      <x:c r="C231" s="37" t="str">
        <x:v>ONL-022</x:v>
      </x:c>
      <x:c r="D231" s="37" t="str">
        <x:v>완료 후 시작</x:v>
      </x:c>
      <x:c r="E231" s="37" t="str">
        <x:v>온라인 엔지니어링</x:v>
      </x:c>
      <x:c r="F231" s="37" t="str">
        <x:v>미정</x:v>
      </x:c>
      <x:c r="G231" s="37" t="str">
        <x:v>미착수</x:v>
      </x:c>
      <x:c r="H231" s="40" t="str">
        <x:v>미정</x:v>
      </x:c>
      <x:c r="I231" s="37"/>
      <x:c r="J231" s="37" t="str">
        <x:v>부문 내</x:v>
      </x:c>
    </x:row>
    <x:row r="232" ht="42" customHeight="1">
      <x:c r="A232" s="37" t="str">
        <x:v>DEP-0231</x:v>
      </x:c>
      <x:c r="B232" s="37" t="str">
        <x:v>ONL-014</x:v>
      </x:c>
      <x:c r="C232" s="37" t="str">
        <x:v>ONL-013</x:v>
      </x:c>
      <x:c r="D232" s="37" t="str">
        <x:v>완료 후 시작</x:v>
      </x:c>
      <x:c r="E232" s="37" t="str">
        <x:v>온라인 엔지니어링</x:v>
      </x:c>
      <x:c r="F232" s="37" t="str">
        <x:v>미정</x:v>
      </x:c>
      <x:c r="G232" s="37" t="str">
        <x:v>미착수</x:v>
      </x:c>
      <x:c r="H232" s="40" t="str">
        <x:v>미정</x:v>
      </x:c>
      <x:c r="I232" s="37"/>
      <x:c r="J232" s="37" t="str">
        <x:v>부문 내</x:v>
      </x:c>
    </x:row>
    <x:row r="233" ht="42" customHeight="1">
      <x:c r="A233" s="37" t="str">
        <x:v>DEP-0232</x:v>
      </x:c>
      <x:c r="B233" s="37" t="str">
        <x:v>ONL-015</x:v>
      </x:c>
      <x:c r="C233" s="37" t="str">
        <x:v>NET-002</x:v>
      </x:c>
      <x:c r="D233" s="37" t="str">
        <x:v>인터페이스·협업</x:v>
      </x:c>
      <x:c r="E233" s="37" t="str">
        <x:v>온라인 엔지니어링</x:v>
      </x:c>
      <x:c r="F233" s="37" t="str">
        <x:v>미정</x:v>
      </x:c>
      <x:c r="G233" s="37" t="str">
        <x:v>미착수</x:v>
      </x:c>
      <x:c r="H233" s="40" t="str">
        <x:v>미정</x:v>
      </x:c>
      <x:c r="I233" s="37"/>
      <x:c r="J233" s="37" t="str">
        <x:v>부문 간</x:v>
      </x:c>
    </x:row>
    <x:row r="234" ht="42" customHeight="1">
      <x:c r="A234" s="37" t="str">
        <x:v>DEP-0233</x:v>
      </x:c>
      <x:c r="B234" s="37" t="str">
        <x:v>ONL-015</x:v>
      </x:c>
      <x:c r="C234" s="37" t="str">
        <x:v>BED-015</x:v>
      </x:c>
      <x:c r="D234" s="37" t="str">
        <x:v>인터페이스·협업</x:v>
      </x:c>
      <x:c r="E234" s="37" t="str">
        <x:v>온라인 엔지니어링</x:v>
      </x:c>
      <x:c r="F234" s="37" t="str">
        <x:v>미정</x:v>
      </x:c>
      <x:c r="G234" s="37" t="str">
        <x:v>미착수</x:v>
      </x:c>
      <x:c r="H234" s="40" t="str">
        <x:v>미정</x:v>
      </x:c>
      <x:c r="I234" s="37"/>
      <x:c r="J234" s="37" t="str">
        <x:v>부문 간</x:v>
      </x:c>
    </x:row>
    <x:row r="235" ht="42" customHeight="1">
      <x:c r="A235" s="37" t="str">
        <x:v>DEP-0234</x:v>
      </x:c>
      <x:c r="B235" s="37" t="str">
        <x:v>ONL-015</x:v>
      </x:c>
      <x:c r="C235" s="37" t="str">
        <x:v>CNT-028</x:v>
      </x:c>
      <x:c r="D235" s="37" t="str">
        <x:v>인터페이스·협업</x:v>
      </x:c>
      <x:c r="E235" s="37" t="str">
        <x:v>온라인 엔지니어링</x:v>
      </x:c>
      <x:c r="F235" s="37" t="str">
        <x:v>미정</x:v>
      </x:c>
      <x:c r="G235" s="37" t="str">
        <x:v>미착수</x:v>
      </x:c>
      <x:c r="H235" s="40" t="str">
        <x:v>미정</x:v>
      </x:c>
      <x:c r="I235" s="37"/>
      <x:c r="J235" s="37" t="str">
        <x:v>부문 간</x:v>
      </x:c>
    </x:row>
    <x:row r="236" ht="42" customHeight="1">
      <x:c r="A236" s="37" t="str">
        <x:v>DEP-0235</x:v>
      </x:c>
      <x:c r="B236" s="37" t="str">
        <x:v>ONL-016</x:v>
      </x:c>
      <x:c r="C236" s="37" t="str">
        <x:v>ONL-011</x:v>
      </x:c>
      <x:c r="D236" s="37" t="str">
        <x:v>완료 후 시작</x:v>
      </x:c>
      <x:c r="E236" s="37" t="str">
        <x:v>온라인 엔지니어링</x:v>
      </x:c>
      <x:c r="F236" s="37" t="str">
        <x:v>미정</x:v>
      </x:c>
      <x:c r="G236" s="37" t="str">
        <x:v>미착수</x:v>
      </x:c>
      <x:c r="H236" s="40" t="str">
        <x:v>미정</x:v>
      </x:c>
      <x:c r="I236" s="37"/>
      <x:c r="J236" s="37" t="str">
        <x:v>부문 내</x:v>
      </x:c>
    </x:row>
    <x:row r="237" ht="42" customHeight="1">
      <x:c r="A237" s="37" t="str">
        <x:v>DEP-0236</x:v>
      </x:c>
      <x:c r="B237" s="37" t="str">
        <x:v>ONL-017</x:v>
      </x:c>
      <x:c r="C237" s="37" t="str">
        <x:v>ONL-002</x:v>
      </x:c>
      <x:c r="D237" s="37" t="str">
        <x:v>완료 후 시작</x:v>
      </x:c>
      <x:c r="E237" s="37" t="str">
        <x:v>온라인 엔지니어링</x:v>
      </x:c>
      <x:c r="F237" s="37" t="str">
        <x:v>미정</x:v>
      </x:c>
      <x:c r="G237" s="37" t="str">
        <x:v>미착수</x:v>
      </x:c>
      <x:c r="H237" s="40" t="str">
        <x:v>미정</x:v>
      </x:c>
      <x:c r="I237" s="37"/>
      <x:c r="J237" s="37" t="str">
        <x:v>부문 내</x:v>
      </x:c>
    </x:row>
    <x:row r="238" ht="42" customHeight="1">
      <x:c r="A238" s="37" t="str">
        <x:v>DEP-0237</x:v>
      </x:c>
      <x:c r="B238" s="37" t="str">
        <x:v>ONL-017</x:v>
      </x:c>
      <x:c r="C238" s="37" t="str">
        <x:v>ONL-007</x:v>
      </x:c>
      <x:c r="D238" s="37" t="str">
        <x:v>완료 후 시작</x:v>
      </x:c>
      <x:c r="E238" s="37" t="str">
        <x:v>온라인 엔지니어링</x:v>
      </x:c>
      <x:c r="F238" s="37" t="str">
        <x:v>미정</x:v>
      </x:c>
      <x:c r="G238" s="37" t="str">
        <x:v>미착수</x:v>
      </x:c>
      <x:c r="H238" s="40" t="str">
        <x:v>미정</x:v>
      </x:c>
      <x:c r="I238" s="37"/>
      <x:c r="J238" s="37" t="str">
        <x:v>부문 내</x:v>
      </x:c>
    </x:row>
    <x:row r="239" ht="42" customHeight="1">
      <x:c r="A239" s="37" t="str">
        <x:v>DEP-0238</x:v>
      </x:c>
      <x:c r="B239" s="37" t="str">
        <x:v>ONL-017</x:v>
      </x:c>
      <x:c r="C239" s="37" t="str">
        <x:v>NET-019</x:v>
      </x:c>
      <x:c r="D239" s="37" t="str">
        <x:v>인터페이스·협업</x:v>
      </x:c>
      <x:c r="E239" s="37" t="str">
        <x:v>온라인 엔지니어링</x:v>
      </x:c>
      <x:c r="F239" s="37" t="str">
        <x:v>미정</x:v>
      </x:c>
      <x:c r="G239" s="37" t="str">
        <x:v>미착수</x:v>
      </x:c>
      <x:c r="H239" s="40" t="str">
        <x:v>미정</x:v>
      </x:c>
      <x:c r="I239" s="37"/>
      <x:c r="J239" s="37" t="str">
        <x:v>부문 간</x:v>
      </x:c>
    </x:row>
    <x:row r="240" ht="42" customHeight="1">
      <x:c r="A240" s="37" t="str">
        <x:v>DEP-0239</x:v>
      </x:c>
      <x:c r="B240" s="37" t="str">
        <x:v>ONL-018</x:v>
      </x:c>
      <x:c r="C240" s="37" t="str">
        <x:v>ONL-008</x:v>
      </x:c>
      <x:c r="D240" s="37" t="str">
        <x:v>완료 후 시작</x:v>
      </x:c>
      <x:c r="E240" s="37" t="str">
        <x:v>온라인 엔지니어링</x:v>
      </x:c>
      <x:c r="F240" s="37" t="str">
        <x:v>미정</x:v>
      </x:c>
      <x:c r="G240" s="37" t="str">
        <x:v>미착수</x:v>
      </x:c>
      <x:c r="H240" s="40" t="str">
        <x:v>미정</x:v>
      </x:c>
      <x:c r="I240" s="37"/>
      <x:c r="J240" s="37" t="str">
        <x:v>부문 내</x:v>
      </x:c>
    </x:row>
    <x:row r="241" ht="42" customHeight="1">
      <x:c r="A241" s="37" t="str">
        <x:v>DEP-0240</x:v>
      </x:c>
      <x:c r="B241" s="37" t="str">
        <x:v>ONL-018</x:v>
      </x:c>
      <x:c r="C241" s="37" t="str">
        <x:v>ONL-009</x:v>
      </x:c>
      <x:c r="D241" s="37" t="str">
        <x:v>완료 후 시작</x:v>
      </x:c>
      <x:c r="E241" s="37" t="str">
        <x:v>온라인 엔지니어링</x:v>
      </x:c>
      <x:c r="F241" s="37" t="str">
        <x:v>미정</x:v>
      </x:c>
      <x:c r="G241" s="37" t="str">
        <x:v>미착수</x:v>
      </x:c>
      <x:c r="H241" s="40" t="str">
        <x:v>미정</x:v>
      </x:c>
      <x:c r="I241" s="37"/>
      <x:c r="J241" s="37" t="str">
        <x:v>부문 내</x:v>
      </x:c>
    </x:row>
    <x:row r="242" ht="42" customHeight="1">
      <x:c r="A242" s="37" t="str">
        <x:v>DEP-0241</x:v>
      </x:c>
      <x:c r="B242" s="37" t="str">
        <x:v>ONL-018</x:v>
      </x:c>
      <x:c r="C242" s="37" t="str">
        <x:v>BED-009</x:v>
      </x:c>
      <x:c r="D242" s="37" t="str">
        <x:v>인터페이스·협업</x:v>
      </x:c>
      <x:c r="E242" s="37" t="str">
        <x:v>온라인 엔지니어링</x:v>
      </x:c>
      <x:c r="F242" s="37" t="str">
        <x:v>미정</x:v>
      </x:c>
      <x:c r="G242" s="37" t="str">
        <x:v>미착수</x:v>
      </x:c>
      <x:c r="H242" s="40" t="str">
        <x:v>미정</x:v>
      </x:c>
      <x:c r="I242" s="37"/>
      <x:c r="J242" s="37" t="str">
        <x:v>부문 간</x:v>
      </x:c>
    </x:row>
    <x:row r="243" ht="42" customHeight="1">
      <x:c r="A243" s="37" t="str">
        <x:v>DEP-0242</x:v>
      </x:c>
      <x:c r="B243" s="37" t="str">
        <x:v>ONL-019</x:v>
      </x:c>
      <x:c r="C243" s="37" t="str">
        <x:v>IGM-026</x:v>
      </x:c>
      <x:c r="D243" s="37" t="str">
        <x:v>인터페이스·협업</x:v>
      </x:c>
      <x:c r="E243" s="37" t="str">
        <x:v>온라인 엔지니어링</x:v>
      </x:c>
      <x:c r="F243" s="37" t="str">
        <x:v>미정</x:v>
      </x:c>
      <x:c r="G243" s="37" t="str">
        <x:v>미착수</x:v>
      </x:c>
      <x:c r="H243" s="40" t="str">
        <x:v>미정</x:v>
      </x:c>
      <x:c r="I243" s="37"/>
      <x:c r="J243" s="37" t="str">
        <x:v>부문 간</x:v>
      </x:c>
    </x:row>
    <x:row r="244" ht="42" customHeight="1">
      <x:c r="A244" s="37" t="str">
        <x:v>DEP-0243</x:v>
      </x:c>
      <x:c r="B244" s="37" t="str">
        <x:v>ONL-019</x:v>
      </x:c>
      <x:c r="C244" s="37" t="str">
        <x:v>IGM-027</x:v>
      </x:c>
      <x:c r="D244" s="37" t="str">
        <x:v>인터페이스·협업</x:v>
      </x:c>
      <x:c r="E244" s="37" t="str">
        <x:v>온라인 엔지니어링</x:v>
      </x:c>
      <x:c r="F244" s="37" t="str">
        <x:v>미정</x:v>
      </x:c>
      <x:c r="G244" s="37" t="str">
        <x:v>미착수</x:v>
      </x:c>
      <x:c r="H244" s="40" t="str">
        <x:v>미정</x:v>
      </x:c>
      <x:c r="I244" s="37"/>
      <x:c r="J244" s="37" t="str">
        <x:v>부문 간</x:v>
      </x:c>
    </x:row>
    <x:row r="245" ht="42" customHeight="1">
      <x:c r="A245" s="37" t="str">
        <x:v>DEP-0244</x:v>
      </x:c>
      <x:c r="B245" s="37" t="str">
        <x:v>ONL-019</x:v>
      </x:c>
      <x:c r="C245" s="37" t="str">
        <x:v>IGM-031</x:v>
      </x:c>
      <x:c r="D245" s="37" t="str">
        <x:v>인터페이스·협업</x:v>
      </x:c>
      <x:c r="E245" s="37" t="str">
        <x:v>온라인 엔지니어링</x:v>
      </x:c>
      <x:c r="F245" s="37" t="str">
        <x:v>미정</x:v>
      </x:c>
      <x:c r="G245" s="37" t="str">
        <x:v>미착수</x:v>
      </x:c>
      <x:c r="H245" s="40" t="str">
        <x:v>미정</x:v>
      </x:c>
      <x:c r="I245" s="37"/>
      <x:c r="J245" s="37" t="str">
        <x:v>부문 간</x:v>
      </x:c>
    </x:row>
    <x:row r="246" ht="42" customHeight="1">
      <x:c r="A246" s="37" t="str">
        <x:v>DEP-0245</x:v>
      </x:c>
      <x:c r="B246" s="37" t="str">
        <x:v>ONL-019</x:v>
      </x:c>
      <x:c r="C246" s="37" t="str">
        <x:v>BED-006</x:v>
      </x:c>
      <x:c r="D246" s="37" t="str">
        <x:v>인터페이스·협업</x:v>
      </x:c>
      <x:c r="E246" s="37" t="str">
        <x:v>온라인 엔지니어링</x:v>
      </x:c>
      <x:c r="F246" s="37" t="str">
        <x:v>미정</x:v>
      </x:c>
      <x:c r="G246" s="37" t="str">
        <x:v>미착수</x:v>
      </x:c>
      <x:c r="H246" s="40" t="str">
        <x:v>미정</x:v>
      </x:c>
      <x:c r="I246" s="37"/>
      <x:c r="J246" s="37" t="str">
        <x:v>부문 간</x:v>
      </x:c>
    </x:row>
    <x:row r="247" ht="42" customHeight="1">
      <x:c r="A247" s="37" t="str">
        <x:v>DEP-0246</x:v>
      </x:c>
      <x:c r="B247" s="37" t="str">
        <x:v>ONL-019</x:v>
      </x:c>
      <x:c r="C247" s="37" t="str">
        <x:v>BED-007</x:v>
      </x:c>
      <x:c r="D247" s="37" t="str">
        <x:v>인터페이스·협업</x:v>
      </x:c>
      <x:c r="E247" s="37" t="str">
        <x:v>온라인 엔지니어링</x:v>
      </x:c>
      <x:c r="F247" s="37" t="str">
        <x:v>미정</x:v>
      </x:c>
      <x:c r="G247" s="37" t="str">
        <x:v>미착수</x:v>
      </x:c>
      <x:c r="H247" s="40" t="str">
        <x:v>미정</x:v>
      </x:c>
      <x:c r="I247" s="37"/>
      <x:c r="J247" s="37" t="str">
        <x:v>부문 간</x:v>
      </x:c>
    </x:row>
    <x:row r="248" ht="42" customHeight="1">
      <x:c r="A248" s="37" t="str">
        <x:v>DEP-0247</x:v>
      </x:c>
      <x:c r="B248" s="37" t="str">
        <x:v>ONL-020</x:v>
      </x:c>
      <x:c r="C248" s="37" t="str">
        <x:v>ONL-001</x:v>
      </x:c>
      <x:c r="D248" s="37" t="str">
        <x:v>완료 후 시작</x:v>
      </x:c>
      <x:c r="E248" s="37" t="str">
        <x:v>온라인 엔지니어링</x:v>
      </x:c>
      <x:c r="F248" s="37" t="str">
        <x:v>미정</x:v>
      </x:c>
      <x:c r="G248" s="37" t="str">
        <x:v>미착수</x:v>
      </x:c>
      <x:c r="H248" s="40" t="str">
        <x:v>미정</x:v>
      </x:c>
      <x:c r="I248" s="37"/>
      <x:c r="J248" s="37" t="str">
        <x:v>부문 내</x:v>
      </x:c>
    </x:row>
    <x:row r="249" ht="42" customHeight="1">
      <x:c r="A249" s="37" t="str">
        <x:v>DEP-0248</x:v>
      </x:c>
      <x:c r="B249" s="37" t="str">
        <x:v>ONL-020</x:v>
      </x:c>
      <x:c r="C249" s="37" t="str">
        <x:v>BED-018</x:v>
      </x:c>
      <x:c r="D249" s="37" t="str">
        <x:v>인터페이스·협업</x:v>
      </x:c>
      <x:c r="E249" s="37" t="str">
        <x:v>온라인 엔지니어링</x:v>
      </x:c>
      <x:c r="F249" s="37" t="str">
        <x:v>미정</x:v>
      </x:c>
      <x:c r="G249" s="37" t="str">
        <x:v>미착수</x:v>
      </x:c>
      <x:c r="H249" s="40" t="str">
        <x:v>미정</x:v>
      </x:c>
      <x:c r="I249" s="37"/>
      <x:c r="J249" s="37" t="str">
        <x:v>부문 간</x:v>
      </x:c>
    </x:row>
    <x:row r="250" ht="42" customHeight="1">
      <x:c r="A250" s="37" t="str">
        <x:v>DEP-0249</x:v>
      </x:c>
      <x:c r="B250" s="37" t="str">
        <x:v>ONL-021</x:v>
      </x:c>
      <x:c r="C250" s="37" t="str">
        <x:v>ONL-008</x:v>
      </x:c>
      <x:c r="D250" s="37" t="str">
        <x:v>완료 후 시작</x:v>
      </x:c>
      <x:c r="E250" s="37" t="str">
        <x:v>온라인 엔지니어링</x:v>
      </x:c>
      <x:c r="F250" s="37" t="str">
        <x:v>미정</x:v>
      </x:c>
      <x:c r="G250" s="37" t="str">
        <x:v>미착수</x:v>
      </x:c>
      <x:c r="H250" s="40" t="str">
        <x:v>미정</x:v>
      </x:c>
      <x:c r="I250" s="37"/>
      <x:c r="J250" s="37" t="str">
        <x:v>부문 내</x:v>
      </x:c>
    </x:row>
    <x:row r="251" ht="42" customHeight="1">
      <x:c r="A251" s="37" t="str">
        <x:v>DEP-0250</x:v>
      </x:c>
      <x:c r="B251" s="37" t="str">
        <x:v>ONL-021</x:v>
      </x:c>
      <x:c r="C251" s="37" t="str">
        <x:v>NET-020</x:v>
      </x:c>
      <x:c r="D251" s="37" t="str">
        <x:v>인터페이스·협업</x:v>
      </x:c>
      <x:c r="E251" s="37" t="str">
        <x:v>온라인 엔지니어링</x:v>
      </x:c>
      <x:c r="F251" s="37" t="str">
        <x:v>미정</x:v>
      </x:c>
      <x:c r="G251" s="37" t="str">
        <x:v>미착수</x:v>
      </x:c>
      <x:c r="H251" s="40" t="str">
        <x:v>미정</x:v>
      </x:c>
      <x:c r="I251" s="37"/>
      <x:c r="J251" s="37" t="str">
        <x:v>부문 간</x:v>
      </x:c>
    </x:row>
    <x:row r="252" ht="42" customHeight="1">
      <x:c r="A252" s="37" t="str">
        <x:v>DEP-0251</x:v>
      </x:c>
      <x:c r="B252" s="37" t="str">
        <x:v>ONL-022</x:v>
      </x:c>
      <x:c r="C252" s="37" t="str">
        <x:v>SET-026</x:v>
      </x:c>
      <x:c r="D252" s="37" t="str">
        <x:v>인터페이스·협업</x:v>
      </x:c>
      <x:c r="E252" s="37" t="str">
        <x:v>온라인 엔지니어링</x:v>
      </x:c>
      <x:c r="F252" s="37" t="str">
        <x:v>미정</x:v>
      </x:c>
      <x:c r="G252" s="37" t="str">
        <x:v>미착수</x:v>
      </x:c>
      <x:c r="H252" s="40" t="str">
        <x:v>미정</x:v>
      </x:c>
      <x:c r="I252" s="37"/>
      <x:c r="J252" s="37" t="str">
        <x:v>부문 간</x:v>
      </x:c>
    </x:row>
    <x:row r="253" ht="42" customHeight="1">
      <x:c r="A253" s="37" t="str">
        <x:v>DEP-0252</x:v>
      </x:c>
      <x:c r="B253" s="37" t="str">
        <x:v>ONL-022</x:v>
      </x:c>
      <x:c r="C253" s="37" t="str">
        <x:v>BED-013</x:v>
      </x:c>
      <x:c r="D253" s="37" t="str">
        <x:v>인터페이스·협업</x:v>
      </x:c>
      <x:c r="E253" s="37" t="str">
        <x:v>온라인 엔지니어링</x:v>
      </x:c>
      <x:c r="F253" s="37" t="str">
        <x:v>미정</x:v>
      </x:c>
      <x:c r="G253" s="37" t="str">
        <x:v>미착수</x:v>
      </x:c>
      <x:c r="H253" s="40" t="str">
        <x:v>미정</x:v>
      </x:c>
      <x:c r="I253" s="37"/>
      <x:c r="J253" s="37" t="str">
        <x:v>부문 간</x:v>
      </x:c>
    </x:row>
    <x:row r="254" ht="42" customHeight="1">
      <x:c r="A254" s="37" t="str">
        <x:v>DEP-0253</x:v>
      </x:c>
      <x:c r="B254" s="37" t="str">
        <x:v>ONL-023</x:v>
      </x:c>
      <x:c r="C254" s="37" t="str">
        <x:v>BED-017</x:v>
      </x:c>
      <x:c r="D254" s="37" t="str">
        <x:v>인터페이스·협업</x:v>
      </x:c>
      <x:c r="E254" s="37" t="str">
        <x:v>온라인 엔지니어링</x:v>
      </x:c>
      <x:c r="F254" s="37" t="str">
        <x:v>미정</x:v>
      </x:c>
      <x:c r="G254" s="37" t="str">
        <x:v>미착수</x:v>
      </x:c>
      <x:c r="H254" s="40" t="str">
        <x:v>미정</x:v>
      </x:c>
      <x:c r="I254" s="37"/>
      <x:c r="J254" s="37" t="str">
        <x:v>부문 간</x:v>
      </x:c>
    </x:row>
    <x:row r="255" ht="42" customHeight="1">
      <x:c r="A255" s="37" t="str">
        <x:v>DEP-0254</x:v>
      </x:c>
      <x:c r="B255" s="37" t="str">
        <x:v>ONL-023</x:v>
      </x:c>
      <x:c r="C255" s="37" t="str">
        <x:v>BED-018</x:v>
      </x:c>
      <x:c r="D255" s="37" t="str">
        <x:v>인터페이스·협업</x:v>
      </x:c>
      <x:c r="E255" s="37" t="str">
        <x:v>온라인 엔지니어링</x:v>
      </x:c>
      <x:c r="F255" s="37" t="str">
        <x:v>미정</x:v>
      </x:c>
      <x:c r="G255" s="37" t="str">
        <x:v>미착수</x:v>
      </x:c>
      <x:c r="H255" s="40" t="str">
        <x:v>미정</x:v>
      </x:c>
      <x:c r="I255" s="37"/>
      <x:c r="J255" s="37" t="str">
        <x:v>부문 간</x:v>
      </x:c>
    </x:row>
    <x:row r="256" ht="42" customHeight="1">
      <x:c r="A256" s="37" t="str">
        <x:v>DEP-0255</x:v>
      </x:c>
      <x:c r="B256" s="37" t="str">
        <x:v>ONL-024</x:v>
      </x:c>
      <x:c r="C256" s="37" t="str">
        <x:v>ONL-013</x:v>
      </x:c>
      <x:c r="D256" s="37" t="str">
        <x:v>완료 후 시작</x:v>
      </x:c>
      <x:c r="E256" s="37" t="str">
        <x:v>온라인 엔지니어링</x:v>
      </x:c>
      <x:c r="F256" s="37" t="str">
        <x:v>미정</x:v>
      </x:c>
      <x:c r="G256" s="37" t="str">
        <x:v>미착수</x:v>
      </x:c>
      <x:c r="H256" s="40" t="str">
        <x:v>미정</x:v>
      </x:c>
      <x:c r="I256" s="37"/>
      <x:c r="J256" s="37" t="str">
        <x:v>부문 내</x:v>
      </x:c>
    </x:row>
    <x:row r="257" ht="42" customHeight="1">
      <x:c r="A257" s="37" t="str">
        <x:v>DEP-0256</x:v>
      </x:c>
      <x:c r="B257" s="37" t="str">
        <x:v>ONL-024</x:v>
      </x:c>
      <x:c r="C257" s="37" t="str">
        <x:v>BED-008</x:v>
      </x:c>
      <x:c r="D257" s="37" t="str">
        <x:v>인터페이스·협업</x:v>
      </x:c>
      <x:c r="E257" s="37" t="str">
        <x:v>온라인 엔지니어링</x:v>
      </x:c>
      <x:c r="F257" s="37" t="str">
        <x:v>미정</x:v>
      </x:c>
      <x:c r="G257" s="37" t="str">
        <x:v>미착수</x:v>
      </x:c>
      <x:c r="H257" s="40" t="str">
        <x:v>미정</x:v>
      </x:c>
      <x:c r="I257" s="37"/>
      <x:c r="J257" s="37" t="str">
        <x:v>부문 간</x:v>
      </x:c>
    </x:row>
    <x:row r="258" ht="42" customHeight="1">
      <x:c r="A258" s="37" t="str">
        <x:v>DEP-0257</x:v>
      </x:c>
      <x:c r="B258" s="37" t="str">
        <x:v>ONL-025</x:v>
      </x:c>
      <x:c r="C258" s="37" t="str">
        <x:v>BED-016</x:v>
      </x:c>
      <x:c r="D258" s="37" t="str">
        <x:v>인터페이스·협업</x:v>
      </x:c>
      <x:c r="E258" s="37" t="str">
        <x:v>온라인 엔지니어링</x:v>
      </x:c>
      <x:c r="F258" s="37" t="str">
        <x:v>미정</x:v>
      </x:c>
      <x:c r="G258" s="37" t="str">
        <x:v>미착수</x:v>
      </x:c>
      <x:c r="H258" s="40" t="str">
        <x:v>미정</x:v>
      </x:c>
      <x:c r="I258" s="37"/>
      <x:c r="J258" s="37" t="str">
        <x:v>부문 간</x:v>
      </x:c>
    </x:row>
    <x:row r="259" ht="42" customHeight="1">
      <x:c r="A259" s="37" t="str">
        <x:v>DEP-0258</x:v>
      </x:c>
      <x:c r="B259" s="37" t="str">
        <x:v>ONL-025</x:v>
      </x:c>
      <x:c r="C259" s="37" t="str">
        <x:v>BED-019</x:v>
      </x:c>
      <x:c r="D259" s="37" t="str">
        <x:v>인터페이스·협업</x:v>
      </x:c>
      <x:c r="E259" s="37" t="str">
        <x:v>온라인 엔지니어링</x:v>
      </x:c>
      <x:c r="F259" s="37" t="str">
        <x:v>미정</x:v>
      </x:c>
      <x:c r="G259" s="37" t="str">
        <x:v>미착수</x:v>
      </x:c>
      <x:c r="H259" s="40" t="str">
        <x:v>미정</x:v>
      </x:c>
      <x:c r="I259" s="37"/>
      <x:c r="J259" s="37" t="str">
        <x:v>부문 간</x:v>
      </x:c>
    </x:row>
    <x:row r="260" ht="42" customHeight="1">
      <x:c r="A260" s="37" t="str">
        <x:v>DEP-0259</x:v>
      </x:c>
      <x:c r="B260" s="37" t="str">
        <x:v>ONL-025</x:v>
      </x:c>
      <x:c r="C260" s="37" t="str">
        <x:v>UIX-026</x:v>
      </x:c>
      <x:c r="D260" s="37" t="str">
        <x:v>인터페이스·협업</x:v>
      </x:c>
      <x:c r="E260" s="37" t="str">
        <x:v>온라인 엔지니어링</x:v>
      </x:c>
      <x:c r="F260" s="37" t="str">
        <x:v>미정</x:v>
      </x:c>
      <x:c r="G260" s="37" t="str">
        <x:v>미착수</x:v>
      </x:c>
      <x:c r="H260" s="40" t="str">
        <x:v>미정</x:v>
      </x:c>
      <x:c r="I260" s="37"/>
      <x:c r="J260" s="37" t="str">
        <x:v>부문 간</x:v>
      </x:c>
    </x:row>
    <x:row r="261" ht="42" customHeight="1">
      <x:c r="A261" s="37" t="str">
        <x:v>DEP-0260</x:v>
      </x:c>
      <x:c r="B261" s="37" t="str">
        <x:v>NET-002</x:v>
      </x:c>
      <x:c r="C261" s="37" t="str">
        <x:v>NET-001</x:v>
      </x:c>
      <x:c r="D261" s="37" t="str">
        <x:v>완료 후 시작</x:v>
      </x:c>
      <x:c r="E261" s="37" t="str">
        <x:v>네트워크 엔지니어링</x:v>
      </x:c>
      <x:c r="F261" s="37" t="str">
        <x:v>미정</x:v>
      </x:c>
      <x:c r="G261" s="37" t="str">
        <x:v>미착수</x:v>
      </x:c>
      <x:c r="H261" s="40" t="str">
        <x:v>미정</x:v>
      </x:c>
      <x:c r="I261" s="37"/>
      <x:c r="J261" s="37" t="str">
        <x:v>부문 내</x:v>
      </x:c>
    </x:row>
    <x:row r="262" ht="42" customHeight="1">
      <x:c r="A262" s="37" t="str">
        <x:v>DEP-0261</x:v>
      </x:c>
      <x:c r="B262" s="37" t="str">
        <x:v>NET-003</x:v>
      </x:c>
      <x:c r="C262" s="37" t="str">
        <x:v>NET-001</x:v>
      </x:c>
      <x:c r="D262" s="37" t="str">
        <x:v>완료 후 시작</x:v>
      </x:c>
      <x:c r="E262" s="37" t="str">
        <x:v>네트워크 엔지니어링</x:v>
      </x:c>
      <x:c r="F262" s="37" t="str">
        <x:v>미정</x:v>
      </x:c>
      <x:c r="G262" s="37" t="str">
        <x:v>미착수</x:v>
      </x:c>
      <x:c r="H262" s="40" t="str">
        <x:v>미정</x:v>
      </x:c>
      <x:c r="I262" s="37"/>
      <x:c r="J262" s="37" t="str">
        <x:v>부문 내</x:v>
      </x:c>
    </x:row>
    <x:row r="263" ht="42" customHeight="1">
      <x:c r="A263" s="37" t="str">
        <x:v>DEP-0262</x:v>
      </x:c>
      <x:c r="B263" s="37" t="str">
        <x:v>NET-004</x:v>
      </x:c>
      <x:c r="C263" s="37" t="str">
        <x:v>ONL-002</x:v>
      </x:c>
      <x:c r="D263" s="37" t="str">
        <x:v>인터페이스·협업</x:v>
      </x:c>
      <x:c r="E263" s="37" t="str">
        <x:v>네트워크 엔지니어링</x:v>
      </x:c>
      <x:c r="F263" s="37" t="str">
        <x:v>미정</x:v>
      </x:c>
      <x:c r="G263" s="37" t="str">
        <x:v>미착수</x:v>
      </x:c>
      <x:c r="H263" s="40" t="str">
        <x:v>미정</x:v>
      </x:c>
      <x:c r="I263" s="37"/>
      <x:c r="J263" s="37" t="str">
        <x:v>부문 간</x:v>
      </x:c>
    </x:row>
    <x:row r="264" ht="42" customHeight="1">
      <x:c r="A264" s="37" t="str">
        <x:v>DEP-0263</x:v>
      </x:c>
      <x:c r="B264" s="37" t="str">
        <x:v>NET-004</x:v>
      </x:c>
      <x:c r="C264" s="37" t="str">
        <x:v>BED-001</x:v>
      </x:c>
      <x:c r="D264" s="37" t="str">
        <x:v>인터페이스·협업</x:v>
      </x:c>
      <x:c r="E264" s="37" t="str">
        <x:v>네트워크 엔지니어링</x:v>
      </x:c>
      <x:c r="F264" s="37" t="str">
        <x:v>미정</x:v>
      </x:c>
      <x:c r="G264" s="37" t="str">
        <x:v>미착수</x:v>
      </x:c>
      <x:c r="H264" s="40" t="str">
        <x:v>미정</x:v>
      </x:c>
      <x:c r="I264" s="37"/>
      <x:c r="J264" s="37" t="str">
        <x:v>부문 간</x:v>
      </x:c>
    </x:row>
    <x:row r="265" ht="42" customHeight="1">
      <x:c r="A265" s="37" t="str">
        <x:v>DEP-0264</x:v>
      </x:c>
      <x:c r="B265" s="37" t="str">
        <x:v>NET-005</x:v>
      </x:c>
      <x:c r="C265" s="37" t="str">
        <x:v>NET-004</x:v>
      </x:c>
      <x:c r="D265" s="37" t="str">
        <x:v>완료 후 시작</x:v>
      </x:c>
      <x:c r="E265" s="37" t="str">
        <x:v>네트워크 엔지니어링</x:v>
      </x:c>
      <x:c r="F265" s="37" t="str">
        <x:v>미정</x:v>
      </x:c>
      <x:c r="G265" s="37" t="str">
        <x:v>미착수</x:v>
      </x:c>
      <x:c r="H265" s="40" t="str">
        <x:v>미정</x:v>
      </x:c>
      <x:c r="I265" s="37"/>
      <x:c r="J265" s="37" t="str">
        <x:v>부문 내</x:v>
      </x:c>
    </x:row>
    <x:row r="266" ht="42" customHeight="1">
      <x:c r="A266" s="37" t="str">
        <x:v>DEP-0265</x:v>
      </x:c>
      <x:c r="B266" s="37" t="str">
        <x:v>NET-006</x:v>
      </x:c>
      <x:c r="C266" s="37" t="str">
        <x:v>NET-005</x:v>
      </x:c>
      <x:c r="D266" s="37" t="str">
        <x:v>완료 후 시작</x:v>
      </x:c>
      <x:c r="E266" s="37" t="str">
        <x:v>네트워크 엔지니어링</x:v>
      </x:c>
      <x:c r="F266" s="37" t="str">
        <x:v>미정</x:v>
      </x:c>
      <x:c r="G266" s="37" t="str">
        <x:v>미착수</x:v>
      </x:c>
      <x:c r="H266" s="40" t="str">
        <x:v>미정</x:v>
      </x:c>
      <x:c r="I266" s="37"/>
      <x:c r="J266" s="37" t="str">
        <x:v>부문 내</x:v>
      </x:c>
    </x:row>
    <x:row r="267" ht="42" customHeight="1">
      <x:c r="A267" s="37" t="str">
        <x:v>DEP-0266</x:v>
      </x:c>
      <x:c r="B267" s="37" t="str">
        <x:v>NET-006</x:v>
      </x:c>
      <x:c r="C267" s="37" t="str">
        <x:v>ONL-007</x:v>
      </x:c>
      <x:c r="D267" s="37" t="str">
        <x:v>인터페이스·협업</x:v>
      </x:c>
      <x:c r="E267" s="37" t="str">
        <x:v>네트워크 엔지니어링</x:v>
      </x:c>
      <x:c r="F267" s="37" t="str">
        <x:v>미정</x:v>
      </x:c>
      <x:c r="G267" s="37" t="str">
        <x:v>미착수</x:v>
      </x:c>
      <x:c r="H267" s="40" t="str">
        <x:v>미정</x:v>
      </x:c>
      <x:c r="I267" s="37"/>
      <x:c r="J267" s="37" t="str">
        <x:v>부문 간</x:v>
      </x:c>
    </x:row>
    <x:row r="268" ht="42" customHeight="1">
      <x:c r="A268" s="37" t="str">
        <x:v>DEP-0267</x:v>
      </x:c>
      <x:c r="B268" s="37" t="str">
        <x:v>NET-007</x:v>
      </x:c>
      <x:c r="C268" s="37" t="str">
        <x:v>NET-006</x:v>
      </x:c>
      <x:c r="D268" s="37" t="str">
        <x:v>완료 후 시작</x:v>
      </x:c>
      <x:c r="E268" s="37" t="str">
        <x:v>네트워크 엔지니어링</x:v>
      </x:c>
      <x:c r="F268" s="37" t="str">
        <x:v>미정</x:v>
      </x:c>
      <x:c r="G268" s="37" t="str">
        <x:v>미착수</x:v>
      </x:c>
      <x:c r="H268" s="40" t="str">
        <x:v>미정</x:v>
      </x:c>
      <x:c r="I268" s="37"/>
      <x:c r="J268" s="37" t="str">
        <x:v>부문 내</x:v>
      </x:c>
    </x:row>
    <x:row r="269" ht="42" customHeight="1">
      <x:c r="A269" s="37" t="str">
        <x:v>DEP-0268</x:v>
      </x:c>
      <x:c r="B269" s="37" t="str">
        <x:v>NET-007</x:v>
      </x:c>
      <x:c r="C269" s="37" t="str">
        <x:v>SET-021</x:v>
      </x:c>
      <x:c r="D269" s="37" t="str">
        <x:v>인터페이스·협업</x:v>
      </x:c>
      <x:c r="E269" s="37" t="str">
        <x:v>네트워크 엔지니어링</x:v>
      </x:c>
      <x:c r="F269" s="37" t="str">
        <x:v>미정</x:v>
      </x:c>
      <x:c r="G269" s="37" t="str">
        <x:v>미착수</x:v>
      </x:c>
      <x:c r="H269" s="40" t="str">
        <x:v>미정</x:v>
      </x:c>
      <x:c r="I269" s="37"/>
      <x:c r="J269" s="37" t="str">
        <x:v>부문 간</x:v>
      </x:c>
    </x:row>
    <x:row r="270" ht="42" customHeight="1">
      <x:c r="A270" s="37" t="str">
        <x:v>DEP-0269</x:v>
      </x:c>
      <x:c r="B270" s="37" t="str">
        <x:v>NET-008</x:v>
      </x:c>
      <x:c r="C270" s="37" t="str">
        <x:v>NET-004</x:v>
      </x:c>
      <x:c r="D270" s="37" t="str">
        <x:v>완료 후 시작</x:v>
      </x:c>
      <x:c r="E270" s="37" t="str">
        <x:v>네트워크 엔지니어링</x:v>
      </x:c>
      <x:c r="F270" s="37" t="str">
        <x:v>미정</x:v>
      </x:c>
      <x:c r="G270" s="37" t="str">
        <x:v>미착수</x:v>
      </x:c>
      <x:c r="H270" s="40" t="str">
        <x:v>미정</x:v>
      </x:c>
      <x:c r="I270" s="37"/>
      <x:c r="J270" s="37" t="str">
        <x:v>부문 내</x:v>
      </x:c>
    </x:row>
    <x:row r="271" ht="42" customHeight="1">
      <x:c r="A271" s="37" t="str">
        <x:v>DEP-0270</x:v>
      </x:c>
      <x:c r="B271" s="37" t="str">
        <x:v>NET-009</x:v>
      </x:c>
      <x:c r="C271" s="37" t="str">
        <x:v>NET-003</x:v>
      </x:c>
      <x:c r="D271" s="37" t="str">
        <x:v>완료 후 시작</x:v>
      </x:c>
      <x:c r="E271" s="37" t="str">
        <x:v>네트워크 엔지니어링</x:v>
      </x:c>
      <x:c r="F271" s="37" t="str">
        <x:v>미정</x:v>
      </x:c>
      <x:c r="G271" s="37" t="str">
        <x:v>미착수</x:v>
      </x:c>
      <x:c r="H271" s="40" t="str">
        <x:v>미정</x:v>
      </x:c>
      <x:c r="I271" s="37"/>
      <x:c r="J271" s="37" t="str">
        <x:v>부문 내</x:v>
      </x:c>
    </x:row>
    <x:row r="272" ht="42" customHeight="1">
      <x:c r="A272" s="37" t="str">
        <x:v>DEP-0271</x:v>
      </x:c>
      <x:c r="B272" s="37" t="str">
        <x:v>NET-009</x:v>
      </x:c>
      <x:c r="C272" s="37" t="str">
        <x:v>NET-005</x:v>
      </x:c>
      <x:c r="D272" s="37" t="str">
        <x:v>완료 후 시작</x:v>
      </x:c>
      <x:c r="E272" s="37" t="str">
        <x:v>네트워크 엔지니어링</x:v>
      </x:c>
      <x:c r="F272" s="37" t="str">
        <x:v>미정</x:v>
      </x:c>
      <x:c r="G272" s="37" t="str">
        <x:v>미착수</x:v>
      </x:c>
      <x:c r="H272" s="40" t="str">
        <x:v>미정</x:v>
      </x:c>
      <x:c r="I272" s="37"/>
      <x:c r="J272" s="37" t="str">
        <x:v>부문 내</x:v>
      </x:c>
    </x:row>
    <x:row r="273" ht="42" customHeight="1">
      <x:c r="A273" s="37" t="str">
        <x:v>DEP-0272</x:v>
      </x:c>
      <x:c r="B273" s="37" t="str">
        <x:v>NET-010</x:v>
      </x:c>
      <x:c r="C273" s="37" t="str">
        <x:v>NET-003</x:v>
      </x:c>
      <x:c r="D273" s="37" t="str">
        <x:v>완료 후 시작</x:v>
      </x:c>
      <x:c r="E273" s="37" t="str">
        <x:v>네트워크 엔지니어링</x:v>
      </x:c>
      <x:c r="F273" s="37" t="str">
        <x:v>미정</x:v>
      </x:c>
      <x:c r="G273" s="37" t="str">
        <x:v>미착수</x:v>
      </x:c>
      <x:c r="H273" s="40" t="str">
        <x:v>미정</x:v>
      </x:c>
      <x:c r="I273" s="37"/>
      <x:c r="J273" s="37" t="str">
        <x:v>부문 내</x:v>
      </x:c>
    </x:row>
    <x:row r="274" ht="42" customHeight="1">
      <x:c r="A274" s="37" t="str">
        <x:v>DEP-0273</x:v>
      </x:c>
      <x:c r="B274" s="37" t="str">
        <x:v>NET-010</x:v>
      </x:c>
      <x:c r="C274" s="37" t="str">
        <x:v>NET-008</x:v>
      </x:c>
      <x:c r="D274" s="37" t="str">
        <x:v>완료 후 시작</x:v>
      </x:c>
      <x:c r="E274" s="37" t="str">
        <x:v>네트워크 엔지니어링</x:v>
      </x:c>
      <x:c r="F274" s="37" t="str">
        <x:v>미정</x:v>
      </x:c>
      <x:c r="G274" s="37" t="str">
        <x:v>미착수</x:v>
      </x:c>
      <x:c r="H274" s="40" t="str">
        <x:v>미정</x:v>
      </x:c>
      <x:c r="I274" s="37"/>
      <x:c r="J274" s="37" t="str">
        <x:v>부문 내</x:v>
      </x:c>
    </x:row>
    <x:row r="275" ht="42" customHeight="1">
      <x:c r="A275" s="37" t="str">
        <x:v>DEP-0274</x:v>
      </x:c>
      <x:c r="B275" s="37" t="str">
        <x:v>NET-010</x:v>
      </x:c>
      <x:c r="C275" s="37" t="str">
        <x:v>IGM-001</x:v>
      </x:c>
      <x:c r="D275" s="37" t="str">
        <x:v>인터페이스·협업</x:v>
      </x:c>
      <x:c r="E275" s="37" t="str">
        <x:v>네트워크 엔지니어링</x:v>
      </x:c>
      <x:c r="F275" s="37" t="str">
        <x:v>미정</x:v>
      </x:c>
      <x:c r="G275" s="37" t="str">
        <x:v>미착수</x:v>
      </x:c>
      <x:c r="H275" s="40" t="str">
        <x:v>미정</x:v>
      </x:c>
      <x:c r="I275" s="37"/>
      <x:c r="J275" s="37" t="str">
        <x:v>부문 간</x:v>
      </x:c>
    </x:row>
    <x:row r="276" ht="42" customHeight="1">
      <x:c r="A276" s="37" t="str">
        <x:v>DEP-0275</x:v>
      </x:c>
      <x:c r="B276" s="37" t="str">
        <x:v>NET-011</x:v>
      </x:c>
      <x:c r="C276" s="37" t="str">
        <x:v>NET-001</x:v>
      </x:c>
      <x:c r="D276" s="37" t="str">
        <x:v>완료 후 시작</x:v>
      </x:c>
      <x:c r="E276" s="37" t="str">
        <x:v>네트워크 엔지니어링</x:v>
      </x:c>
      <x:c r="F276" s="37" t="str">
        <x:v>미정</x:v>
      </x:c>
      <x:c r="G276" s="37" t="str">
        <x:v>미착수</x:v>
      </x:c>
      <x:c r="H276" s="40" t="str">
        <x:v>미정</x:v>
      </x:c>
      <x:c r="I276" s="37"/>
      <x:c r="J276" s="37" t="str">
        <x:v>부문 내</x:v>
      </x:c>
    </x:row>
    <x:row r="277" ht="42" customHeight="1">
      <x:c r="A277" s="37" t="str">
        <x:v>DEP-0276</x:v>
      </x:c>
      <x:c r="B277" s="37" t="str">
        <x:v>NET-012</x:v>
      </x:c>
      <x:c r="C277" s="37" t="str">
        <x:v>NET-004</x:v>
      </x:c>
      <x:c r="D277" s="37" t="str">
        <x:v>완료 후 시작</x:v>
      </x:c>
      <x:c r="E277" s="37" t="str">
        <x:v>네트워크 엔지니어링</x:v>
      </x:c>
      <x:c r="F277" s="37" t="str">
        <x:v>미정</x:v>
      </x:c>
      <x:c r="G277" s="37" t="str">
        <x:v>미착수</x:v>
      </x:c>
      <x:c r="H277" s="40" t="str">
        <x:v>미정</x:v>
      </x:c>
      <x:c r="I277" s="37"/>
      <x:c r="J277" s="37" t="str">
        <x:v>부문 내</x:v>
      </x:c>
    </x:row>
    <x:row r="278" ht="42" customHeight="1">
      <x:c r="A278" s="37" t="str">
        <x:v>DEP-0277</x:v>
      </x:c>
      <x:c r="B278" s="37" t="str">
        <x:v>NET-012</x:v>
      </x:c>
      <x:c r="C278" s="37" t="str">
        <x:v>NET-005</x:v>
      </x:c>
      <x:c r="D278" s="37" t="str">
        <x:v>완료 후 시작</x:v>
      </x:c>
      <x:c r="E278" s="37" t="str">
        <x:v>네트워크 엔지니어링</x:v>
      </x:c>
      <x:c r="F278" s="37" t="str">
        <x:v>미정</x:v>
      </x:c>
      <x:c r="G278" s="37" t="str">
        <x:v>미착수</x:v>
      </x:c>
      <x:c r="H278" s="40" t="str">
        <x:v>미정</x:v>
      </x:c>
      <x:c r="I278" s="37"/>
      <x:c r="J278" s="37" t="str">
        <x:v>부문 내</x:v>
      </x:c>
    </x:row>
    <x:row r="279" ht="42" customHeight="1">
      <x:c r="A279" s="37" t="str">
        <x:v>DEP-0278</x:v>
      </x:c>
      <x:c r="B279" s="37" t="str">
        <x:v>NET-013</x:v>
      </x:c>
      <x:c r="C279" s="37" t="str">
        <x:v>NET-012</x:v>
      </x:c>
      <x:c r="D279" s="37" t="str">
        <x:v>완료 후 시작</x:v>
      </x:c>
      <x:c r="E279" s="37" t="str">
        <x:v>네트워크 엔지니어링</x:v>
      </x:c>
      <x:c r="F279" s="37" t="str">
        <x:v>미정</x:v>
      </x:c>
      <x:c r="G279" s="37" t="str">
        <x:v>미착수</x:v>
      </x:c>
      <x:c r="H279" s="40" t="str">
        <x:v>미정</x:v>
      </x:c>
      <x:c r="I279" s="37"/>
      <x:c r="J279" s="37" t="str">
        <x:v>부문 내</x:v>
      </x:c>
    </x:row>
    <x:row r="280" ht="42" customHeight="1">
      <x:c r="A280" s="37" t="str">
        <x:v>DEP-0279</x:v>
      </x:c>
      <x:c r="B280" s="37" t="str">
        <x:v>NET-013</x:v>
      </x:c>
      <x:c r="C280" s="37" t="str">
        <x:v>IGM-016</x:v>
      </x:c>
      <x:c r="D280" s="37" t="str">
        <x:v>인터페이스·협업</x:v>
      </x:c>
      <x:c r="E280" s="37" t="str">
        <x:v>네트워크 엔지니어링</x:v>
      </x:c>
      <x:c r="F280" s="37" t="str">
        <x:v>미정</x:v>
      </x:c>
      <x:c r="G280" s="37" t="str">
        <x:v>미착수</x:v>
      </x:c>
      <x:c r="H280" s="40" t="str">
        <x:v>미정</x:v>
      </x:c>
      <x:c r="I280" s="37"/>
      <x:c r="J280" s="37" t="str">
        <x:v>부문 간</x:v>
      </x:c>
    </x:row>
    <x:row r="281" ht="42" customHeight="1">
      <x:c r="A281" s="37" t="str">
        <x:v>DEP-0280</x:v>
      </x:c>
      <x:c r="B281" s="37" t="str">
        <x:v>NET-014</x:v>
      </x:c>
      <x:c r="C281" s="37" t="str">
        <x:v>NET-013</x:v>
      </x:c>
      <x:c r="D281" s="37" t="str">
        <x:v>완료 후 시작</x:v>
      </x:c>
      <x:c r="E281" s="37" t="str">
        <x:v>네트워크 엔지니어링</x:v>
      </x:c>
      <x:c r="F281" s="37" t="str">
        <x:v>미정</x:v>
      </x:c>
      <x:c r="G281" s="37" t="str">
        <x:v>미착수</x:v>
      </x:c>
      <x:c r="H281" s="40" t="str">
        <x:v>미정</x:v>
      </x:c>
      <x:c r="I281" s="37"/>
      <x:c r="J281" s="37" t="str">
        <x:v>부문 내</x:v>
      </x:c>
    </x:row>
    <x:row r="282" ht="42" customHeight="1">
      <x:c r="A282" s="37" t="str">
        <x:v>DEP-0281</x:v>
      </x:c>
      <x:c r="B282" s="37" t="str">
        <x:v>NET-014</x:v>
      </x:c>
      <x:c r="C282" s="37" t="str">
        <x:v>IGM-018</x:v>
      </x:c>
      <x:c r="D282" s="37" t="str">
        <x:v>인터페이스·협업</x:v>
      </x:c>
      <x:c r="E282" s="37" t="str">
        <x:v>네트워크 엔지니어링</x:v>
      </x:c>
      <x:c r="F282" s="37" t="str">
        <x:v>미정</x:v>
      </x:c>
      <x:c r="G282" s="37" t="str">
        <x:v>미착수</x:v>
      </x:c>
      <x:c r="H282" s="40" t="str">
        <x:v>미정</x:v>
      </x:c>
      <x:c r="I282" s="37"/>
      <x:c r="J282" s="37" t="str">
        <x:v>부문 간</x:v>
      </x:c>
    </x:row>
    <x:row r="283" ht="42" customHeight="1">
      <x:c r="A283" s="37" t="str">
        <x:v>DEP-0282</x:v>
      </x:c>
      <x:c r="B283" s="37" t="str">
        <x:v>NET-015</x:v>
      </x:c>
      <x:c r="C283" s="37" t="str">
        <x:v>NET-012</x:v>
      </x:c>
      <x:c r="D283" s="37" t="str">
        <x:v>완료 후 시작</x:v>
      </x:c>
      <x:c r="E283" s="37" t="str">
        <x:v>네트워크 엔지니어링</x:v>
      </x:c>
      <x:c r="F283" s="37" t="str">
        <x:v>미정</x:v>
      </x:c>
      <x:c r="G283" s="37" t="str">
        <x:v>미착수</x:v>
      </x:c>
      <x:c r="H283" s="40" t="str">
        <x:v>미정</x:v>
      </x:c>
      <x:c r="I283" s="37"/>
      <x:c r="J283" s="37" t="str">
        <x:v>부문 내</x:v>
      </x:c>
    </x:row>
    <x:row r="284" ht="42" customHeight="1">
      <x:c r="A284" s="37" t="str">
        <x:v>DEP-0283</x:v>
      </x:c>
      <x:c r="B284" s="37" t="str">
        <x:v>NET-015</x:v>
      </x:c>
      <x:c r="C284" s="37" t="str">
        <x:v>CNT-020</x:v>
      </x:c>
      <x:c r="D284" s="37" t="str">
        <x:v>인터페이스·협업</x:v>
      </x:c>
      <x:c r="E284" s="37" t="str">
        <x:v>네트워크 엔지니어링</x:v>
      </x:c>
      <x:c r="F284" s="37" t="str">
        <x:v>미정</x:v>
      </x:c>
      <x:c r="G284" s="37" t="str">
        <x:v>미착수</x:v>
      </x:c>
      <x:c r="H284" s="40" t="str">
        <x:v>미정</x:v>
      </x:c>
      <x:c r="I284" s="37"/>
      <x:c r="J284" s="37" t="str">
        <x:v>부문 간</x:v>
      </x:c>
    </x:row>
    <x:row r="285" ht="42" customHeight="1">
      <x:c r="A285" s="37" t="str">
        <x:v>DEP-0284</x:v>
      </x:c>
      <x:c r="B285" s="37" t="str">
        <x:v>NET-015</x:v>
      </x:c>
      <x:c r="C285" s="37" t="str">
        <x:v>IGM-010</x:v>
      </x:c>
      <x:c r="D285" s="37" t="str">
        <x:v>인터페이스·협업</x:v>
      </x:c>
      <x:c r="E285" s="37" t="str">
        <x:v>네트워크 엔지니어링</x:v>
      </x:c>
      <x:c r="F285" s="37" t="str">
        <x:v>미정</x:v>
      </x:c>
      <x:c r="G285" s="37" t="str">
        <x:v>미착수</x:v>
      </x:c>
      <x:c r="H285" s="40" t="str">
        <x:v>미정</x:v>
      </x:c>
      <x:c r="I285" s="37"/>
      <x:c r="J285" s="37" t="str">
        <x:v>부문 간</x:v>
      </x:c>
    </x:row>
    <x:row r="286" ht="42" customHeight="1">
      <x:c r="A286" s="37" t="str">
        <x:v>DEP-0285</x:v>
      </x:c>
      <x:c r="B286" s="37" t="str">
        <x:v>NET-016</x:v>
      </x:c>
      <x:c r="C286" s="37" t="str">
        <x:v>NET-012</x:v>
      </x:c>
      <x:c r="D286" s="37" t="str">
        <x:v>완료 후 시작</x:v>
      </x:c>
      <x:c r="E286" s="37" t="str">
        <x:v>네트워크 엔지니어링</x:v>
      </x:c>
      <x:c r="F286" s="37" t="str">
        <x:v>미정</x:v>
      </x:c>
      <x:c r="G286" s="37" t="str">
        <x:v>미착수</x:v>
      </x:c>
      <x:c r="H286" s="40" t="str">
        <x:v>미정</x:v>
      </x:c>
      <x:c r="I286" s="37"/>
      <x:c r="J286" s="37" t="str">
        <x:v>부문 내</x:v>
      </x:c>
    </x:row>
    <x:row r="287" ht="42" customHeight="1">
      <x:c r="A287" s="37" t="str">
        <x:v>DEP-0286</x:v>
      </x:c>
      <x:c r="B287" s="37" t="str">
        <x:v>NET-016</x:v>
      </x:c>
      <x:c r="C287" s="37" t="str">
        <x:v>IGM-023</x:v>
      </x:c>
      <x:c r="D287" s="37" t="str">
        <x:v>인터페이스·협업</x:v>
      </x:c>
      <x:c r="E287" s="37" t="str">
        <x:v>네트워크 엔지니어링</x:v>
      </x:c>
      <x:c r="F287" s="37" t="str">
        <x:v>미정</x:v>
      </x:c>
      <x:c r="G287" s="37" t="str">
        <x:v>미착수</x:v>
      </x:c>
      <x:c r="H287" s="40" t="str">
        <x:v>미정</x:v>
      </x:c>
      <x:c r="I287" s="37"/>
      <x:c r="J287" s="37" t="str">
        <x:v>부문 간</x:v>
      </x:c>
    </x:row>
    <x:row r="288" ht="42" customHeight="1">
      <x:c r="A288" s="37" t="str">
        <x:v>DEP-0287</x:v>
      </x:c>
      <x:c r="B288" s="37" t="str">
        <x:v>NET-017</x:v>
      </x:c>
      <x:c r="C288" s="37" t="str">
        <x:v>NET-004</x:v>
      </x:c>
      <x:c r="D288" s="37" t="str">
        <x:v>완료 후 시작</x:v>
      </x:c>
      <x:c r="E288" s="37" t="str">
        <x:v>네트워크 엔지니어링</x:v>
      </x:c>
      <x:c r="F288" s="37" t="str">
        <x:v>미정</x:v>
      </x:c>
      <x:c r="G288" s="37" t="str">
        <x:v>미착수</x:v>
      </x:c>
      <x:c r="H288" s="40" t="str">
        <x:v>미정</x:v>
      </x:c>
      <x:c r="I288" s="37"/>
      <x:c r="J288" s="37" t="str">
        <x:v>부문 내</x:v>
      </x:c>
    </x:row>
    <x:row r="289" ht="42" customHeight="1">
      <x:c r="A289" s="37" t="str">
        <x:v>DEP-0288</x:v>
      </x:c>
      <x:c r="B289" s="37" t="str">
        <x:v>NET-017</x:v>
      </x:c>
      <x:c r="C289" s="37" t="str">
        <x:v>IGM-002</x:v>
      </x:c>
      <x:c r="D289" s="37" t="str">
        <x:v>인터페이스·협업</x:v>
      </x:c>
      <x:c r="E289" s="37" t="str">
        <x:v>네트워크 엔지니어링</x:v>
      </x:c>
      <x:c r="F289" s="37" t="str">
        <x:v>미정</x:v>
      </x:c>
      <x:c r="G289" s="37" t="str">
        <x:v>미착수</x:v>
      </x:c>
      <x:c r="H289" s="40" t="str">
        <x:v>미정</x:v>
      </x:c>
      <x:c r="I289" s="37"/>
      <x:c r="J289" s="37" t="str">
        <x:v>부문 간</x:v>
      </x:c>
    </x:row>
    <x:row r="290" ht="42" customHeight="1">
      <x:c r="A290" s="37" t="str">
        <x:v>DEP-0289</x:v>
      </x:c>
      <x:c r="B290" s="37" t="str">
        <x:v>NET-018</x:v>
      </x:c>
      <x:c r="C290" s="37" t="str">
        <x:v>NET-017</x:v>
      </x:c>
      <x:c r="D290" s="37" t="str">
        <x:v>완료 후 시작</x:v>
      </x:c>
      <x:c r="E290" s="37" t="str">
        <x:v>네트워크 엔지니어링</x:v>
      </x:c>
      <x:c r="F290" s="37" t="str">
        <x:v>미정</x:v>
      </x:c>
      <x:c r="G290" s="37" t="str">
        <x:v>미착수</x:v>
      </x:c>
      <x:c r="H290" s="40" t="str">
        <x:v>미정</x:v>
      </x:c>
      <x:c r="I290" s="37"/>
      <x:c r="J290" s="37" t="str">
        <x:v>부문 내</x:v>
      </x:c>
    </x:row>
    <x:row r="291" ht="42" customHeight="1">
      <x:c r="A291" s="37" t="str">
        <x:v>DEP-0290</x:v>
      </x:c>
      <x:c r="B291" s="37" t="str">
        <x:v>NET-018</x:v>
      </x:c>
      <x:c r="C291" s="37" t="str">
        <x:v>IGM-019</x:v>
      </x:c>
      <x:c r="D291" s="37" t="str">
        <x:v>인터페이스·협업</x:v>
      </x:c>
      <x:c r="E291" s="37" t="str">
        <x:v>네트워크 엔지니어링</x:v>
      </x:c>
      <x:c r="F291" s="37" t="str">
        <x:v>미정</x:v>
      </x:c>
      <x:c r="G291" s="37" t="str">
        <x:v>미착수</x:v>
      </x:c>
      <x:c r="H291" s="40" t="str">
        <x:v>미정</x:v>
      </x:c>
      <x:c r="I291" s="37"/>
      <x:c r="J291" s="37" t="str">
        <x:v>부문 간</x:v>
      </x:c>
    </x:row>
    <x:row r="292" ht="42" customHeight="1">
      <x:c r="A292" s="37" t="str">
        <x:v>DEP-0291</x:v>
      </x:c>
      <x:c r="B292" s="37" t="str">
        <x:v>NET-018</x:v>
      </x:c>
      <x:c r="C292" s="37" t="str">
        <x:v>IGM-029</x:v>
      </x:c>
      <x:c r="D292" s="37" t="str">
        <x:v>인터페이스·협업</x:v>
      </x:c>
      <x:c r="E292" s="37" t="str">
        <x:v>네트워크 엔지니어링</x:v>
      </x:c>
      <x:c r="F292" s="37" t="str">
        <x:v>미정</x:v>
      </x:c>
      <x:c r="G292" s="37" t="str">
        <x:v>미착수</x:v>
      </x:c>
      <x:c r="H292" s="40" t="str">
        <x:v>미정</x:v>
      </x:c>
      <x:c r="I292" s="37"/>
      <x:c r="J292" s="37" t="str">
        <x:v>부문 간</x:v>
      </x:c>
    </x:row>
    <x:row r="293" ht="42" customHeight="1">
      <x:c r="A293" s="37" t="str">
        <x:v>DEP-0292</x:v>
      </x:c>
      <x:c r="B293" s="37" t="str">
        <x:v>NET-019</x:v>
      </x:c>
      <x:c r="C293" s="37" t="str">
        <x:v>NET-006</x:v>
      </x:c>
      <x:c r="D293" s="37" t="str">
        <x:v>완료 후 시작</x:v>
      </x:c>
      <x:c r="E293" s="37" t="str">
        <x:v>네트워크 엔지니어링</x:v>
      </x:c>
      <x:c r="F293" s="37" t="str">
        <x:v>미정</x:v>
      </x:c>
      <x:c r="G293" s="37" t="str">
        <x:v>미착수</x:v>
      </x:c>
      <x:c r="H293" s="40" t="str">
        <x:v>미정</x:v>
      </x:c>
      <x:c r="I293" s="37"/>
      <x:c r="J293" s="37" t="str">
        <x:v>부문 내</x:v>
      </x:c>
    </x:row>
    <x:row r="294" ht="42" customHeight="1">
      <x:c r="A294" s="37" t="str">
        <x:v>DEP-0293</x:v>
      </x:c>
      <x:c r="B294" s="37" t="str">
        <x:v>NET-019</x:v>
      </x:c>
      <x:c r="C294" s="37" t="str">
        <x:v>NET-007</x:v>
      </x:c>
      <x:c r="D294" s="37" t="str">
        <x:v>완료 후 시작</x:v>
      </x:c>
      <x:c r="E294" s="37" t="str">
        <x:v>네트워크 엔지니어링</x:v>
      </x:c>
      <x:c r="F294" s="37" t="str">
        <x:v>미정</x:v>
      </x:c>
      <x:c r="G294" s="37" t="str">
        <x:v>미착수</x:v>
      </x:c>
      <x:c r="H294" s="40" t="str">
        <x:v>미정</x:v>
      </x:c>
      <x:c r="I294" s="37"/>
      <x:c r="J294" s="37" t="str">
        <x:v>부문 내</x:v>
      </x:c>
    </x:row>
    <x:row r="295" ht="42" customHeight="1">
      <x:c r="A295" s="37" t="str">
        <x:v>DEP-0294</x:v>
      </x:c>
      <x:c r="B295" s="37" t="str">
        <x:v>NET-019</x:v>
      </x:c>
      <x:c r="C295" s="37" t="str">
        <x:v>NET-010</x:v>
      </x:c>
      <x:c r="D295" s="37" t="str">
        <x:v>완료 후 시작</x:v>
      </x:c>
      <x:c r="E295" s="37" t="str">
        <x:v>네트워크 엔지니어링</x:v>
      </x:c>
      <x:c r="F295" s="37" t="str">
        <x:v>미정</x:v>
      </x:c>
      <x:c r="G295" s="37" t="str">
        <x:v>미착수</x:v>
      </x:c>
      <x:c r="H295" s="40" t="str">
        <x:v>미정</x:v>
      </x:c>
      <x:c r="I295" s="37"/>
      <x:c r="J295" s="37" t="str">
        <x:v>부문 내</x:v>
      </x:c>
    </x:row>
    <x:row r="296" ht="42" customHeight="1">
      <x:c r="A296" s="37" t="str">
        <x:v>DEP-0295</x:v>
      </x:c>
      <x:c r="B296" s="37" t="str">
        <x:v>NET-019</x:v>
      </x:c>
      <x:c r="C296" s="37" t="str">
        <x:v>NET-018</x:v>
      </x:c>
      <x:c r="D296" s="37" t="str">
        <x:v>완료 후 시작</x:v>
      </x:c>
      <x:c r="E296" s="37" t="str">
        <x:v>네트워크 엔지니어링</x:v>
      </x:c>
      <x:c r="F296" s="37" t="str">
        <x:v>미정</x:v>
      </x:c>
      <x:c r="G296" s="37" t="str">
        <x:v>미착수</x:v>
      </x:c>
      <x:c r="H296" s="40" t="str">
        <x:v>미정</x:v>
      </x:c>
      <x:c r="I296" s="37"/>
      <x:c r="J296" s="37" t="str">
        <x:v>부문 내</x:v>
      </x:c>
    </x:row>
    <x:row r="297" ht="42" customHeight="1">
      <x:c r="A297" s="37" t="str">
        <x:v>DEP-0296</x:v>
      </x:c>
      <x:c r="B297" s="37" t="str">
        <x:v>NET-019</x:v>
      </x:c>
      <x:c r="C297" s="37" t="str">
        <x:v>ONL-017</x:v>
      </x:c>
      <x:c r="D297" s="37" t="str">
        <x:v>인터페이스·협업</x:v>
      </x:c>
      <x:c r="E297" s="37" t="str">
        <x:v>네트워크 엔지니어링</x:v>
      </x:c>
      <x:c r="F297" s="37" t="str">
        <x:v>미정</x:v>
      </x:c>
      <x:c r="G297" s="37" t="str">
        <x:v>미착수</x:v>
      </x:c>
      <x:c r="H297" s="40" t="str">
        <x:v>미정</x:v>
      </x:c>
      <x:c r="I297" s="37"/>
      <x:c r="J297" s="37" t="str">
        <x:v>부문 간</x:v>
      </x:c>
    </x:row>
    <x:row r="298" ht="42" customHeight="1">
      <x:c r="A298" s="37" t="str">
        <x:v>DEP-0297</x:v>
      </x:c>
      <x:c r="B298" s="37" t="str">
        <x:v>NET-020</x:v>
      </x:c>
      <x:c r="C298" s="37" t="str">
        <x:v>NET-004</x:v>
      </x:c>
      <x:c r="D298" s="37" t="str">
        <x:v>완료 후 시작</x:v>
      </x:c>
      <x:c r="E298" s="37" t="str">
        <x:v>네트워크 엔지니어링</x:v>
      </x:c>
      <x:c r="F298" s="37" t="str">
        <x:v>미정</x:v>
      </x:c>
      <x:c r="G298" s="37" t="str">
        <x:v>미착수</x:v>
      </x:c>
      <x:c r="H298" s="40" t="str">
        <x:v>미정</x:v>
      </x:c>
      <x:c r="I298" s="37"/>
      <x:c r="J298" s="37" t="str">
        <x:v>부문 내</x:v>
      </x:c>
    </x:row>
    <x:row r="299" ht="42" customHeight="1">
      <x:c r="A299" s="37" t="str">
        <x:v>DEP-0298</x:v>
      </x:c>
      <x:c r="B299" s="37" t="str">
        <x:v>NET-020</x:v>
      </x:c>
      <x:c r="C299" s="37" t="str">
        <x:v>ONL-021</x:v>
      </x:c>
      <x:c r="D299" s="37" t="str">
        <x:v>인터페이스·협업</x:v>
      </x:c>
      <x:c r="E299" s="37" t="str">
        <x:v>네트워크 엔지니어링</x:v>
      </x:c>
      <x:c r="F299" s="37" t="str">
        <x:v>미정</x:v>
      </x:c>
      <x:c r="G299" s="37" t="str">
        <x:v>미착수</x:v>
      </x:c>
      <x:c r="H299" s="40" t="str">
        <x:v>미정</x:v>
      </x:c>
      <x:c r="I299" s="37"/>
      <x:c r="J299" s="37" t="str">
        <x:v>부문 간</x:v>
      </x:c>
    </x:row>
    <x:row r="300" ht="42" customHeight="1">
      <x:c r="A300" s="37" t="str">
        <x:v>DEP-0299</x:v>
      </x:c>
      <x:c r="B300" s="37" t="str">
        <x:v>NET-021</x:v>
      </x:c>
      <x:c r="C300" s="37" t="str">
        <x:v>NET-020</x:v>
      </x:c>
      <x:c r="D300" s="37" t="str">
        <x:v>완료 후 시작</x:v>
      </x:c>
      <x:c r="E300" s="37" t="str">
        <x:v>네트워크 엔지니어링</x:v>
      </x:c>
      <x:c r="F300" s="37" t="str">
        <x:v>미정</x:v>
      </x:c>
      <x:c r="G300" s="37" t="str">
        <x:v>미착수</x:v>
      </x:c>
      <x:c r="H300" s="40" t="str">
        <x:v>미정</x:v>
      </x:c>
      <x:c r="I300" s="37"/>
      <x:c r="J300" s="37" t="str">
        <x:v>부문 내</x:v>
      </x:c>
    </x:row>
    <x:row r="301" ht="42" customHeight="1">
      <x:c r="A301" s="37" t="str">
        <x:v>DEP-0300</x:v>
      </x:c>
      <x:c r="B301" s="37" t="str">
        <x:v>NET-022</x:v>
      </x:c>
      <x:c r="C301" s="37" t="str">
        <x:v>NET-011</x:v>
      </x:c>
      <x:c r="D301" s="37" t="str">
        <x:v>완료 후 시작</x:v>
      </x:c>
      <x:c r="E301" s="37" t="str">
        <x:v>네트워크 엔지니어링</x:v>
      </x:c>
      <x:c r="F301" s="37" t="str">
        <x:v>미정</x:v>
      </x:c>
      <x:c r="G301" s="37" t="str">
        <x:v>미착수</x:v>
      </x:c>
      <x:c r="H301" s="40" t="str">
        <x:v>미정</x:v>
      </x:c>
      <x:c r="I301" s="37"/>
      <x:c r="J301" s="37" t="str">
        <x:v>부문 내</x:v>
      </x:c>
    </x:row>
    <x:row r="302" ht="42" customHeight="1">
      <x:c r="A302" s="37" t="str">
        <x:v>DEP-0301</x:v>
      </x:c>
      <x:c r="B302" s="37" t="str">
        <x:v>NET-022</x:v>
      </x:c>
      <x:c r="C302" s="37" t="str">
        <x:v>NET-014</x:v>
      </x:c>
      <x:c r="D302" s="37" t="str">
        <x:v>완료 후 시작</x:v>
      </x:c>
      <x:c r="E302" s="37" t="str">
        <x:v>네트워크 엔지니어링</x:v>
      </x:c>
      <x:c r="F302" s="37" t="str">
        <x:v>미정</x:v>
      </x:c>
      <x:c r="G302" s="37" t="str">
        <x:v>미착수</x:v>
      </x:c>
      <x:c r="H302" s="40" t="str">
        <x:v>미정</x:v>
      </x:c>
      <x:c r="I302" s="37"/>
      <x:c r="J302" s="37" t="str">
        <x:v>부문 내</x:v>
      </x:c>
    </x:row>
    <x:row r="303" ht="42" customHeight="1">
      <x:c r="A303" s="37" t="str">
        <x:v>DEP-0302</x:v>
      </x:c>
      <x:c r="B303" s="37" t="str">
        <x:v>NET-023</x:v>
      </x:c>
      <x:c r="C303" s="37" t="str">
        <x:v>BED-008</x:v>
      </x:c>
      <x:c r="D303" s="37" t="str">
        <x:v>인터페이스·협업</x:v>
      </x:c>
      <x:c r="E303" s="37" t="str">
        <x:v>네트워크 엔지니어링</x:v>
      </x:c>
      <x:c r="F303" s="37" t="str">
        <x:v>미정</x:v>
      </x:c>
      <x:c r="G303" s="37" t="str">
        <x:v>미착수</x:v>
      </x:c>
      <x:c r="H303" s="40" t="str">
        <x:v>미정</x:v>
      </x:c>
      <x:c r="I303" s="37"/>
      <x:c r="J303" s="37" t="str">
        <x:v>부문 간</x:v>
      </x:c>
    </x:row>
    <x:row r="304" ht="42" customHeight="1">
      <x:c r="A304" s="37" t="str">
        <x:v>DEP-0303</x:v>
      </x:c>
      <x:c r="B304" s="37" t="str">
        <x:v>NET-024</x:v>
      </x:c>
      <x:c r="C304" s="37" t="str">
        <x:v>NET-003</x:v>
      </x:c>
      <x:c r="D304" s="37" t="str">
        <x:v>완료 후 시작</x:v>
      </x:c>
      <x:c r="E304" s="37" t="str">
        <x:v>네트워크 엔지니어링</x:v>
      </x:c>
      <x:c r="F304" s="37" t="str">
        <x:v>미정</x:v>
      </x:c>
      <x:c r="G304" s="37" t="str">
        <x:v>미착수</x:v>
      </x:c>
      <x:c r="H304" s="40" t="str">
        <x:v>미정</x:v>
      </x:c>
      <x:c r="I304" s="37"/>
      <x:c r="J304" s="37" t="str">
        <x:v>부문 내</x:v>
      </x:c>
    </x:row>
    <x:row r="305" ht="42" customHeight="1">
      <x:c r="A305" s="37" t="str">
        <x:v>DEP-0304</x:v>
      </x:c>
      <x:c r="B305" s="37" t="str">
        <x:v>NET-025</x:v>
      </x:c>
      <x:c r="C305" s="37" t="str">
        <x:v>ONL-020</x:v>
      </x:c>
      <x:c r="D305" s="37" t="str">
        <x:v>인터페이스·협업</x:v>
      </x:c>
      <x:c r="E305" s="37" t="str">
        <x:v>네트워크 엔지니어링</x:v>
      </x:c>
      <x:c r="F305" s="37" t="str">
        <x:v>미정</x:v>
      </x:c>
      <x:c r="G305" s="37" t="str">
        <x:v>미착수</x:v>
      </x:c>
      <x:c r="H305" s="40" t="str">
        <x:v>미정</x:v>
      </x:c>
      <x:c r="I305" s="37"/>
      <x:c r="J305" s="37" t="str">
        <x:v>부문 간</x:v>
      </x:c>
    </x:row>
    <x:row r="306" ht="42" customHeight="1">
      <x:c r="A306" s="37" t="str">
        <x:v>DEP-0305</x:v>
      </x:c>
      <x:c r="B306" s="37" t="str">
        <x:v>NET-025</x:v>
      </x:c>
      <x:c r="C306" s="37" t="str">
        <x:v>BED-018</x:v>
      </x:c>
      <x:c r="D306" s="37" t="str">
        <x:v>인터페이스·협업</x:v>
      </x:c>
      <x:c r="E306" s="37" t="str">
        <x:v>네트워크 엔지니어링</x:v>
      </x:c>
      <x:c r="F306" s="37" t="str">
        <x:v>미정</x:v>
      </x:c>
      <x:c r="G306" s="37" t="str">
        <x:v>미착수</x:v>
      </x:c>
      <x:c r="H306" s="40" t="str">
        <x:v>미정</x:v>
      </x:c>
      <x:c r="I306" s="37"/>
      <x:c r="J306" s="37" t="str">
        <x:v>부문 간</x:v>
      </x:c>
    </x:row>
    <x:row r="307" ht="42" customHeight="1">
      <x:c r="A307" s="37" t="str">
        <x:v>DEP-0306</x:v>
      </x:c>
      <x:c r="B307" s="37" t="str">
        <x:v>NET-026</x:v>
      </x:c>
      <x:c r="C307" s="37" t="str">
        <x:v>NET-012</x:v>
      </x:c>
      <x:c r="D307" s="37" t="str">
        <x:v>완료 후 시작</x:v>
      </x:c>
      <x:c r="E307" s="37" t="str">
        <x:v>네트워크 엔지니어링</x:v>
      </x:c>
      <x:c r="F307" s="37" t="str">
        <x:v>미정</x:v>
      </x:c>
      <x:c r="G307" s="37" t="str">
        <x:v>미착수</x:v>
      </x:c>
      <x:c r="H307" s="40" t="str">
        <x:v>미정</x:v>
      </x:c>
      <x:c r="I307" s="37"/>
      <x:c r="J307" s="37" t="str">
        <x:v>부문 내</x:v>
      </x:c>
    </x:row>
    <x:row r="308" ht="42" customHeight="1">
      <x:c r="A308" s="37" t="str">
        <x:v>DEP-0307</x:v>
      </x:c>
      <x:c r="B308" s="37" t="str">
        <x:v>NET-026</x:v>
      </x:c>
      <x:c r="C308" s="37" t="str">
        <x:v>NET-013</x:v>
      </x:c>
      <x:c r="D308" s="37" t="str">
        <x:v>완료 후 시작</x:v>
      </x:c>
      <x:c r="E308" s="37" t="str">
        <x:v>네트워크 엔지니어링</x:v>
      </x:c>
      <x:c r="F308" s="37" t="str">
        <x:v>미정</x:v>
      </x:c>
      <x:c r="G308" s="37" t="str">
        <x:v>미착수</x:v>
      </x:c>
      <x:c r="H308" s="40" t="str">
        <x:v>미정</x:v>
      </x:c>
      <x:c r="I308" s="37"/>
      <x:c r="J308" s="37" t="str">
        <x:v>부문 내</x:v>
      </x:c>
    </x:row>
    <x:row r="309" ht="42" customHeight="1">
      <x:c r="A309" s="37" t="str">
        <x:v>DEP-0308</x:v>
      </x:c>
      <x:c r="B309" s="37" t="str">
        <x:v>NET-026</x:v>
      </x:c>
      <x:c r="C309" s="37" t="str">
        <x:v>NET-015</x:v>
      </x:c>
      <x:c r="D309" s="37" t="str">
        <x:v>완료 후 시작</x:v>
      </x:c>
      <x:c r="E309" s="37" t="str">
        <x:v>네트워크 엔지니어링</x:v>
      </x:c>
      <x:c r="F309" s="37" t="str">
        <x:v>미정</x:v>
      </x:c>
      <x:c r="G309" s="37" t="str">
        <x:v>미착수</x:v>
      </x:c>
      <x:c r="H309" s="40" t="str">
        <x:v>미정</x:v>
      </x:c>
      <x:c r="I309" s="37"/>
      <x:c r="J309" s="37" t="str">
        <x:v>부문 내</x:v>
      </x:c>
    </x:row>
    <x:row r="310" ht="42" customHeight="1">
      <x:c r="A310" s="37" t="str">
        <x:v>DEP-0309</x:v>
      </x:c>
      <x:c r="B310" s="37" t="str">
        <x:v>NET-026</x:v>
      </x:c>
      <x:c r="C310" s="37" t="str">
        <x:v>NET-016</x:v>
      </x:c>
      <x:c r="D310" s="37" t="str">
        <x:v>완료 후 시작</x:v>
      </x:c>
      <x:c r="E310" s="37" t="str">
        <x:v>네트워크 엔지니어링</x:v>
      </x:c>
      <x:c r="F310" s="37" t="str">
        <x:v>미정</x:v>
      </x:c>
      <x:c r="G310" s="37" t="str">
        <x:v>미착수</x:v>
      </x:c>
      <x:c r="H310" s="40" t="str">
        <x:v>미정</x:v>
      </x:c>
      <x:c r="I310" s="37"/>
      <x:c r="J310" s="37" t="str">
        <x:v>부문 내</x:v>
      </x:c>
    </x:row>
    <x:row r="311" ht="42" customHeight="1">
      <x:c r="A311" s="37" t="str">
        <x:v>DEP-0310</x:v>
      </x:c>
      <x:c r="B311" s="37" t="str">
        <x:v>NET-027</x:v>
      </x:c>
      <x:c r="C311" s="37" t="str">
        <x:v>NET-004</x:v>
      </x:c>
      <x:c r="D311" s="37" t="str">
        <x:v>완료 후 시작</x:v>
      </x:c>
      <x:c r="E311" s="37" t="str">
        <x:v>네트워크 엔지니어링</x:v>
      </x:c>
      <x:c r="F311" s="37" t="str">
        <x:v>미정</x:v>
      </x:c>
      <x:c r="G311" s="37" t="str">
        <x:v>미착수</x:v>
      </x:c>
      <x:c r="H311" s="40" t="str">
        <x:v>미정</x:v>
      </x:c>
      <x:c r="I311" s="37"/>
      <x:c r="J311" s="37" t="str">
        <x:v>부문 내</x:v>
      </x:c>
    </x:row>
    <x:row r="312" ht="42" customHeight="1">
      <x:c r="A312" s="37" t="str">
        <x:v>DEP-0311</x:v>
      </x:c>
      <x:c r="B312" s="37" t="str">
        <x:v>NET-027</x:v>
      </x:c>
      <x:c r="C312" s="37" t="str">
        <x:v>BED-001</x:v>
      </x:c>
      <x:c r="D312" s="37" t="str">
        <x:v>인터페이스·협업</x:v>
      </x:c>
      <x:c r="E312" s="37" t="str">
        <x:v>네트워크 엔지니어링</x:v>
      </x:c>
      <x:c r="F312" s="37" t="str">
        <x:v>미정</x:v>
      </x:c>
      <x:c r="G312" s="37" t="str">
        <x:v>미착수</x:v>
      </x:c>
      <x:c r="H312" s="40" t="str">
        <x:v>미정</x:v>
      </x:c>
      <x:c r="I312" s="37"/>
      <x:c r="J312" s="37" t="str">
        <x:v>부문 간</x:v>
      </x:c>
    </x:row>
    <x:row r="313" ht="42" customHeight="1">
      <x:c r="A313" s="37" t="str">
        <x:v>DEP-0312</x:v>
      </x:c>
      <x:c r="B313" s="37" t="str">
        <x:v>NET-028</x:v>
      </x:c>
      <x:c r="C313" s="37" t="str">
        <x:v>NET-011</x:v>
      </x:c>
      <x:c r="D313" s="37" t="str">
        <x:v>완료 후 시작</x:v>
      </x:c>
      <x:c r="E313" s="37" t="str">
        <x:v>네트워크 엔지니어링</x:v>
      </x:c>
      <x:c r="F313" s="37" t="str">
        <x:v>미정</x:v>
      </x:c>
      <x:c r="G313" s="37" t="str">
        <x:v>미착수</x:v>
      </x:c>
      <x:c r="H313" s="40" t="str">
        <x:v>미정</x:v>
      </x:c>
      <x:c r="I313" s="37"/>
      <x:c r="J313" s="37" t="str">
        <x:v>부문 내</x:v>
      </x:c>
    </x:row>
    <x:row r="314" ht="42" customHeight="1">
      <x:c r="A314" s="37" t="str">
        <x:v>DEP-0313</x:v>
      </x:c>
      <x:c r="B314" s="37" t="str">
        <x:v>NET-028</x:v>
      </x:c>
      <x:c r="C314" s="37" t="str">
        <x:v>NET-018</x:v>
      </x:c>
      <x:c r="D314" s="37" t="str">
        <x:v>완료 후 시작</x:v>
      </x:c>
      <x:c r="E314" s="37" t="str">
        <x:v>네트워크 엔지니어링</x:v>
      </x:c>
      <x:c r="F314" s="37" t="str">
        <x:v>미정</x:v>
      </x:c>
      <x:c r="G314" s="37" t="str">
        <x:v>미착수</x:v>
      </x:c>
      <x:c r="H314" s="40" t="str">
        <x:v>미정</x:v>
      </x:c>
      <x:c r="I314" s="37"/>
      <x:c r="J314" s="37" t="str">
        <x:v>부문 내</x:v>
      </x:c>
    </x:row>
    <x:row r="315" ht="42" customHeight="1">
      <x:c r="A315" s="37" t="str">
        <x:v>DEP-0314</x:v>
      </x:c>
      <x:c r="B315" s="37" t="str">
        <x:v>NET-029</x:v>
      </x:c>
      <x:c r="C315" s="37" t="str">
        <x:v>NET-022</x:v>
      </x:c>
      <x:c r="D315" s="37" t="str">
        <x:v>완료 후 시작</x:v>
      </x:c>
      <x:c r="E315" s="37" t="str">
        <x:v>네트워크 엔지니어링</x:v>
      </x:c>
      <x:c r="F315" s="37" t="str">
        <x:v>미정</x:v>
      </x:c>
      <x:c r="G315" s="37" t="str">
        <x:v>미착수</x:v>
      </x:c>
      <x:c r="H315" s="40" t="str">
        <x:v>미정</x:v>
      </x:c>
      <x:c r="I315" s="37"/>
      <x:c r="J315" s="37" t="str">
        <x:v>부문 내</x:v>
      </x:c>
    </x:row>
    <x:row r="316" ht="42" customHeight="1">
      <x:c r="A316" s="37" t="str">
        <x:v>DEP-0315</x:v>
      </x:c>
      <x:c r="B316" s="37" t="str">
        <x:v>NET-029</x:v>
      </x:c>
      <x:c r="C316" s="37" t="str">
        <x:v>NET-023</x:v>
      </x:c>
      <x:c r="D316" s="37" t="str">
        <x:v>완료 후 시작</x:v>
      </x:c>
      <x:c r="E316" s="37" t="str">
        <x:v>네트워크 엔지니어링</x:v>
      </x:c>
      <x:c r="F316" s="37" t="str">
        <x:v>미정</x:v>
      </x:c>
      <x:c r="G316" s="37" t="str">
        <x:v>미착수</x:v>
      </x:c>
      <x:c r="H316" s="40" t="str">
        <x:v>미정</x:v>
      </x:c>
      <x:c r="I316" s="37"/>
      <x:c r="J316" s="37" t="str">
        <x:v>부문 내</x:v>
      </x:c>
    </x:row>
    <x:row r="317" ht="42" customHeight="1">
      <x:c r="A317" s="37" t="str">
        <x:v>DEP-0316</x:v>
      </x:c>
      <x:c r="B317" s="37" t="str">
        <x:v>NET-029</x:v>
      </x:c>
      <x:c r="C317" s="37" t="str">
        <x:v>QAR-020</x:v>
      </x:c>
      <x:c r="D317" s="37" t="str">
        <x:v>인터페이스·협업</x:v>
      </x:c>
      <x:c r="E317" s="37" t="str">
        <x:v>네트워크 엔지니어링</x:v>
      </x:c>
      <x:c r="F317" s="37" t="str">
        <x:v>미정</x:v>
      </x:c>
      <x:c r="G317" s="37" t="str">
        <x:v>미착수</x:v>
      </x:c>
      <x:c r="H317" s="40" t="str">
        <x:v>미정</x:v>
      </x:c>
      <x:c r="I317" s="37"/>
      <x:c r="J317" s="37" t="str">
        <x:v>부문 간</x:v>
      </x:c>
    </x:row>
    <x:row r="318" ht="42" customHeight="1">
      <x:c r="A318" s="37" t="str">
        <x:v>DEP-0317</x:v>
      </x:c>
      <x:c r="B318" s="37" t="str">
        <x:v>NET-030</x:v>
      </x:c>
      <x:c r="C318" s="37" t="str">
        <x:v>NET-002</x:v>
      </x:c>
      <x:c r="D318" s="37" t="str">
        <x:v>완료 후 시작</x:v>
      </x:c>
      <x:c r="E318" s="37" t="str">
        <x:v>네트워크 엔지니어링</x:v>
      </x:c>
      <x:c r="F318" s="37" t="str">
        <x:v>미정</x:v>
      </x:c>
      <x:c r="G318" s="37" t="str">
        <x:v>미착수</x:v>
      </x:c>
      <x:c r="H318" s="40" t="str">
        <x:v>미정</x:v>
      </x:c>
      <x:c r="I318" s="37"/>
      <x:c r="J318" s="37" t="str">
        <x:v>부문 내</x:v>
      </x:c>
    </x:row>
    <x:row r="319" ht="42" customHeight="1">
      <x:c r="A319" s="37" t="str">
        <x:v>DEP-0318</x:v>
      </x:c>
      <x:c r="B319" s="37" t="str">
        <x:v>BED-002</x:v>
      </x:c>
      <x:c r="C319" s="37" t="str">
        <x:v>BED-001</x:v>
      </x:c>
      <x:c r="D319" s="37" t="str">
        <x:v>완료 후 시작</x:v>
      </x:c>
      <x:c r="E319" s="37" t="str">
        <x:v>백엔드·라이브 운영</x:v>
      </x:c>
      <x:c r="F319" s="37" t="str">
        <x:v>미정</x:v>
      </x:c>
      <x:c r="G319" s="37" t="str">
        <x:v>미착수</x:v>
      </x:c>
      <x:c r="H319" s="40" t="str">
        <x:v>미정</x:v>
      </x:c>
      <x:c r="I319" s="37"/>
      <x:c r="J319" s="37" t="str">
        <x:v>부문 내</x:v>
      </x:c>
    </x:row>
    <x:row r="320" ht="42" customHeight="1">
      <x:c r="A320" s="37" t="str">
        <x:v>DEP-0319</x:v>
      </x:c>
      <x:c r="B320" s="37" t="str">
        <x:v>BED-003</x:v>
      </x:c>
      <x:c r="C320" s="37" t="str">
        <x:v>BED-001</x:v>
      </x:c>
      <x:c r="D320" s="37" t="str">
        <x:v>완료 후 시작</x:v>
      </x:c>
      <x:c r="E320" s="37" t="str">
        <x:v>백엔드·라이브 운영</x:v>
      </x:c>
      <x:c r="F320" s="37" t="str">
        <x:v>미정</x:v>
      </x:c>
      <x:c r="G320" s="37" t="str">
        <x:v>미착수</x:v>
      </x:c>
      <x:c r="H320" s="40" t="str">
        <x:v>미정</x:v>
      </x:c>
      <x:c r="I320" s="37"/>
      <x:c r="J320" s="37" t="str">
        <x:v>부문 내</x:v>
      </x:c>
    </x:row>
    <x:row r="321" ht="42" customHeight="1">
      <x:c r="A321" s="37" t="str">
        <x:v>DEP-0320</x:v>
      </x:c>
      <x:c r="B321" s="37" t="str">
        <x:v>BED-003</x:v>
      </x:c>
      <x:c r="C321" s="37" t="str">
        <x:v>SET-002</x:v>
      </x:c>
      <x:c r="D321" s="37" t="str">
        <x:v>인터페이스·협업</x:v>
      </x:c>
      <x:c r="E321" s="37" t="str">
        <x:v>백엔드·라이브 운영</x:v>
      </x:c>
      <x:c r="F321" s="37" t="str">
        <x:v>미정</x:v>
      </x:c>
      <x:c r="G321" s="37" t="str">
        <x:v>미착수</x:v>
      </x:c>
      <x:c r="H321" s="40" t="str">
        <x:v>미정</x:v>
      </x:c>
      <x:c r="I321" s="37"/>
      <x:c r="J321" s="37" t="str">
        <x:v>부문 간</x:v>
      </x:c>
    </x:row>
    <x:row r="322" ht="42" customHeight="1">
      <x:c r="A322" s="37" t="str">
        <x:v>DEP-0321</x:v>
      </x:c>
      <x:c r="B322" s="37" t="str">
        <x:v>BED-004</x:v>
      </x:c>
      <x:c r="C322" s="37" t="str">
        <x:v>CHR-020</x:v>
      </x:c>
      <x:c r="D322" s="37" t="str">
        <x:v>인터페이스·협업</x:v>
      </x:c>
      <x:c r="E322" s="37" t="str">
        <x:v>백엔드·라이브 운영</x:v>
      </x:c>
      <x:c r="F322" s="37" t="str">
        <x:v>미정</x:v>
      </x:c>
      <x:c r="G322" s="37" t="str">
        <x:v>미착수</x:v>
      </x:c>
      <x:c r="H322" s="40" t="str">
        <x:v>미정</x:v>
      </x:c>
      <x:c r="I322" s="37"/>
      <x:c r="J322" s="37" t="str">
        <x:v>부문 간</x:v>
      </x:c>
    </x:row>
    <x:row r="323" ht="42" customHeight="1">
      <x:c r="A323" s="37" t="str">
        <x:v>DEP-0322</x:v>
      </x:c>
      <x:c r="B323" s="37" t="str">
        <x:v>BED-005</x:v>
      </x:c>
      <x:c r="C323" s="37" t="str">
        <x:v>BED-001</x:v>
      </x:c>
      <x:c r="D323" s="37" t="str">
        <x:v>완료 후 시작</x:v>
      </x:c>
      <x:c r="E323" s="37" t="str">
        <x:v>백엔드·라이브 운영</x:v>
      </x:c>
      <x:c r="F323" s="37" t="str">
        <x:v>미정</x:v>
      </x:c>
      <x:c r="G323" s="37" t="str">
        <x:v>미착수</x:v>
      </x:c>
      <x:c r="H323" s="40" t="str">
        <x:v>미정</x:v>
      </x:c>
      <x:c r="I323" s="37"/>
      <x:c r="J323" s="37" t="str">
        <x:v>부문 내</x:v>
      </x:c>
    </x:row>
    <x:row r="324" ht="42" customHeight="1">
      <x:c r="A324" s="37" t="str">
        <x:v>DEP-0323</x:v>
      </x:c>
      <x:c r="B324" s="37" t="str">
        <x:v>BED-006</x:v>
      </x:c>
      <x:c r="C324" s="37" t="str">
        <x:v>IGM-026</x:v>
      </x:c>
      <x:c r="D324" s="37" t="str">
        <x:v>인터페이스·협업</x:v>
      </x:c>
      <x:c r="E324" s="37" t="str">
        <x:v>백엔드·라이브 운영</x:v>
      </x:c>
      <x:c r="F324" s="37" t="str">
        <x:v>미정</x:v>
      </x:c>
      <x:c r="G324" s="37" t="str">
        <x:v>미착수</x:v>
      </x:c>
      <x:c r="H324" s="40" t="str">
        <x:v>미정</x:v>
      </x:c>
      <x:c r="I324" s="37"/>
      <x:c r="J324" s="37" t="str">
        <x:v>부문 간</x:v>
      </x:c>
    </x:row>
    <x:row r="325" ht="42" customHeight="1">
      <x:c r="A325" s="37" t="str">
        <x:v>DEP-0324</x:v>
      </x:c>
      <x:c r="B325" s="37" t="str">
        <x:v>BED-006</x:v>
      </x:c>
      <x:c r="C325" s="37" t="str">
        <x:v>IGM-027</x:v>
      </x:c>
      <x:c r="D325" s="37" t="str">
        <x:v>인터페이스·협업</x:v>
      </x:c>
      <x:c r="E325" s="37" t="str">
        <x:v>백엔드·라이브 운영</x:v>
      </x:c>
      <x:c r="F325" s="37" t="str">
        <x:v>미정</x:v>
      </x:c>
      <x:c r="G325" s="37" t="str">
        <x:v>미착수</x:v>
      </x:c>
      <x:c r="H325" s="40" t="str">
        <x:v>미정</x:v>
      </x:c>
      <x:c r="I325" s="37"/>
      <x:c r="J325" s="37" t="str">
        <x:v>부문 간</x:v>
      </x:c>
    </x:row>
    <x:row r="326" ht="42" customHeight="1">
      <x:c r="A326" s="37" t="str">
        <x:v>DEP-0325</x:v>
      </x:c>
      <x:c r="B326" s="37" t="str">
        <x:v>BED-006</x:v>
      </x:c>
      <x:c r="C326" s="37" t="str">
        <x:v>IGM-031</x:v>
      </x:c>
      <x:c r="D326" s="37" t="str">
        <x:v>인터페이스·협업</x:v>
      </x:c>
      <x:c r="E326" s="37" t="str">
        <x:v>백엔드·라이브 운영</x:v>
      </x:c>
      <x:c r="F326" s="37" t="str">
        <x:v>미정</x:v>
      </x:c>
      <x:c r="G326" s="37" t="str">
        <x:v>미착수</x:v>
      </x:c>
      <x:c r="H326" s="40" t="str">
        <x:v>미정</x:v>
      </x:c>
      <x:c r="I326" s="37"/>
      <x:c r="J326" s="37" t="str">
        <x:v>부문 간</x:v>
      </x:c>
    </x:row>
    <x:row r="327" ht="42" customHeight="1">
      <x:c r="A327" s="37" t="str">
        <x:v>DEP-0326</x:v>
      </x:c>
      <x:c r="B327" s="37" t="str">
        <x:v>BED-006</x:v>
      </x:c>
      <x:c r="C327" s="37" t="str">
        <x:v>NET-018</x:v>
      </x:c>
      <x:c r="D327" s="37" t="str">
        <x:v>인터페이스·협업</x:v>
      </x:c>
      <x:c r="E327" s="37" t="str">
        <x:v>백엔드·라이브 운영</x:v>
      </x:c>
      <x:c r="F327" s="37" t="str">
        <x:v>미정</x:v>
      </x:c>
      <x:c r="G327" s="37" t="str">
        <x:v>미착수</x:v>
      </x:c>
      <x:c r="H327" s="40" t="str">
        <x:v>미정</x:v>
      </x:c>
      <x:c r="I327" s="37"/>
      <x:c r="J327" s="37" t="str">
        <x:v>부문 간</x:v>
      </x:c>
    </x:row>
    <x:row r="328" ht="42" customHeight="1">
      <x:c r="A328" s="37" t="str">
        <x:v>DEP-0327</x:v>
      </x:c>
      <x:c r="B328" s="37" t="str">
        <x:v>BED-007</x:v>
      </x:c>
      <x:c r="C328" s="37" t="str">
        <x:v>BED-006</x:v>
      </x:c>
      <x:c r="D328" s="37" t="str">
        <x:v>완료 후 시작</x:v>
      </x:c>
      <x:c r="E328" s="37" t="str">
        <x:v>백엔드·라이브 운영</x:v>
      </x:c>
      <x:c r="F328" s="37" t="str">
        <x:v>미정</x:v>
      </x:c>
      <x:c r="G328" s="37" t="str">
        <x:v>미착수</x:v>
      </x:c>
      <x:c r="H328" s="40" t="str">
        <x:v>미정</x:v>
      </x:c>
      <x:c r="I328" s="37"/>
      <x:c r="J328" s="37" t="str">
        <x:v>부문 내</x:v>
      </x:c>
    </x:row>
    <x:row r="329" ht="42" customHeight="1">
      <x:c r="A329" s="37" t="str">
        <x:v>DEP-0328</x:v>
      </x:c>
      <x:c r="B329" s="37" t="str">
        <x:v>BED-007</x:v>
      </x:c>
      <x:c r="C329" s="37" t="str">
        <x:v>BED-004</x:v>
      </x:c>
      <x:c r="D329" s="37" t="str">
        <x:v>완료 후 시작</x:v>
      </x:c>
      <x:c r="E329" s="37" t="str">
        <x:v>백엔드·라이브 운영</x:v>
      </x:c>
      <x:c r="F329" s="37" t="str">
        <x:v>미정</x:v>
      </x:c>
      <x:c r="G329" s="37" t="str">
        <x:v>미착수</x:v>
      </x:c>
      <x:c r="H329" s="40" t="str">
        <x:v>미정</x:v>
      </x:c>
      <x:c r="I329" s="37"/>
      <x:c r="J329" s="37" t="str">
        <x:v>부문 내</x:v>
      </x:c>
    </x:row>
    <x:row r="330" ht="42" customHeight="1">
      <x:c r="A330" s="37" t="str">
        <x:v>DEP-0329</x:v>
      </x:c>
      <x:c r="B330" s="37" t="str">
        <x:v>BED-008</x:v>
      </x:c>
      <x:c r="C330" s="37" t="str">
        <x:v>NET-023</x:v>
      </x:c>
      <x:c r="D330" s="37" t="str">
        <x:v>인터페이스·협업</x:v>
      </x:c>
      <x:c r="E330" s="37" t="str">
        <x:v>백엔드·라이브 운영</x:v>
      </x:c>
      <x:c r="F330" s="37" t="str">
        <x:v>미정</x:v>
      </x:c>
      <x:c r="G330" s="37" t="str">
        <x:v>미착수</x:v>
      </x:c>
      <x:c r="H330" s="40" t="str">
        <x:v>미정</x:v>
      </x:c>
      <x:c r="I330" s="37"/>
      <x:c r="J330" s="37" t="str">
        <x:v>부문 간</x:v>
      </x:c>
    </x:row>
    <x:row r="331" ht="42" customHeight="1">
      <x:c r="A331" s="37" t="str">
        <x:v>DEP-0330</x:v>
      </x:c>
      <x:c r="B331" s="37" t="str">
        <x:v>BED-008</x:v>
      </x:c>
      <x:c r="C331" s="37" t="str">
        <x:v>IGM-001</x:v>
      </x:c>
      <x:c r="D331" s="37" t="str">
        <x:v>인터페이스·협업</x:v>
      </x:c>
      <x:c r="E331" s="37" t="str">
        <x:v>백엔드·라이브 운영</x:v>
      </x:c>
      <x:c r="F331" s="37" t="str">
        <x:v>미정</x:v>
      </x:c>
      <x:c r="G331" s="37" t="str">
        <x:v>미착수</x:v>
      </x:c>
      <x:c r="H331" s="40" t="str">
        <x:v>미정</x:v>
      </x:c>
      <x:c r="I331" s="37"/>
      <x:c r="J331" s="37" t="str">
        <x:v>부문 간</x:v>
      </x:c>
    </x:row>
    <x:row r="332" ht="42" customHeight="1">
      <x:c r="A332" s="37" t="str">
        <x:v>DEP-0331</x:v>
      </x:c>
      <x:c r="B332" s="37" t="str">
        <x:v>BED-009</x:v>
      </x:c>
      <x:c r="C332" s="37" t="str">
        <x:v>BED-002</x:v>
      </x:c>
      <x:c r="D332" s="37" t="str">
        <x:v>완료 후 시작</x:v>
      </x:c>
      <x:c r="E332" s="37" t="str">
        <x:v>백엔드·라이브 운영</x:v>
      </x:c>
      <x:c r="F332" s="37" t="str">
        <x:v>미정</x:v>
      </x:c>
      <x:c r="G332" s="37" t="str">
        <x:v>미착수</x:v>
      </x:c>
      <x:c r="H332" s="40" t="str">
        <x:v>미정</x:v>
      </x:c>
      <x:c r="I332" s="37"/>
      <x:c r="J332" s="37" t="str">
        <x:v>부문 내</x:v>
      </x:c>
    </x:row>
    <x:row r="333" ht="42" customHeight="1">
      <x:c r="A333" s="37" t="str">
        <x:v>DEP-0332</x:v>
      </x:c>
      <x:c r="B333" s="37" t="str">
        <x:v>BED-009</x:v>
      </x:c>
      <x:c r="C333" s="37" t="str">
        <x:v>AUD-011</x:v>
      </x:c>
      <x:c r="D333" s="37" t="str">
        <x:v>인터페이스·협업</x:v>
      </x:c>
      <x:c r="E333" s="37" t="str">
        <x:v>백엔드·라이브 운영</x:v>
      </x:c>
      <x:c r="F333" s="37" t="str">
        <x:v>미정</x:v>
      </x:c>
      <x:c r="G333" s="37" t="str">
        <x:v>미착수</x:v>
      </x:c>
      <x:c r="H333" s="40" t="str">
        <x:v>미정</x:v>
      </x:c>
      <x:c r="I333" s="37"/>
      <x:c r="J333" s="37" t="str">
        <x:v>부문 간</x:v>
      </x:c>
    </x:row>
    <x:row r="334" ht="42" customHeight="1">
      <x:c r="A334" s="37" t="str">
        <x:v>DEP-0333</x:v>
      </x:c>
      <x:c r="B334" s="37" t="str">
        <x:v>BED-009</x:v>
      </x:c>
      <x:c r="C334" s="37" t="str">
        <x:v>UIX-024</x:v>
      </x:c>
      <x:c r="D334" s="37" t="str">
        <x:v>인터페이스·협업</x:v>
      </x:c>
      <x:c r="E334" s="37" t="str">
        <x:v>백엔드·라이브 운영</x:v>
      </x:c>
      <x:c r="F334" s="37" t="str">
        <x:v>미정</x:v>
      </x:c>
      <x:c r="G334" s="37" t="str">
        <x:v>미착수</x:v>
      </x:c>
      <x:c r="H334" s="40" t="str">
        <x:v>미정</x:v>
      </x:c>
      <x:c r="I334" s="37"/>
      <x:c r="J334" s="37" t="str">
        <x:v>부문 간</x:v>
      </x:c>
    </x:row>
    <x:row r="335" ht="42" customHeight="1">
      <x:c r="A335" s="37" t="str">
        <x:v>DEP-0334</x:v>
      </x:c>
      <x:c r="B335" s="37" t="str">
        <x:v>BED-010</x:v>
      </x:c>
      <x:c r="C335" s="37" t="str">
        <x:v>BED-009</x:v>
      </x:c>
      <x:c r="D335" s="37" t="str">
        <x:v>완료 후 시작</x:v>
      </x:c>
      <x:c r="E335" s="37" t="str">
        <x:v>백엔드·라이브 운영</x:v>
      </x:c>
      <x:c r="F335" s="37" t="str">
        <x:v>미정</x:v>
      </x:c>
      <x:c r="G335" s="37" t="str">
        <x:v>미착수</x:v>
      </x:c>
      <x:c r="H335" s="40" t="str">
        <x:v>미정</x:v>
      </x:c>
      <x:c r="I335" s="37"/>
      <x:c r="J335" s="37" t="str">
        <x:v>부문 내</x:v>
      </x:c>
    </x:row>
    <x:row r="336" ht="42" customHeight="1">
      <x:c r="A336" s="37" t="str">
        <x:v>DEP-0335</x:v>
      </x:c>
      <x:c r="B336" s="37" t="str">
        <x:v>BED-010</x:v>
      </x:c>
      <x:c r="C336" s="37" t="str">
        <x:v>SET-016</x:v>
      </x:c>
      <x:c r="D336" s="37" t="str">
        <x:v>인터페이스·협업</x:v>
      </x:c>
      <x:c r="E336" s="37" t="str">
        <x:v>백엔드·라이브 운영</x:v>
      </x:c>
      <x:c r="F336" s="37" t="str">
        <x:v>미정</x:v>
      </x:c>
      <x:c r="G336" s="37" t="str">
        <x:v>미착수</x:v>
      </x:c>
      <x:c r="H336" s="40" t="str">
        <x:v>미정</x:v>
      </x:c>
      <x:c r="I336" s="37"/>
      <x:c r="J336" s="37" t="str">
        <x:v>부문 간</x:v>
      </x:c>
    </x:row>
    <x:row r="337" ht="42" customHeight="1">
      <x:c r="A337" s="37" t="str">
        <x:v>DEP-0336</x:v>
      </x:c>
      <x:c r="B337" s="37" t="str">
        <x:v>BED-011</x:v>
      </x:c>
      <x:c r="C337" s="37" t="str">
        <x:v>BED-009</x:v>
      </x:c>
      <x:c r="D337" s="37" t="str">
        <x:v>완료 후 시작</x:v>
      </x:c>
      <x:c r="E337" s="37" t="str">
        <x:v>백엔드·라이브 운영</x:v>
      </x:c>
      <x:c r="F337" s="37" t="str">
        <x:v>미정</x:v>
      </x:c>
      <x:c r="G337" s="37" t="str">
        <x:v>미착수</x:v>
      </x:c>
      <x:c r="H337" s="40" t="str">
        <x:v>미정</x:v>
      </x:c>
      <x:c r="I337" s="37"/>
      <x:c r="J337" s="37" t="str">
        <x:v>부문 내</x:v>
      </x:c>
    </x:row>
    <x:row r="338" ht="42" customHeight="1">
      <x:c r="A338" s="37" t="str">
        <x:v>DEP-0337</x:v>
      </x:c>
      <x:c r="B338" s="37" t="str">
        <x:v>BED-011</x:v>
      </x:c>
      <x:c r="C338" s="37" t="str">
        <x:v>BED-012</x:v>
      </x:c>
      <x:c r="D338" s="37" t="str">
        <x:v>완료 후 시작</x:v>
      </x:c>
      <x:c r="E338" s="37" t="str">
        <x:v>백엔드·라이브 운영</x:v>
      </x:c>
      <x:c r="F338" s="37" t="str">
        <x:v>미정</x:v>
      </x:c>
      <x:c r="G338" s="37" t="str">
        <x:v>미착수</x:v>
      </x:c>
      <x:c r="H338" s="40" t="str">
        <x:v>미정</x:v>
      </x:c>
      <x:c r="I338" s="37"/>
      <x:c r="J338" s="37" t="str">
        <x:v>부문 내</x:v>
      </x:c>
    </x:row>
    <x:row r="339" ht="42" customHeight="1">
      <x:c r="A339" s="37" t="str">
        <x:v>DEP-0338</x:v>
      </x:c>
      <x:c r="B339" s="37" t="str">
        <x:v>BED-011</x:v>
      </x:c>
      <x:c r="C339" s="37" t="str">
        <x:v>AUD-012</x:v>
      </x:c>
      <x:c r="D339" s="37" t="str">
        <x:v>인터페이스·협업</x:v>
      </x:c>
      <x:c r="E339" s="37" t="str">
        <x:v>백엔드·라이브 운영</x:v>
      </x:c>
      <x:c r="F339" s="37" t="str">
        <x:v>미정</x:v>
      </x:c>
      <x:c r="G339" s="37" t="str">
        <x:v>미착수</x:v>
      </x:c>
      <x:c r="H339" s="40" t="str">
        <x:v>미정</x:v>
      </x:c>
      <x:c r="I339" s="37"/>
      <x:c r="J339" s="37" t="str">
        <x:v>부문 간</x:v>
      </x:c>
    </x:row>
    <x:row r="340" ht="42" customHeight="1">
      <x:c r="A340" s="37" t="str">
        <x:v>DEP-0339</x:v>
      </x:c>
      <x:c r="B340" s="37" t="str">
        <x:v>BED-012</x:v>
      </x:c>
      <x:c r="C340" s="37" t="str">
        <x:v>BED-001</x:v>
      </x:c>
      <x:c r="D340" s="37" t="str">
        <x:v>완료 후 시작</x:v>
      </x:c>
      <x:c r="E340" s="37" t="str">
        <x:v>백엔드·라이브 운영</x:v>
      </x:c>
      <x:c r="F340" s="37" t="str">
        <x:v>미정</x:v>
      </x:c>
      <x:c r="G340" s="37" t="str">
        <x:v>미착수</x:v>
      </x:c>
      <x:c r="H340" s="40" t="str">
        <x:v>미정</x:v>
      </x:c>
      <x:c r="I340" s="37"/>
      <x:c r="J340" s="37" t="str">
        <x:v>부문 내</x:v>
      </x:c>
    </x:row>
    <x:row r="341" ht="42" customHeight="1">
      <x:c r="A341" s="37" t="str">
        <x:v>DEP-0340</x:v>
      </x:c>
      <x:c r="B341" s="37" t="str">
        <x:v>BED-013</x:v>
      </x:c>
      <x:c r="C341" s="37" t="str">
        <x:v>BED-001</x:v>
      </x:c>
      <x:c r="D341" s="37" t="str">
        <x:v>완료 후 시작</x:v>
      </x:c>
      <x:c r="E341" s="37" t="str">
        <x:v>백엔드·라이브 운영</x:v>
      </x:c>
      <x:c r="F341" s="37" t="str">
        <x:v>미정</x:v>
      </x:c>
      <x:c r="G341" s="37" t="str">
        <x:v>미착수</x:v>
      </x:c>
      <x:c r="H341" s="40" t="str">
        <x:v>미정</x:v>
      </x:c>
      <x:c r="I341" s="37"/>
      <x:c r="J341" s="37" t="str">
        <x:v>부문 내</x:v>
      </x:c>
    </x:row>
    <x:row r="342" ht="42" customHeight="1">
      <x:c r="A342" s="37" t="str">
        <x:v>DEP-0341</x:v>
      </x:c>
      <x:c r="B342" s="37" t="str">
        <x:v>BED-013</x:v>
      </x:c>
      <x:c r="C342" s="37" t="str">
        <x:v>BED-012</x:v>
      </x:c>
      <x:c r="D342" s="37" t="str">
        <x:v>완료 후 시작</x:v>
      </x:c>
      <x:c r="E342" s="37" t="str">
        <x:v>백엔드·라이브 운영</x:v>
      </x:c>
      <x:c r="F342" s="37" t="str">
        <x:v>미정</x:v>
      </x:c>
      <x:c r="G342" s="37" t="str">
        <x:v>미착수</x:v>
      </x:c>
      <x:c r="H342" s="40" t="str">
        <x:v>미정</x:v>
      </x:c>
      <x:c r="I342" s="37"/>
      <x:c r="J342" s="37" t="str">
        <x:v>부문 내</x:v>
      </x:c>
    </x:row>
    <x:row r="343" ht="42" customHeight="1">
      <x:c r="A343" s="37" t="str">
        <x:v>DEP-0342</x:v>
      </x:c>
      <x:c r="B343" s="37" t="str">
        <x:v>BED-014</x:v>
      </x:c>
      <x:c r="C343" s="37" t="str">
        <x:v>BED-002</x:v>
      </x:c>
      <x:c r="D343" s="37" t="str">
        <x:v>완료 후 시작</x:v>
      </x:c>
      <x:c r="E343" s="37" t="str">
        <x:v>백엔드·라이브 운영</x:v>
      </x:c>
      <x:c r="F343" s="37" t="str">
        <x:v>미정</x:v>
      </x:c>
      <x:c r="G343" s="37" t="str">
        <x:v>미착수</x:v>
      </x:c>
      <x:c r="H343" s="40" t="str">
        <x:v>미정</x:v>
      </x:c>
      <x:c r="I343" s="37"/>
      <x:c r="J343" s="37" t="str">
        <x:v>부문 내</x:v>
      </x:c>
    </x:row>
    <x:row r="344" ht="42" customHeight="1">
      <x:c r="A344" s="37" t="str">
        <x:v>DEP-0343</x:v>
      </x:c>
      <x:c r="B344" s="37" t="str">
        <x:v>BED-014</x:v>
      </x:c>
      <x:c r="C344" s="37" t="str">
        <x:v>BED-006</x:v>
      </x:c>
      <x:c r="D344" s="37" t="str">
        <x:v>완료 후 시작</x:v>
      </x:c>
      <x:c r="E344" s="37" t="str">
        <x:v>백엔드·라이브 운영</x:v>
      </x:c>
      <x:c r="F344" s="37" t="str">
        <x:v>미정</x:v>
      </x:c>
      <x:c r="G344" s="37" t="str">
        <x:v>미착수</x:v>
      </x:c>
      <x:c r="H344" s="40" t="str">
        <x:v>미정</x:v>
      </x:c>
      <x:c r="I344" s="37"/>
      <x:c r="J344" s="37" t="str">
        <x:v>부문 내</x:v>
      </x:c>
    </x:row>
    <x:row r="345" ht="42" customHeight="1">
      <x:c r="A345" s="37" t="str">
        <x:v>DEP-0344</x:v>
      </x:c>
      <x:c r="B345" s="37" t="str">
        <x:v>BED-014</x:v>
      </x:c>
      <x:c r="C345" s="37" t="str">
        <x:v>BED-008</x:v>
      </x:c>
      <x:c r="D345" s="37" t="str">
        <x:v>완료 후 시작</x:v>
      </x:c>
      <x:c r="E345" s="37" t="str">
        <x:v>백엔드·라이브 운영</x:v>
      </x:c>
      <x:c r="F345" s="37" t="str">
        <x:v>미정</x:v>
      </x:c>
      <x:c r="G345" s="37" t="str">
        <x:v>미착수</x:v>
      </x:c>
      <x:c r="H345" s="40" t="str">
        <x:v>미정</x:v>
      </x:c>
      <x:c r="I345" s="37"/>
      <x:c r="J345" s="37" t="str">
        <x:v>부문 내</x:v>
      </x:c>
    </x:row>
    <x:row r="346" ht="42" customHeight="1">
      <x:c r="A346" s="37" t="str">
        <x:v>DEP-0345</x:v>
      </x:c>
      <x:c r="B346" s="37" t="str">
        <x:v>BED-014</x:v>
      </x:c>
      <x:c r="C346" s="37" t="str">
        <x:v>BED-009</x:v>
      </x:c>
      <x:c r="D346" s="37" t="str">
        <x:v>완료 후 시작</x:v>
      </x:c>
      <x:c r="E346" s="37" t="str">
        <x:v>백엔드·라이브 운영</x:v>
      </x:c>
      <x:c r="F346" s="37" t="str">
        <x:v>미정</x:v>
      </x:c>
      <x:c r="G346" s="37" t="str">
        <x:v>미착수</x:v>
      </x:c>
      <x:c r="H346" s="40" t="str">
        <x:v>미정</x:v>
      </x:c>
      <x:c r="I346" s="37"/>
      <x:c r="J346" s="37" t="str">
        <x:v>부문 내</x:v>
      </x:c>
    </x:row>
    <x:row r="347" ht="42" customHeight="1">
      <x:c r="A347" s="37" t="str">
        <x:v>DEP-0346</x:v>
      </x:c>
      <x:c r="B347" s="37" t="str">
        <x:v>BED-015</x:v>
      </x:c>
      <x:c r="C347" s="37" t="str">
        <x:v>SET-001</x:v>
      </x:c>
      <x:c r="D347" s="37" t="str">
        <x:v>인터페이스·협업</x:v>
      </x:c>
      <x:c r="E347" s="37" t="str">
        <x:v>백엔드·라이브 운영</x:v>
      </x:c>
      <x:c r="F347" s="37" t="str">
        <x:v>미정</x:v>
      </x:c>
      <x:c r="G347" s="37" t="str">
        <x:v>미착수</x:v>
      </x:c>
      <x:c r="H347" s="40" t="str">
        <x:v>미정</x:v>
      </x:c>
      <x:c r="I347" s="37"/>
      <x:c r="J347" s="37" t="str">
        <x:v>부문 간</x:v>
      </x:c>
    </x:row>
    <x:row r="348" ht="42" customHeight="1">
      <x:c r="A348" s="37" t="str">
        <x:v>DEP-0347</x:v>
      </x:c>
      <x:c r="B348" s="37" t="str">
        <x:v>BED-016</x:v>
      </x:c>
      <x:c r="C348" s="37" t="str">
        <x:v>BED-015</x:v>
      </x:c>
      <x:c r="D348" s="37" t="str">
        <x:v>완료 후 시작</x:v>
      </x:c>
      <x:c r="E348" s="37" t="str">
        <x:v>백엔드·라이브 운영</x:v>
      </x:c>
      <x:c r="F348" s="37" t="str">
        <x:v>미정</x:v>
      </x:c>
      <x:c r="G348" s="37" t="str">
        <x:v>미착수</x:v>
      </x:c>
      <x:c r="H348" s="40" t="str">
        <x:v>미정</x:v>
      </x:c>
      <x:c r="I348" s="37"/>
      <x:c r="J348" s="37" t="str">
        <x:v>부문 내</x:v>
      </x:c>
    </x:row>
    <x:row r="349" ht="42" customHeight="1">
      <x:c r="A349" s="37" t="str">
        <x:v>DEP-0348</x:v>
      </x:c>
      <x:c r="B349" s="37" t="str">
        <x:v>BED-017</x:v>
      </x:c>
      <x:c r="C349" s="37" t="str">
        <x:v>BED-001</x:v>
      </x:c>
      <x:c r="D349" s="37" t="str">
        <x:v>완료 후 시작</x:v>
      </x:c>
      <x:c r="E349" s="37" t="str">
        <x:v>백엔드·라이브 운영</x:v>
      </x:c>
      <x:c r="F349" s="37" t="str">
        <x:v>미정</x:v>
      </x:c>
      <x:c r="G349" s="37" t="str">
        <x:v>미착수</x:v>
      </x:c>
      <x:c r="H349" s="40" t="str">
        <x:v>미정</x:v>
      </x:c>
      <x:c r="I349" s="37"/>
      <x:c r="J349" s="37" t="str">
        <x:v>부문 내</x:v>
      </x:c>
    </x:row>
    <x:row r="350" ht="42" customHeight="1">
      <x:c r="A350" s="37" t="str">
        <x:v>DEP-0349</x:v>
      </x:c>
      <x:c r="B350" s="37" t="str">
        <x:v>BED-018</x:v>
      </x:c>
      <x:c r="C350" s="37" t="str">
        <x:v>BED-001</x:v>
      </x:c>
      <x:c r="D350" s="37" t="str">
        <x:v>완료 후 시작</x:v>
      </x:c>
      <x:c r="E350" s="37" t="str">
        <x:v>백엔드·라이브 운영</x:v>
      </x:c>
      <x:c r="F350" s="37" t="str">
        <x:v>미정</x:v>
      </x:c>
      <x:c r="G350" s="37" t="str">
        <x:v>미착수</x:v>
      </x:c>
      <x:c r="H350" s="40" t="str">
        <x:v>미정</x:v>
      </x:c>
      <x:c r="I350" s="37"/>
      <x:c r="J350" s="37" t="str">
        <x:v>부문 내</x:v>
      </x:c>
    </x:row>
    <x:row r="351" ht="42" customHeight="1">
      <x:c r="A351" s="37" t="str">
        <x:v>DEP-0350</x:v>
      </x:c>
      <x:c r="B351" s="37" t="str">
        <x:v>BED-019</x:v>
      </x:c>
      <x:c r="C351" s="37" t="str">
        <x:v>BED-018</x:v>
      </x:c>
      <x:c r="D351" s="37" t="str">
        <x:v>완료 후 시작</x:v>
      </x:c>
      <x:c r="E351" s="37" t="str">
        <x:v>백엔드·라이브 운영</x:v>
      </x:c>
      <x:c r="F351" s="37" t="str">
        <x:v>미정</x:v>
      </x:c>
      <x:c r="G351" s="37" t="str">
        <x:v>미착수</x:v>
      </x:c>
      <x:c r="H351" s="40" t="str">
        <x:v>미정</x:v>
      </x:c>
      <x:c r="I351" s="37"/>
      <x:c r="J351" s="37" t="str">
        <x:v>부문 내</x:v>
      </x:c>
    </x:row>
    <x:row r="352" ht="42" customHeight="1">
      <x:c r="A352" s="37" t="str">
        <x:v>DEP-0351</x:v>
      </x:c>
      <x:c r="B352" s="37" t="str">
        <x:v>BED-020</x:v>
      </x:c>
      <x:c r="C352" s="37" t="str">
        <x:v>BED-002</x:v>
      </x:c>
      <x:c r="D352" s="37" t="str">
        <x:v>완료 후 시작</x:v>
      </x:c>
      <x:c r="E352" s="37" t="str">
        <x:v>백엔드·라이브 운영</x:v>
      </x:c>
      <x:c r="F352" s="37" t="str">
        <x:v>미정</x:v>
      </x:c>
      <x:c r="G352" s="37" t="str">
        <x:v>미착수</x:v>
      </x:c>
      <x:c r="H352" s="40" t="str">
        <x:v>미정</x:v>
      </x:c>
      <x:c r="I352" s="37"/>
      <x:c r="J352" s="37" t="str">
        <x:v>부문 내</x:v>
      </x:c>
    </x:row>
    <x:row r="353" ht="42" customHeight="1">
      <x:c r="A353" s="37" t="str">
        <x:v>DEP-0352</x:v>
      </x:c>
      <x:c r="B353" s="37" t="str">
        <x:v>BED-021</x:v>
      </x:c>
      <x:c r="C353" s="37" t="str">
        <x:v>BED-006</x:v>
      </x:c>
      <x:c r="D353" s="37" t="str">
        <x:v>완료 후 시작</x:v>
      </x:c>
      <x:c r="E353" s="37" t="str">
        <x:v>백엔드·라이브 운영</x:v>
      </x:c>
      <x:c r="F353" s="37" t="str">
        <x:v>미정</x:v>
      </x:c>
      <x:c r="G353" s="37" t="str">
        <x:v>미착수</x:v>
      </x:c>
      <x:c r="H353" s="40" t="str">
        <x:v>미정</x:v>
      </x:c>
      <x:c r="I353" s="37"/>
      <x:c r="J353" s="37" t="str">
        <x:v>부문 내</x:v>
      </x:c>
    </x:row>
    <x:row r="354" ht="42" customHeight="1">
      <x:c r="A354" s="37" t="str">
        <x:v>DEP-0353</x:v>
      </x:c>
      <x:c r="B354" s="37" t="str">
        <x:v>BED-021</x:v>
      </x:c>
      <x:c r="C354" s="37" t="str">
        <x:v>BED-009</x:v>
      </x:c>
      <x:c r="D354" s="37" t="str">
        <x:v>완료 후 시작</x:v>
      </x:c>
      <x:c r="E354" s="37" t="str">
        <x:v>백엔드·라이브 운영</x:v>
      </x:c>
      <x:c r="F354" s="37" t="str">
        <x:v>미정</x:v>
      </x:c>
      <x:c r="G354" s="37" t="str">
        <x:v>미착수</x:v>
      </x:c>
      <x:c r="H354" s="40" t="str">
        <x:v>미정</x:v>
      </x:c>
      <x:c r="I354" s="37"/>
      <x:c r="J354" s="37" t="str">
        <x:v>부문 내</x:v>
      </x:c>
    </x:row>
    <x:row r="355" ht="42" customHeight="1">
      <x:c r="A355" s="37" t="str">
        <x:v>DEP-0354</x:v>
      </x:c>
      <x:c r="B355" s="37" t="str">
        <x:v>BED-021</x:v>
      </x:c>
      <x:c r="C355" s="37" t="str">
        <x:v>BED-016</x:v>
      </x:c>
      <x:c r="D355" s="37" t="str">
        <x:v>완료 후 시작</x:v>
      </x:c>
      <x:c r="E355" s="37" t="str">
        <x:v>백엔드·라이브 운영</x:v>
      </x:c>
      <x:c r="F355" s="37" t="str">
        <x:v>미정</x:v>
      </x:c>
      <x:c r="G355" s="37" t="str">
        <x:v>미착수</x:v>
      </x:c>
      <x:c r="H355" s="40" t="str">
        <x:v>미정</x:v>
      </x:c>
      <x:c r="I355" s="37"/>
      <x:c r="J355" s="37" t="str">
        <x:v>부문 내</x:v>
      </x:c>
    </x:row>
    <x:row r="356" ht="42" customHeight="1">
      <x:c r="A356" s="37" t="str">
        <x:v>DEP-0355</x:v>
      </x:c>
      <x:c r="B356" s="37" t="str">
        <x:v>BED-021</x:v>
      </x:c>
      <x:c r="C356" s="37" t="str">
        <x:v>BED-020</x:v>
      </x:c>
      <x:c r="D356" s="37" t="str">
        <x:v>완료 후 시작</x:v>
      </x:c>
      <x:c r="E356" s="37" t="str">
        <x:v>백엔드·라이브 운영</x:v>
      </x:c>
      <x:c r="F356" s="37" t="str">
        <x:v>미정</x:v>
      </x:c>
      <x:c r="G356" s="37" t="str">
        <x:v>미착수</x:v>
      </x:c>
      <x:c r="H356" s="40" t="str">
        <x:v>미정</x:v>
      </x:c>
      <x:c r="I356" s="37"/>
      <x:c r="J356" s="37" t="str">
        <x:v>부문 내</x:v>
      </x:c>
    </x:row>
    <x:row r="357" ht="42" customHeight="1">
      <x:c r="A357" s="37" t="str">
        <x:v>DEP-0356</x:v>
      </x:c>
      <x:c r="B357" s="37" t="str">
        <x:v>BED-022</x:v>
      </x:c>
      <x:c r="C357" s="37" t="str">
        <x:v>BED-009</x:v>
      </x:c>
      <x:c r="D357" s="37" t="str">
        <x:v>완료 후 시작</x:v>
      </x:c>
      <x:c r="E357" s="37" t="str">
        <x:v>백엔드·라이브 운영</x:v>
      </x:c>
      <x:c r="F357" s="37" t="str">
        <x:v>미정</x:v>
      </x:c>
      <x:c r="G357" s="37" t="str">
        <x:v>미착수</x:v>
      </x:c>
      <x:c r="H357" s="40" t="str">
        <x:v>미정</x:v>
      </x:c>
      <x:c r="I357" s="37"/>
      <x:c r="J357" s="37" t="str">
        <x:v>부문 내</x:v>
      </x:c>
    </x:row>
    <x:row r="358" ht="42" customHeight="1">
      <x:c r="A358" s="37" t="str">
        <x:v>DEP-0357</x:v>
      </x:c>
      <x:c r="B358" s="37" t="str">
        <x:v>BED-022</x:v>
      </x:c>
      <x:c r="C358" s="37" t="str">
        <x:v>BED-021</x:v>
      </x:c>
      <x:c r="D358" s="37" t="str">
        <x:v>완료 후 시작</x:v>
      </x:c>
      <x:c r="E358" s="37" t="str">
        <x:v>백엔드·라이브 운영</x:v>
      </x:c>
      <x:c r="F358" s="37" t="str">
        <x:v>미정</x:v>
      </x:c>
      <x:c r="G358" s="37" t="str">
        <x:v>미착수</x:v>
      </x:c>
      <x:c r="H358" s="40" t="str">
        <x:v>미정</x:v>
      </x:c>
      <x:c r="I358" s="37"/>
      <x:c r="J358" s="37" t="str">
        <x:v>부문 내</x:v>
      </x:c>
    </x:row>
    <x:row r="359" ht="42" customHeight="1">
      <x:c r="A359" s="37" t="str">
        <x:v>DEP-0358</x:v>
      </x:c>
      <x:c r="B359" s="37" t="str">
        <x:v>BED-023</x:v>
      </x:c>
      <x:c r="C359" s="37" t="str">
        <x:v>BED-018</x:v>
      </x:c>
      <x:c r="D359" s="37" t="str">
        <x:v>완료 후 시작</x:v>
      </x:c>
      <x:c r="E359" s="37" t="str">
        <x:v>백엔드·라이브 운영</x:v>
      </x:c>
      <x:c r="F359" s="37" t="str">
        <x:v>미정</x:v>
      </x:c>
      <x:c r="G359" s="37" t="str">
        <x:v>미착수</x:v>
      </x:c>
      <x:c r="H359" s="40" t="str">
        <x:v>미정</x:v>
      </x:c>
      <x:c r="I359" s="37"/>
      <x:c r="J359" s="37" t="str">
        <x:v>부문 내</x:v>
      </x:c>
    </x:row>
    <x:row r="360" ht="42" customHeight="1">
      <x:c r="A360" s="37" t="str">
        <x:v>DEP-0359</x:v>
      </x:c>
      <x:c r="B360" s="37" t="str">
        <x:v>BED-023</x:v>
      </x:c>
      <x:c r="C360" s="37" t="str">
        <x:v>NET-018</x:v>
      </x:c>
      <x:c r="D360" s="37" t="str">
        <x:v>인터페이스·협업</x:v>
      </x:c>
      <x:c r="E360" s="37" t="str">
        <x:v>백엔드·라이브 운영</x:v>
      </x:c>
      <x:c r="F360" s="37" t="str">
        <x:v>미정</x:v>
      </x:c>
      <x:c r="G360" s="37" t="str">
        <x:v>미착수</x:v>
      </x:c>
      <x:c r="H360" s="40" t="str">
        <x:v>미정</x:v>
      </x:c>
      <x:c r="I360" s="37"/>
      <x:c r="J360" s="37" t="str">
        <x:v>부문 간</x:v>
      </x:c>
    </x:row>
    <x:row r="361" ht="42" customHeight="1">
      <x:c r="A361" s="37" t="str">
        <x:v>DEP-0360</x:v>
      </x:c>
      <x:c r="B361" s="37" t="str">
        <x:v>BED-024</x:v>
      </x:c>
      <x:c r="C361" s="37" t="str">
        <x:v>BED-008</x:v>
      </x:c>
      <x:c r="D361" s="37" t="str">
        <x:v>완료 후 시작</x:v>
      </x:c>
      <x:c r="E361" s="37" t="str">
        <x:v>백엔드·라이브 운영</x:v>
      </x:c>
      <x:c r="F361" s="37" t="str">
        <x:v>미정</x:v>
      </x:c>
      <x:c r="G361" s="37" t="str">
        <x:v>미착수</x:v>
      </x:c>
      <x:c r="H361" s="40" t="str">
        <x:v>미정</x:v>
      </x:c>
      <x:c r="I361" s="37"/>
      <x:c r="J361" s="37" t="str">
        <x:v>부문 내</x:v>
      </x:c>
    </x:row>
    <x:row r="362" ht="42" customHeight="1">
      <x:c r="A362" s="37" t="str">
        <x:v>DEP-0361</x:v>
      </x:c>
      <x:c r="B362" s="37" t="str">
        <x:v>BED-024</x:v>
      </x:c>
      <x:c r="C362" s="37" t="str">
        <x:v>BED-006</x:v>
      </x:c>
      <x:c r="D362" s="37" t="str">
        <x:v>완료 후 시작</x:v>
      </x:c>
      <x:c r="E362" s="37" t="str">
        <x:v>백엔드·라이브 운영</x:v>
      </x:c>
      <x:c r="F362" s="37" t="str">
        <x:v>미정</x:v>
      </x:c>
      <x:c r="G362" s="37" t="str">
        <x:v>미착수</x:v>
      </x:c>
      <x:c r="H362" s="40" t="str">
        <x:v>미정</x:v>
      </x:c>
      <x:c r="I362" s="37"/>
      <x:c r="J362" s="37" t="str">
        <x:v>부문 내</x:v>
      </x:c>
    </x:row>
    <x:row r="363" ht="42" customHeight="1">
      <x:c r="A363" s="37" t="str">
        <x:v>DEP-0362</x:v>
      </x:c>
      <x:c r="B363" s="37" t="str">
        <x:v>BED-025</x:v>
      </x:c>
      <x:c r="C363" s="37" t="str">
        <x:v>BED-003</x:v>
      </x:c>
      <x:c r="D363" s="37" t="str">
        <x:v>완료 후 시작</x:v>
      </x:c>
      <x:c r="E363" s="37" t="str">
        <x:v>백엔드·라이브 운영</x:v>
      </x:c>
      <x:c r="F363" s="37" t="str">
        <x:v>미정</x:v>
      </x:c>
      <x:c r="G363" s="37" t="str">
        <x:v>미착수</x:v>
      </x:c>
      <x:c r="H363" s="40" t="str">
        <x:v>미정</x:v>
      </x:c>
      <x:c r="I363" s="37"/>
      <x:c r="J363" s="37" t="str">
        <x:v>부문 내</x:v>
      </x:c>
    </x:row>
    <x:row r="364" ht="42" customHeight="1">
      <x:c r="A364" s="37" t="str">
        <x:v>DEP-0363</x:v>
      </x:c>
      <x:c r="B364" s="37" t="str">
        <x:v>BED-025</x:v>
      </x:c>
      <x:c r="C364" s="37" t="str">
        <x:v>BED-006</x:v>
      </x:c>
      <x:c r="D364" s="37" t="str">
        <x:v>완료 후 시작</x:v>
      </x:c>
      <x:c r="E364" s="37" t="str">
        <x:v>백엔드·라이브 운영</x:v>
      </x:c>
      <x:c r="F364" s="37" t="str">
        <x:v>미정</x:v>
      </x:c>
      <x:c r="G364" s="37" t="str">
        <x:v>미착수</x:v>
      </x:c>
      <x:c r="H364" s="40" t="str">
        <x:v>미정</x:v>
      </x:c>
      <x:c r="I364" s="37"/>
      <x:c r="J364" s="37" t="str">
        <x:v>부문 내</x:v>
      </x:c>
    </x:row>
    <x:row r="365" ht="42" customHeight="1">
      <x:c r="A365" s="37" t="str">
        <x:v>DEP-0364</x:v>
      </x:c>
      <x:c r="B365" s="37" t="str">
        <x:v>BED-025</x:v>
      </x:c>
      <x:c r="C365" s="37" t="str">
        <x:v>BED-015</x:v>
      </x:c>
      <x:c r="D365" s="37" t="str">
        <x:v>완료 후 시작</x:v>
      </x:c>
      <x:c r="E365" s="37" t="str">
        <x:v>백엔드·라이브 운영</x:v>
      </x:c>
      <x:c r="F365" s="37" t="str">
        <x:v>미정</x:v>
      </x:c>
      <x:c r="G365" s="37" t="str">
        <x:v>미착수</x:v>
      </x:c>
      <x:c r="H365" s="40" t="str">
        <x:v>미정</x:v>
      </x:c>
      <x:c r="I365" s="37"/>
      <x:c r="J365" s="37" t="str">
        <x:v>부문 내</x:v>
      </x:c>
    </x:row>
    <x:row r="366" ht="42" customHeight="1">
      <x:c r="A366" s="37" t="str">
        <x:v>DEP-0365</x:v>
      </x:c>
      <x:c r="B366" s="37" t="str">
        <x:v>BED-026</x:v>
      </x:c>
      <x:c r="C366" s="37" t="str">
        <x:v>BED-019</x:v>
      </x:c>
      <x:c r="D366" s="37" t="str">
        <x:v>완료 후 시작</x:v>
      </x:c>
      <x:c r="E366" s="37" t="str">
        <x:v>백엔드·라이브 운영</x:v>
      </x:c>
      <x:c r="F366" s="37" t="str">
        <x:v>미정</x:v>
      </x:c>
      <x:c r="G366" s="37" t="str">
        <x:v>미착수</x:v>
      </x:c>
      <x:c r="H366" s="40" t="str">
        <x:v>미정</x:v>
      </x:c>
      <x:c r="I366" s="37"/>
      <x:c r="J366" s="37" t="str">
        <x:v>부문 내</x:v>
      </x:c>
    </x:row>
    <x:row r="367" ht="42" customHeight="1">
      <x:c r="A367" s="37" t="str">
        <x:v>DEP-0366</x:v>
      </x:c>
      <x:c r="B367" s="37" t="str">
        <x:v>BED-026</x:v>
      </x:c>
      <x:c r="C367" s="37" t="str">
        <x:v>BED-025</x:v>
      </x:c>
      <x:c r="D367" s="37" t="str">
        <x:v>완료 후 시작</x:v>
      </x:c>
      <x:c r="E367" s="37" t="str">
        <x:v>백엔드·라이브 운영</x:v>
      </x:c>
      <x:c r="F367" s="37" t="str">
        <x:v>미정</x:v>
      </x:c>
      <x:c r="G367" s="37" t="str">
        <x:v>미착수</x:v>
      </x:c>
      <x:c r="H367" s="40" t="str">
        <x:v>미정</x:v>
      </x:c>
      <x:c r="I367" s="37"/>
      <x:c r="J367" s="37" t="str">
        <x:v>부문 내</x:v>
      </x:c>
    </x:row>
    <x:row r="368" ht="42" customHeight="1">
      <x:c r="A368" s="37" t="str">
        <x:v>DEP-0367</x:v>
      </x:c>
      <x:c r="B368" s="37" t="str">
        <x:v>BED-027</x:v>
      </x:c>
      <x:c r="C368" s="37" t="str">
        <x:v>BED-001</x:v>
      </x:c>
      <x:c r="D368" s="37" t="str">
        <x:v>완료 후 시작</x:v>
      </x:c>
      <x:c r="E368" s="37" t="str">
        <x:v>백엔드·라이브 운영</x:v>
      </x:c>
      <x:c r="F368" s="37" t="str">
        <x:v>미정</x:v>
      </x:c>
      <x:c r="G368" s="37" t="str">
        <x:v>미착수</x:v>
      </x:c>
      <x:c r="H368" s="40" t="str">
        <x:v>미정</x:v>
      </x:c>
      <x:c r="I368" s="37"/>
      <x:c r="J368" s="37" t="str">
        <x:v>부문 내</x:v>
      </x:c>
    </x:row>
    <x:row r="369" ht="42" customHeight="1">
      <x:c r="A369" s="37" t="str">
        <x:v>DEP-0368</x:v>
      </x:c>
      <x:c r="B369" s="37" t="str">
        <x:v>BED-027</x:v>
      </x:c>
      <x:c r="C369" s="37" t="str">
        <x:v>NET-027</x:v>
      </x:c>
      <x:c r="D369" s="37" t="str">
        <x:v>인터페이스·협업</x:v>
      </x:c>
      <x:c r="E369" s="37" t="str">
        <x:v>백엔드·라이브 운영</x:v>
      </x:c>
      <x:c r="F369" s="37" t="str">
        <x:v>미정</x:v>
      </x:c>
      <x:c r="G369" s="37" t="str">
        <x:v>미착수</x:v>
      </x:c>
      <x:c r="H369" s="40" t="str">
        <x:v>미정</x:v>
      </x:c>
      <x:c r="I369" s="37"/>
      <x:c r="J369" s="37" t="str">
        <x:v>부문 간</x:v>
      </x:c>
    </x:row>
    <x:row r="370" ht="42" customHeight="1">
      <x:c r="A370" s="37" t="str">
        <x:v>DEP-0369</x:v>
      </x:c>
      <x:c r="B370" s="37" t="str">
        <x:v>BED-028</x:v>
      </x:c>
      <x:c r="C370" s="37" t="str">
        <x:v>BED-015</x:v>
      </x:c>
      <x:c r="D370" s="37" t="str">
        <x:v>완료 후 시작</x:v>
      </x:c>
      <x:c r="E370" s="37" t="str">
        <x:v>백엔드·라이브 운영</x:v>
      </x:c>
      <x:c r="F370" s="37" t="str">
        <x:v>미정</x:v>
      </x:c>
      <x:c r="G370" s="37" t="str">
        <x:v>미착수</x:v>
      </x:c>
      <x:c r="H370" s="40" t="str">
        <x:v>미정</x:v>
      </x:c>
      <x:c r="I370" s="37"/>
      <x:c r="J370" s="37" t="str">
        <x:v>부문 내</x:v>
      </x:c>
    </x:row>
    <x:row r="371" ht="42" customHeight="1">
      <x:c r="A371" s="37" t="str">
        <x:v>DEP-0370</x:v>
      </x:c>
      <x:c r="B371" s="37" t="str">
        <x:v>BED-028</x:v>
      </x:c>
      <x:c r="C371" s="37" t="str">
        <x:v>BED-016</x:v>
      </x:c>
      <x:c r="D371" s="37" t="str">
        <x:v>완료 후 시작</x:v>
      </x:c>
      <x:c r="E371" s="37" t="str">
        <x:v>백엔드·라이브 운영</x:v>
      </x:c>
      <x:c r="F371" s="37" t="str">
        <x:v>미정</x:v>
      </x:c>
      <x:c r="G371" s="37" t="str">
        <x:v>미착수</x:v>
      </x:c>
      <x:c r="H371" s="40" t="str">
        <x:v>미정</x:v>
      </x:c>
      <x:c r="I371" s="37"/>
      <x:c r="J371" s="37" t="str">
        <x:v>부문 내</x:v>
      </x:c>
    </x:row>
    <x:row r="372" ht="42" customHeight="1">
      <x:c r="A372" s="37" t="str">
        <x:v>DEP-0371</x:v>
      </x:c>
      <x:c r="B372" s="37" t="str">
        <x:v>BED-028</x:v>
      </x:c>
      <x:c r="C372" s="37" t="str">
        <x:v>BED-019</x:v>
      </x:c>
      <x:c r="D372" s="37" t="str">
        <x:v>완료 후 시작</x:v>
      </x:c>
      <x:c r="E372" s="37" t="str">
        <x:v>백엔드·라이브 운영</x:v>
      </x:c>
      <x:c r="F372" s="37" t="str">
        <x:v>미정</x:v>
      </x:c>
      <x:c r="G372" s="37" t="str">
        <x:v>미착수</x:v>
      </x:c>
      <x:c r="H372" s="40" t="str">
        <x:v>미정</x:v>
      </x:c>
      <x:c r="I372" s="37"/>
      <x:c r="J372" s="37" t="str">
        <x:v>부문 내</x:v>
      </x:c>
    </x:row>
    <x:row r="373" ht="42" customHeight="1">
      <x:c r="A373" s="37" t="str">
        <x:v>DEP-0372</x:v>
      </x:c>
      <x:c r="B373" s="37" t="str">
        <x:v>BED-028</x:v>
      </x:c>
      <x:c r="C373" s="37" t="str">
        <x:v>BED-025</x:v>
      </x:c>
      <x:c r="D373" s="37" t="str">
        <x:v>완료 후 시작</x:v>
      </x:c>
      <x:c r="E373" s="37" t="str">
        <x:v>백엔드·라이브 운영</x:v>
      </x:c>
      <x:c r="F373" s="37" t="str">
        <x:v>미정</x:v>
      </x:c>
      <x:c r="G373" s="37" t="str">
        <x:v>미착수</x:v>
      </x:c>
      <x:c r="H373" s="40" t="str">
        <x:v>미정</x:v>
      </x:c>
      <x:c r="I373" s="37"/>
      <x:c r="J373" s="37" t="str">
        <x:v>부문 내</x:v>
      </x:c>
    </x:row>
    <x:row r="374" ht="42" customHeight="1">
      <x:c r="A374" s="37" t="str">
        <x:v>DEP-0373</x:v>
      </x:c>
      <x:c r="B374" s="37" t="str">
        <x:v>BED-029</x:v>
      </x:c>
      <x:c r="C374" s="37" t="str">
        <x:v>BED-004</x:v>
      </x:c>
      <x:c r="D374" s="37" t="str">
        <x:v>완료 후 시작</x:v>
      </x:c>
      <x:c r="E374" s="37" t="str">
        <x:v>백엔드·라이브 운영</x:v>
      </x:c>
      <x:c r="F374" s="37" t="str">
        <x:v>미정</x:v>
      </x:c>
      <x:c r="G374" s="37" t="str">
        <x:v>미착수</x:v>
      </x:c>
      <x:c r="H374" s="40" t="str">
        <x:v>미정</x:v>
      </x:c>
      <x:c r="I374" s="37"/>
      <x:c r="J374" s="37" t="str">
        <x:v>부문 내</x:v>
      </x:c>
    </x:row>
    <x:row r="375" ht="42" customHeight="1">
      <x:c r="A375" s="37" t="str">
        <x:v>DEP-0374</x:v>
      </x:c>
      <x:c r="B375" s="37" t="str">
        <x:v>BED-029</x:v>
      </x:c>
      <x:c r="C375" s="37" t="str">
        <x:v>BED-005</x:v>
      </x:c>
      <x:c r="D375" s="37" t="str">
        <x:v>완료 후 시작</x:v>
      </x:c>
      <x:c r="E375" s="37" t="str">
        <x:v>백엔드·라이브 운영</x:v>
      </x:c>
      <x:c r="F375" s="37" t="str">
        <x:v>미정</x:v>
      </x:c>
      <x:c r="G375" s="37" t="str">
        <x:v>미착수</x:v>
      </x:c>
      <x:c r="H375" s="40" t="str">
        <x:v>미정</x:v>
      </x:c>
      <x:c r="I375" s="37"/>
      <x:c r="J375" s="37" t="str">
        <x:v>부문 내</x:v>
      </x:c>
    </x:row>
    <x:row r="376" ht="42" customHeight="1">
      <x:c r="A376" s="37" t="str">
        <x:v>DEP-0375</x:v>
      </x:c>
      <x:c r="B376" s="37" t="str">
        <x:v>BED-029</x:v>
      </x:c>
      <x:c r="C376" s="37" t="str">
        <x:v>CHR-024</x:v>
      </x:c>
      <x:c r="D376" s="37" t="str">
        <x:v>인터페이스·협업</x:v>
      </x:c>
      <x:c r="E376" s="37" t="str">
        <x:v>백엔드·라이브 운영</x:v>
      </x:c>
      <x:c r="F376" s="37" t="str">
        <x:v>미정</x:v>
      </x:c>
      <x:c r="G376" s="37" t="str">
        <x:v>미착수</x:v>
      </x:c>
      <x:c r="H376" s="40" t="str">
        <x:v>미정</x:v>
      </x:c>
      <x:c r="I376" s="37"/>
      <x:c r="J376" s="37" t="str">
        <x:v>부문 간</x:v>
      </x:c>
    </x:row>
    <x:row r="377" ht="42" customHeight="1">
      <x:c r="A377" s="37" t="str">
        <x:v>DEP-0376</x:v>
      </x:c>
      <x:c r="B377" s="37" t="str">
        <x:v>BED-030</x:v>
      </x:c>
      <x:c r="C377" s="37" t="str">
        <x:v>BED-029</x:v>
      </x:c>
      <x:c r="D377" s="37" t="str">
        <x:v>완료 후 시작</x:v>
      </x:c>
      <x:c r="E377" s="37" t="str">
        <x:v>백엔드·라이브 운영</x:v>
      </x:c>
      <x:c r="F377" s="37" t="str">
        <x:v>미정</x:v>
      </x:c>
      <x:c r="G377" s="37" t="str">
        <x:v>미착수</x:v>
      </x:c>
      <x:c r="H377" s="40" t="str">
        <x:v>미정</x:v>
      </x:c>
      <x:c r="I377" s="37"/>
      <x:c r="J377" s="37" t="str">
        <x:v>부문 내</x:v>
      </x:c>
    </x:row>
    <x:row r="378" ht="42" customHeight="1">
      <x:c r="A378" s="37" t="str">
        <x:v>DEP-0377</x:v>
      </x:c>
      <x:c r="B378" s="37" t="str">
        <x:v>BED-030</x:v>
      </x:c>
      <x:c r="C378" s="37" t="str">
        <x:v>BED-013</x:v>
      </x:c>
      <x:c r="D378" s="37" t="str">
        <x:v>완료 후 시작</x:v>
      </x:c>
      <x:c r="E378" s="37" t="str">
        <x:v>백엔드·라이브 운영</x:v>
      </x:c>
      <x:c r="F378" s="37" t="str">
        <x:v>미정</x:v>
      </x:c>
      <x:c r="G378" s="37" t="str">
        <x:v>미착수</x:v>
      </x:c>
      <x:c r="H378" s="40" t="str">
        <x:v>미정</x:v>
      </x:c>
      <x:c r="I378" s="37"/>
      <x:c r="J378" s="37" t="str">
        <x:v>부문 내</x:v>
      </x:c>
    </x:row>
    <x:row r="379" ht="42" customHeight="1">
      <x:c r="A379" s="37" t="str">
        <x:v>DEP-0378</x:v>
      </x:c>
      <x:c r="B379" s="37" t="str">
        <x:v>CHR-002</x:v>
      </x:c>
      <x:c r="C379" s="37" t="str">
        <x:v>CHR-001</x:v>
      </x:c>
      <x:c r="D379" s="37" t="str">
        <x:v>완료 후 시작</x:v>
      </x:c>
      <x:c r="E379" s="37" t="str">
        <x:v>캐릭터·경제 시스템 팀</x:v>
      </x:c>
      <x:c r="F379" s="37" t="str">
        <x:v>미정</x:v>
      </x:c>
      <x:c r="G379" s="37" t="str">
        <x:v>미착수</x:v>
      </x:c>
      <x:c r="H379" s="40" t="str">
        <x:v>미정</x:v>
      </x:c>
      <x:c r="I379" s="37"/>
      <x:c r="J379" s="37" t="str">
        <x:v>부문 내</x:v>
      </x:c>
    </x:row>
    <x:row r="380" ht="42" customHeight="1">
      <x:c r="A380" s="37" t="str">
        <x:v>DEP-0379</x:v>
      </x:c>
      <x:c r="B380" s="37" t="str">
        <x:v>CHR-003</x:v>
      </x:c>
      <x:c r="C380" s="37" t="str">
        <x:v>CHR-002</x:v>
      </x:c>
      <x:c r="D380" s="37" t="str">
        <x:v>완료 후 시작</x:v>
      </x:c>
      <x:c r="E380" s="37" t="str">
        <x:v>캐릭터·경제 시스템 팀</x:v>
      </x:c>
      <x:c r="F380" s="37" t="str">
        <x:v>미정</x:v>
      </x:c>
      <x:c r="G380" s="37" t="str">
        <x:v>미착수</x:v>
      </x:c>
      <x:c r="H380" s="40" t="str">
        <x:v>미정</x:v>
      </x:c>
      <x:c r="I380" s="37"/>
      <x:c r="J380" s="37" t="str">
        <x:v>부문 내</x:v>
      </x:c>
    </x:row>
    <x:row r="381" ht="42" customHeight="1">
      <x:c r="A381" s="37" t="str">
        <x:v>DEP-0380</x:v>
      </x:c>
      <x:c r="B381" s="37" t="str">
        <x:v>CHR-004</x:v>
      </x:c>
      <x:c r="C381" s="37" t="str">
        <x:v>CHR-002</x:v>
      </x:c>
      <x:c r="D381" s="37" t="str">
        <x:v>완료 후 시작</x:v>
      </x:c>
      <x:c r="E381" s="37" t="str">
        <x:v>캐릭터·경제 시스템 팀</x:v>
      </x:c>
      <x:c r="F381" s="37" t="str">
        <x:v>미정</x:v>
      </x:c>
      <x:c r="G381" s="37" t="str">
        <x:v>미착수</x:v>
      </x:c>
      <x:c r="H381" s="40" t="str">
        <x:v>미정</x:v>
      </x:c>
      <x:c r="I381" s="37"/>
      <x:c r="J381" s="37" t="str">
        <x:v>부문 내</x:v>
      </x:c>
    </x:row>
    <x:row r="382" ht="42" customHeight="1">
      <x:c r="A382" s="37" t="str">
        <x:v>DEP-0381</x:v>
      </x:c>
      <x:c r="B382" s="37" t="str">
        <x:v>CHR-004</x:v>
      </x:c>
      <x:c r="C382" s="37" t="str">
        <x:v>SET-025</x:v>
      </x:c>
      <x:c r="D382" s="37" t="str">
        <x:v>인터페이스·협업</x:v>
      </x:c>
      <x:c r="E382" s="37" t="str">
        <x:v>캐릭터·경제 시스템 팀</x:v>
      </x:c>
      <x:c r="F382" s="37" t="str">
        <x:v>미정</x:v>
      </x:c>
      <x:c r="G382" s="37" t="str">
        <x:v>미착수</x:v>
      </x:c>
      <x:c r="H382" s="40" t="str">
        <x:v>미정</x:v>
      </x:c>
      <x:c r="I382" s="37"/>
      <x:c r="J382" s="37" t="str">
        <x:v>부문 간</x:v>
      </x:c>
    </x:row>
    <x:row r="383" ht="42" customHeight="1">
      <x:c r="A383" s="37" t="str">
        <x:v>DEP-0382</x:v>
      </x:c>
      <x:c r="B383" s="37" t="str">
        <x:v>CHR-005</x:v>
      </x:c>
      <x:c r="C383" s="37" t="str">
        <x:v>CHR-004</x:v>
      </x:c>
      <x:c r="D383" s="37" t="str">
        <x:v>완료 후 시작</x:v>
      </x:c>
      <x:c r="E383" s="37" t="str">
        <x:v>캐릭터·경제 시스템 팀</x:v>
      </x:c>
      <x:c r="F383" s="37" t="str">
        <x:v>미정</x:v>
      </x:c>
      <x:c r="G383" s="37" t="str">
        <x:v>미착수</x:v>
      </x:c>
      <x:c r="H383" s="40" t="str">
        <x:v>미정</x:v>
      </x:c>
      <x:c r="I383" s="37"/>
      <x:c r="J383" s="37" t="str">
        <x:v>부문 내</x:v>
      </x:c>
    </x:row>
    <x:row r="384" ht="42" customHeight="1">
      <x:c r="A384" s="37" t="str">
        <x:v>DEP-0383</x:v>
      </x:c>
      <x:c r="B384" s="37" t="str">
        <x:v>CHR-006</x:v>
      </x:c>
      <x:c r="C384" s="37" t="str">
        <x:v>CHR-005</x:v>
      </x:c>
      <x:c r="D384" s="37" t="str">
        <x:v>완료 후 시작</x:v>
      </x:c>
      <x:c r="E384" s="37" t="str">
        <x:v>캐릭터·경제 시스템 팀</x:v>
      </x:c>
      <x:c r="F384" s="37" t="str">
        <x:v>미정</x:v>
      </x:c>
      <x:c r="G384" s="37" t="str">
        <x:v>미착수</x:v>
      </x:c>
      <x:c r="H384" s="40" t="str">
        <x:v>미정</x:v>
      </x:c>
      <x:c r="I384" s="37"/>
      <x:c r="J384" s="37" t="str">
        <x:v>부문 내</x:v>
      </x:c>
    </x:row>
    <x:row r="385" ht="42" customHeight="1">
      <x:c r="A385" s="37" t="str">
        <x:v>DEP-0384</x:v>
      </x:c>
      <x:c r="B385" s="37" t="str">
        <x:v>CHR-007</x:v>
      </x:c>
      <x:c r="C385" s="37" t="str">
        <x:v>CHR-003</x:v>
      </x:c>
      <x:c r="D385" s="37" t="str">
        <x:v>완료 후 시작</x:v>
      </x:c>
      <x:c r="E385" s="37" t="str">
        <x:v>캐릭터·경제 시스템 팀</x:v>
      </x:c>
      <x:c r="F385" s="37" t="str">
        <x:v>미정</x:v>
      </x:c>
      <x:c r="G385" s="37" t="str">
        <x:v>미착수</x:v>
      </x:c>
      <x:c r="H385" s="40" t="str">
        <x:v>미정</x:v>
      </x:c>
      <x:c r="I385" s="37"/>
      <x:c r="J385" s="37" t="str">
        <x:v>부문 내</x:v>
      </x:c>
    </x:row>
    <x:row r="386" ht="42" customHeight="1">
      <x:c r="A386" s="37" t="str">
        <x:v>DEP-0385</x:v>
      </x:c>
      <x:c r="B386" s="37" t="str">
        <x:v>CHR-007</x:v>
      </x:c>
      <x:c r="C386" s="37" t="str">
        <x:v>NET-009</x:v>
      </x:c>
      <x:c r="D386" s="37" t="str">
        <x:v>인터페이스·협업</x:v>
      </x:c>
      <x:c r="E386" s="37" t="str">
        <x:v>캐릭터·경제 시스템 팀</x:v>
      </x:c>
      <x:c r="F386" s="37" t="str">
        <x:v>미정</x:v>
      </x:c>
      <x:c r="G386" s="37" t="str">
        <x:v>미착수</x:v>
      </x:c>
      <x:c r="H386" s="40" t="str">
        <x:v>미정</x:v>
      </x:c>
      <x:c r="I386" s="37"/>
      <x:c r="J386" s="37" t="str">
        <x:v>부문 간</x:v>
      </x:c>
    </x:row>
    <x:row r="387" ht="42" customHeight="1">
      <x:c r="A387" s="37" t="str">
        <x:v>DEP-0386</x:v>
      </x:c>
      <x:c r="B387" s="37" t="str">
        <x:v>CHR-008</x:v>
      </x:c>
      <x:c r="C387" s="37" t="str">
        <x:v>CHR-003</x:v>
      </x:c>
      <x:c r="D387" s="37" t="str">
        <x:v>완료 후 시작</x:v>
      </x:c>
      <x:c r="E387" s="37" t="str">
        <x:v>캐릭터·경제 시스템 팀</x:v>
      </x:c>
      <x:c r="F387" s="37" t="str">
        <x:v>미정</x:v>
      </x:c>
      <x:c r="G387" s="37" t="str">
        <x:v>미착수</x:v>
      </x:c>
      <x:c r="H387" s="40" t="str">
        <x:v>미정</x:v>
      </x:c>
      <x:c r="I387" s="37"/>
      <x:c r="J387" s="37" t="str">
        <x:v>부문 내</x:v>
      </x:c>
    </x:row>
    <x:row r="388" ht="42" customHeight="1">
      <x:c r="A388" s="37" t="str">
        <x:v>DEP-0387</x:v>
      </x:c>
      <x:c r="B388" s="37" t="str">
        <x:v>CHR-008</x:v>
      </x:c>
      <x:c r="C388" s="37" t="str">
        <x:v>IGM-017</x:v>
      </x:c>
      <x:c r="D388" s="37" t="str">
        <x:v>인터페이스·협업</x:v>
      </x:c>
      <x:c r="E388" s="37" t="str">
        <x:v>캐릭터·경제 시스템 팀</x:v>
      </x:c>
      <x:c r="F388" s="37" t="str">
        <x:v>미정</x:v>
      </x:c>
      <x:c r="G388" s="37" t="str">
        <x:v>미착수</x:v>
      </x:c>
      <x:c r="H388" s="40" t="str">
        <x:v>미정</x:v>
      </x:c>
      <x:c r="I388" s="37"/>
      <x:c r="J388" s="37" t="str">
        <x:v>부문 간</x:v>
      </x:c>
    </x:row>
    <x:row r="389" ht="42" customHeight="1">
      <x:c r="A389" s="37" t="str">
        <x:v>DEP-0388</x:v>
      </x:c>
      <x:c r="B389" s="37" t="str">
        <x:v>CHR-009</x:v>
      </x:c>
      <x:c r="C389" s="37" t="str">
        <x:v>CHR-002</x:v>
      </x:c>
      <x:c r="D389" s="37" t="str">
        <x:v>완료 후 시작</x:v>
      </x:c>
      <x:c r="E389" s="37" t="str">
        <x:v>캐릭터·경제 시스템 팀</x:v>
      </x:c>
      <x:c r="F389" s="37" t="str">
        <x:v>미정</x:v>
      </x:c>
      <x:c r="G389" s="37" t="str">
        <x:v>미착수</x:v>
      </x:c>
      <x:c r="H389" s="40" t="str">
        <x:v>미정</x:v>
      </x:c>
      <x:c r="I389" s="37"/>
      <x:c r="J389" s="37" t="str">
        <x:v>부문 내</x:v>
      </x:c>
    </x:row>
    <x:row r="390" ht="42" customHeight="1">
      <x:c r="A390" s="37" t="str">
        <x:v>DEP-0389</x:v>
      </x:c>
      <x:c r="B390" s="37" t="str">
        <x:v>CHR-010</x:v>
      </x:c>
      <x:c r="C390" s="37" t="str">
        <x:v>CHR-009</x:v>
      </x:c>
      <x:c r="D390" s="37" t="str">
        <x:v>완료 후 시작</x:v>
      </x:c>
      <x:c r="E390" s="37" t="str">
        <x:v>캐릭터·경제 시스템 팀</x:v>
      </x:c>
      <x:c r="F390" s="37" t="str">
        <x:v>미정</x:v>
      </x:c>
      <x:c r="G390" s="37" t="str">
        <x:v>미착수</x:v>
      </x:c>
      <x:c r="H390" s="40" t="str">
        <x:v>미정</x:v>
      </x:c>
      <x:c r="I390" s="37"/>
      <x:c r="J390" s="37" t="str">
        <x:v>부문 내</x:v>
      </x:c>
    </x:row>
    <x:row r="391" ht="42" customHeight="1">
      <x:c r="A391" s="37" t="str">
        <x:v>DEP-0390</x:v>
      </x:c>
      <x:c r="B391" s="37" t="str">
        <x:v>CHR-010</x:v>
      </x:c>
      <x:c r="C391" s="37" t="str">
        <x:v>IGM-021</x:v>
      </x:c>
      <x:c r="D391" s="37" t="str">
        <x:v>인터페이스·협업</x:v>
      </x:c>
      <x:c r="E391" s="37" t="str">
        <x:v>캐릭터·경제 시스템 팀</x:v>
      </x:c>
      <x:c r="F391" s="37" t="str">
        <x:v>미정</x:v>
      </x:c>
      <x:c r="G391" s="37" t="str">
        <x:v>미착수</x:v>
      </x:c>
      <x:c r="H391" s="40" t="str">
        <x:v>미정</x:v>
      </x:c>
      <x:c r="I391" s="37"/>
      <x:c r="J391" s="37" t="str">
        <x:v>부문 간</x:v>
      </x:c>
    </x:row>
    <x:row r="392" ht="42" customHeight="1">
      <x:c r="A392" s="37" t="str">
        <x:v>DEP-0391</x:v>
      </x:c>
      <x:c r="B392" s="37" t="str">
        <x:v>CHR-011</x:v>
      </x:c>
      <x:c r="C392" s="37" t="str">
        <x:v>CHR-010</x:v>
      </x:c>
      <x:c r="D392" s="37" t="str">
        <x:v>완료 후 시작</x:v>
      </x:c>
      <x:c r="E392" s="37" t="str">
        <x:v>캐릭터·경제 시스템 팀</x:v>
      </x:c>
      <x:c r="F392" s="37" t="str">
        <x:v>미정</x:v>
      </x:c>
      <x:c r="G392" s="37" t="str">
        <x:v>미착수</x:v>
      </x:c>
      <x:c r="H392" s="40" t="str">
        <x:v>미정</x:v>
      </x:c>
      <x:c r="I392" s="37"/>
      <x:c r="J392" s="37" t="str">
        <x:v>부문 내</x:v>
      </x:c>
    </x:row>
    <x:row r="393" ht="42" customHeight="1">
      <x:c r="A393" s="37" t="str">
        <x:v>DEP-0392</x:v>
      </x:c>
      <x:c r="B393" s="37" t="str">
        <x:v>CHR-011</x:v>
      </x:c>
      <x:c r="C393" s="37" t="str">
        <x:v>UIX-014</x:v>
      </x:c>
      <x:c r="D393" s="37" t="str">
        <x:v>인터페이스·협업</x:v>
      </x:c>
      <x:c r="E393" s="37" t="str">
        <x:v>캐릭터·경제 시스템 팀</x:v>
      </x:c>
      <x:c r="F393" s="37" t="str">
        <x:v>미정</x:v>
      </x:c>
      <x:c r="G393" s="37" t="str">
        <x:v>미착수</x:v>
      </x:c>
      <x:c r="H393" s="40" t="str">
        <x:v>미정</x:v>
      </x:c>
      <x:c r="I393" s="37"/>
      <x:c r="J393" s="37" t="str">
        <x:v>부문 간</x:v>
      </x:c>
    </x:row>
    <x:row r="394" ht="42" customHeight="1">
      <x:c r="A394" s="37" t="str">
        <x:v>DEP-0393</x:v>
      </x:c>
      <x:c r="B394" s="37" t="str">
        <x:v>CHR-012</x:v>
      </x:c>
      <x:c r="C394" s="37" t="str">
        <x:v>CHR-009</x:v>
      </x:c>
      <x:c r="D394" s="37" t="str">
        <x:v>완료 후 시작</x:v>
      </x:c>
      <x:c r="E394" s="37" t="str">
        <x:v>캐릭터·경제 시스템 팀</x:v>
      </x:c>
      <x:c r="F394" s="37" t="str">
        <x:v>미정</x:v>
      </x:c>
      <x:c r="G394" s="37" t="str">
        <x:v>미착수</x:v>
      </x:c>
      <x:c r="H394" s="40" t="str">
        <x:v>미정</x:v>
      </x:c>
      <x:c r="I394" s="37"/>
      <x:c r="J394" s="37" t="str">
        <x:v>부문 내</x:v>
      </x:c>
    </x:row>
    <x:row r="395" ht="42" customHeight="1">
      <x:c r="A395" s="37" t="str">
        <x:v>DEP-0394</x:v>
      </x:c>
      <x:c r="B395" s="37" t="str">
        <x:v>CHR-012</x:v>
      </x:c>
      <x:c r="C395" s="37" t="str">
        <x:v>CHR-010</x:v>
      </x:c>
      <x:c r="D395" s="37" t="str">
        <x:v>완료 후 시작</x:v>
      </x:c>
      <x:c r="E395" s="37" t="str">
        <x:v>캐릭터·경제 시스템 팀</x:v>
      </x:c>
      <x:c r="F395" s="37" t="str">
        <x:v>미정</x:v>
      </x:c>
      <x:c r="G395" s="37" t="str">
        <x:v>미착수</x:v>
      </x:c>
      <x:c r="H395" s="40" t="str">
        <x:v>미정</x:v>
      </x:c>
      <x:c r="I395" s="37"/>
      <x:c r="J395" s="37" t="str">
        <x:v>부문 내</x:v>
      </x:c>
    </x:row>
    <x:row r="396" ht="42" customHeight="1">
      <x:c r="A396" s="37" t="str">
        <x:v>DEP-0395</x:v>
      </x:c>
      <x:c r="B396" s="37" t="str">
        <x:v>CHR-012</x:v>
      </x:c>
      <x:c r="C396" s="37" t="str">
        <x:v>CHR-014</x:v>
      </x:c>
      <x:c r="D396" s="37" t="str">
        <x:v>완료 후 시작</x:v>
      </x:c>
      <x:c r="E396" s="37" t="str">
        <x:v>캐릭터·경제 시스템 팀</x:v>
      </x:c>
      <x:c r="F396" s="37" t="str">
        <x:v>미정</x:v>
      </x:c>
      <x:c r="G396" s="37" t="str">
        <x:v>미착수</x:v>
      </x:c>
      <x:c r="H396" s="40" t="str">
        <x:v>미정</x:v>
      </x:c>
      <x:c r="I396" s="37"/>
      <x:c r="J396" s="37" t="str">
        <x:v>부문 내</x:v>
      </x:c>
    </x:row>
    <x:row r="397" ht="42" customHeight="1">
      <x:c r="A397" s="37" t="str">
        <x:v>DEP-0396</x:v>
      </x:c>
      <x:c r="B397" s="37" t="str">
        <x:v>CHR-013</x:v>
      </x:c>
      <x:c r="C397" s="37" t="str">
        <x:v>CHR-003</x:v>
      </x:c>
      <x:c r="D397" s="37" t="str">
        <x:v>완료 후 시작</x:v>
      </x:c>
      <x:c r="E397" s="37" t="str">
        <x:v>캐릭터·경제 시스템 팀</x:v>
      </x:c>
      <x:c r="F397" s="37" t="str">
        <x:v>미정</x:v>
      </x:c>
      <x:c r="G397" s="37" t="str">
        <x:v>미착수</x:v>
      </x:c>
      <x:c r="H397" s="40" t="str">
        <x:v>미정</x:v>
      </x:c>
      <x:c r="I397" s="37"/>
      <x:c r="J397" s="37" t="str">
        <x:v>부문 내</x:v>
      </x:c>
    </x:row>
    <x:row r="398" ht="42" customHeight="1">
      <x:c r="A398" s="37" t="str">
        <x:v>DEP-0397</x:v>
      </x:c>
      <x:c r="B398" s="37" t="str">
        <x:v>CHR-013</x:v>
      </x:c>
      <x:c r="C398" s="37" t="str">
        <x:v>CHR-004</x:v>
      </x:c>
      <x:c r="D398" s="37" t="str">
        <x:v>완료 후 시작</x:v>
      </x:c>
      <x:c r="E398" s="37" t="str">
        <x:v>캐릭터·경제 시스템 팀</x:v>
      </x:c>
      <x:c r="F398" s="37" t="str">
        <x:v>미정</x:v>
      </x:c>
      <x:c r="G398" s="37" t="str">
        <x:v>미착수</x:v>
      </x:c>
      <x:c r="H398" s="40" t="str">
        <x:v>미정</x:v>
      </x:c>
      <x:c r="I398" s="37"/>
      <x:c r="J398" s="37" t="str">
        <x:v>부문 내</x:v>
      </x:c>
    </x:row>
    <x:row r="399" ht="42" customHeight="1">
      <x:c r="A399" s="37" t="str">
        <x:v>DEP-0398</x:v>
      </x:c>
      <x:c r="B399" s="37" t="str">
        <x:v>CHR-013</x:v>
      </x:c>
      <x:c r="C399" s="37" t="str">
        <x:v>CHR-009</x:v>
      </x:c>
      <x:c r="D399" s="37" t="str">
        <x:v>완료 후 시작</x:v>
      </x:c>
      <x:c r="E399" s="37" t="str">
        <x:v>캐릭터·경제 시스템 팀</x:v>
      </x:c>
      <x:c r="F399" s="37" t="str">
        <x:v>미정</x:v>
      </x:c>
      <x:c r="G399" s="37" t="str">
        <x:v>미착수</x:v>
      </x:c>
      <x:c r="H399" s="40" t="str">
        <x:v>미정</x:v>
      </x:c>
      <x:c r="I399" s="37"/>
      <x:c r="J399" s="37" t="str">
        <x:v>부문 내</x:v>
      </x:c>
    </x:row>
    <x:row r="400" ht="42" customHeight="1">
      <x:c r="A400" s="37" t="str">
        <x:v>DEP-0399</x:v>
      </x:c>
      <x:c r="B400" s="37" t="str">
        <x:v>CHR-014</x:v>
      </x:c>
      <x:c r="C400" s="37" t="str">
        <x:v>CHR-005</x:v>
      </x:c>
      <x:c r="D400" s="37" t="str">
        <x:v>완료 후 시작</x:v>
      </x:c>
      <x:c r="E400" s="37" t="str">
        <x:v>캐릭터·경제 시스템 팀</x:v>
      </x:c>
      <x:c r="F400" s="37" t="str">
        <x:v>미정</x:v>
      </x:c>
      <x:c r="G400" s="37" t="str">
        <x:v>미착수</x:v>
      </x:c>
      <x:c r="H400" s="40" t="str">
        <x:v>미정</x:v>
      </x:c>
      <x:c r="I400" s="37"/>
      <x:c r="J400" s="37" t="str">
        <x:v>부문 내</x:v>
      </x:c>
    </x:row>
    <x:row r="401" ht="42" customHeight="1">
      <x:c r="A401" s="37" t="str">
        <x:v>DEP-0400</x:v>
      </x:c>
      <x:c r="B401" s="37" t="str">
        <x:v>CHR-014</x:v>
      </x:c>
      <x:c r="C401" s="37" t="str">
        <x:v>CHR-009</x:v>
      </x:c>
      <x:c r="D401" s="37" t="str">
        <x:v>완료 후 시작</x:v>
      </x:c>
      <x:c r="E401" s="37" t="str">
        <x:v>캐릭터·경제 시스템 팀</x:v>
      </x:c>
      <x:c r="F401" s="37" t="str">
        <x:v>미정</x:v>
      </x:c>
      <x:c r="G401" s="37" t="str">
        <x:v>미착수</x:v>
      </x:c>
      <x:c r="H401" s="40" t="str">
        <x:v>미정</x:v>
      </x:c>
      <x:c r="I401" s="37"/>
      <x:c r="J401" s="37" t="str">
        <x:v>부문 내</x:v>
      </x:c>
    </x:row>
    <x:row r="402" ht="42" customHeight="1">
      <x:c r="A402" s="37" t="str">
        <x:v>DEP-0401</x:v>
      </x:c>
      <x:c r="B402" s="37" t="str">
        <x:v>CHR-015</x:v>
      </x:c>
      <x:c r="C402" s="37" t="str">
        <x:v>CHR-005</x:v>
      </x:c>
      <x:c r="D402" s="37" t="str">
        <x:v>완료 후 시작</x:v>
      </x:c>
      <x:c r="E402" s="37" t="str">
        <x:v>캐릭터·경제 시스템 팀</x:v>
      </x:c>
      <x:c r="F402" s="37" t="str">
        <x:v>미정</x:v>
      </x:c>
      <x:c r="G402" s="37" t="str">
        <x:v>미착수</x:v>
      </x:c>
      <x:c r="H402" s="40" t="str">
        <x:v>미정</x:v>
      </x:c>
      <x:c r="I402" s="37"/>
      <x:c r="J402" s="37" t="str">
        <x:v>부문 내</x:v>
      </x:c>
    </x:row>
    <x:row r="403" ht="42" customHeight="1">
      <x:c r="A403" s="37" t="str">
        <x:v>DEP-0402</x:v>
      </x:c>
      <x:c r="B403" s="37" t="str">
        <x:v>CHR-015</x:v>
      </x:c>
      <x:c r="C403" s="37" t="str">
        <x:v>SET-024</x:v>
      </x:c>
      <x:c r="D403" s="37" t="str">
        <x:v>인터페이스·협업</x:v>
      </x:c>
      <x:c r="E403" s="37" t="str">
        <x:v>캐릭터·경제 시스템 팀</x:v>
      </x:c>
      <x:c r="F403" s="37" t="str">
        <x:v>미정</x:v>
      </x:c>
      <x:c r="G403" s="37" t="str">
        <x:v>미착수</x:v>
      </x:c>
      <x:c r="H403" s="40" t="str">
        <x:v>미정</x:v>
      </x:c>
      <x:c r="I403" s="37"/>
      <x:c r="J403" s="37" t="str">
        <x:v>부문 간</x:v>
      </x:c>
    </x:row>
    <x:row r="404" ht="42" customHeight="1">
      <x:c r="A404" s="37" t="str">
        <x:v>DEP-0403</x:v>
      </x:c>
      <x:c r="B404" s="37" t="str">
        <x:v>CHR-016</x:v>
      </x:c>
      <x:c r="C404" s="37" t="str">
        <x:v>CHR-002</x:v>
      </x:c>
      <x:c r="D404" s="37" t="str">
        <x:v>완료 후 시작</x:v>
      </x:c>
      <x:c r="E404" s="37" t="str">
        <x:v>캐릭터·경제 시스템 팀</x:v>
      </x:c>
      <x:c r="F404" s="37" t="str">
        <x:v>미정</x:v>
      </x:c>
      <x:c r="G404" s="37" t="str">
        <x:v>미착수</x:v>
      </x:c>
      <x:c r="H404" s="40" t="str">
        <x:v>미정</x:v>
      </x:c>
      <x:c r="I404" s="37"/>
      <x:c r="J404" s="37" t="str">
        <x:v>부문 내</x:v>
      </x:c>
    </x:row>
    <x:row r="405" ht="42" customHeight="1">
      <x:c r="A405" s="37" t="str">
        <x:v>DEP-0404</x:v>
      </x:c>
      <x:c r="B405" s="37" t="str">
        <x:v>CHR-016</x:v>
      </x:c>
      <x:c r="C405" s="37" t="str">
        <x:v>UIX-007</x:v>
      </x:c>
      <x:c r="D405" s="37" t="str">
        <x:v>인터페이스·협업</x:v>
      </x:c>
      <x:c r="E405" s="37" t="str">
        <x:v>캐릭터·경제 시스템 팀</x:v>
      </x:c>
      <x:c r="F405" s="37" t="str">
        <x:v>미정</x:v>
      </x:c>
      <x:c r="G405" s="37" t="str">
        <x:v>미착수</x:v>
      </x:c>
      <x:c r="H405" s="40" t="str">
        <x:v>미정</x:v>
      </x:c>
      <x:c r="I405" s="37"/>
      <x:c r="J405" s="37" t="str">
        <x:v>부문 간</x:v>
      </x:c>
    </x:row>
    <x:row r="406" ht="42" customHeight="1">
      <x:c r="A406" s="37" t="str">
        <x:v>DEP-0405</x:v>
      </x:c>
      <x:c r="B406" s="37" t="str">
        <x:v>CHR-017</x:v>
      </x:c>
      <x:c r="C406" s="37" t="str">
        <x:v>CHR-012</x:v>
      </x:c>
      <x:c r="D406" s="37" t="str">
        <x:v>완료 후 시작</x:v>
      </x:c>
      <x:c r="E406" s="37" t="str">
        <x:v>캐릭터·경제 시스템 팀</x:v>
      </x:c>
      <x:c r="F406" s="37" t="str">
        <x:v>미정</x:v>
      </x:c>
      <x:c r="G406" s="37" t="str">
        <x:v>미착수</x:v>
      </x:c>
      <x:c r="H406" s="40" t="str">
        <x:v>미정</x:v>
      </x:c>
      <x:c r="I406" s="37"/>
      <x:c r="J406" s="37" t="str">
        <x:v>부문 내</x:v>
      </x:c>
    </x:row>
    <x:row r="407" ht="42" customHeight="1">
      <x:c r="A407" s="37" t="str">
        <x:v>DEP-0406</x:v>
      </x:c>
      <x:c r="B407" s="37" t="str">
        <x:v>CHR-017</x:v>
      </x:c>
      <x:c r="C407" s="37" t="str">
        <x:v>UIX-002</x:v>
      </x:c>
      <x:c r="D407" s="37" t="str">
        <x:v>인터페이스·협업</x:v>
      </x:c>
      <x:c r="E407" s="37" t="str">
        <x:v>캐릭터·경제 시스템 팀</x:v>
      </x:c>
      <x:c r="F407" s="37" t="str">
        <x:v>미정</x:v>
      </x:c>
      <x:c r="G407" s="37" t="str">
        <x:v>미착수</x:v>
      </x:c>
      <x:c r="H407" s="40" t="str">
        <x:v>미정</x:v>
      </x:c>
      <x:c r="I407" s="37"/>
      <x:c r="J407" s="37" t="str">
        <x:v>부문 간</x:v>
      </x:c>
    </x:row>
    <x:row r="408" ht="42" customHeight="1">
      <x:c r="A408" s="37" t="str">
        <x:v>DEP-0407</x:v>
      </x:c>
      <x:c r="B408" s="37" t="str">
        <x:v>CHR-018</x:v>
      </x:c>
      <x:c r="C408" s="37" t="str">
        <x:v>CHR-014</x:v>
      </x:c>
      <x:c r="D408" s="37" t="str">
        <x:v>완료 후 시작</x:v>
      </x:c>
      <x:c r="E408" s="37" t="str">
        <x:v>캐릭터·경제 시스템 팀</x:v>
      </x:c>
      <x:c r="F408" s="37" t="str">
        <x:v>미정</x:v>
      </x:c>
      <x:c r="G408" s="37" t="str">
        <x:v>미착수</x:v>
      </x:c>
      <x:c r="H408" s="40" t="str">
        <x:v>미정</x:v>
      </x:c>
      <x:c r="I408" s="37"/>
      <x:c r="J408" s="37" t="str">
        <x:v>부문 내</x:v>
      </x:c>
    </x:row>
    <x:row r="409" ht="42" customHeight="1">
      <x:c r="A409" s="37" t="str">
        <x:v>DEP-0408</x:v>
      </x:c>
      <x:c r="B409" s="37" t="str">
        <x:v>CHR-019</x:v>
      </x:c>
      <x:c r="C409" s="37" t="str">
        <x:v>CHR-018</x:v>
      </x:c>
      <x:c r="D409" s="37" t="str">
        <x:v>완료 후 시작</x:v>
      </x:c>
      <x:c r="E409" s="37" t="str">
        <x:v>캐릭터·경제 시스템 팀</x:v>
      </x:c>
      <x:c r="F409" s="37" t="str">
        <x:v>미정</x:v>
      </x:c>
      <x:c r="G409" s="37" t="str">
        <x:v>미착수</x:v>
      </x:c>
      <x:c r="H409" s="40" t="str">
        <x:v>미정</x:v>
      </x:c>
      <x:c r="I409" s="37"/>
      <x:c r="J409" s="37" t="str">
        <x:v>부문 내</x:v>
      </x:c>
    </x:row>
    <x:row r="410" ht="42" customHeight="1">
      <x:c r="A410" s="37" t="str">
        <x:v>DEP-0409</x:v>
      </x:c>
      <x:c r="B410" s="37" t="str">
        <x:v>CHR-019</x:v>
      </x:c>
      <x:c r="C410" s="37" t="str">
        <x:v>BED-004</x:v>
      </x:c>
      <x:c r="D410" s="37" t="str">
        <x:v>인터페이스·협업</x:v>
      </x:c>
      <x:c r="E410" s="37" t="str">
        <x:v>캐릭터·경제 시스템 팀</x:v>
      </x:c>
      <x:c r="F410" s="37" t="str">
        <x:v>미정</x:v>
      </x:c>
      <x:c r="G410" s="37" t="str">
        <x:v>미착수</x:v>
      </x:c>
      <x:c r="H410" s="40" t="str">
        <x:v>미정</x:v>
      </x:c>
      <x:c r="I410" s="37"/>
      <x:c r="J410" s="37" t="str">
        <x:v>부문 간</x:v>
      </x:c>
    </x:row>
    <x:row r="411" ht="42" customHeight="1">
      <x:c r="A411" s="37" t="str">
        <x:v>DEP-0410</x:v>
      </x:c>
      <x:c r="B411" s="37" t="str">
        <x:v>CHR-020</x:v>
      </x:c>
      <x:c r="C411" s="37" t="str">
        <x:v>CHR-019</x:v>
      </x:c>
      <x:c r="D411" s="37" t="str">
        <x:v>완료 후 시작</x:v>
      </x:c>
      <x:c r="E411" s="37" t="str">
        <x:v>캐릭터·경제 시스템 팀</x:v>
      </x:c>
      <x:c r="F411" s="37" t="str">
        <x:v>미정</x:v>
      </x:c>
      <x:c r="G411" s="37" t="str">
        <x:v>미착수</x:v>
      </x:c>
      <x:c r="H411" s="40" t="str">
        <x:v>미정</x:v>
      </x:c>
      <x:c r="I411" s="37"/>
      <x:c r="J411" s="37" t="str">
        <x:v>부문 내</x:v>
      </x:c>
    </x:row>
    <x:row r="412" ht="42" customHeight="1">
      <x:c r="A412" s="37" t="str">
        <x:v>DEP-0411</x:v>
      </x:c>
      <x:c r="B412" s="37" t="str">
        <x:v>CHR-020</x:v>
      </x:c>
      <x:c r="C412" s="37" t="str">
        <x:v>BED-004</x:v>
      </x:c>
      <x:c r="D412" s="37" t="str">
        <x:v>인터페이스·협업</x:v>
      </x:c>
      <x:c r="E412" s="37" t="str">
        <x:v>캐릭터·경제 시스템 팀</x:v>
      </x:c>
      <x:c r="F412" s="37" t="str">
        <x:v>미정</x:v>
      </x:c>
      <x:c r="G412" s="37" t="str">
        <x:v>미착수</x:v>
      </x:c>
      <x:c r="H412" s="40" t="str">
        <x:v>미정</x:v>
      </x:c>
      <x:c r="I412" s="37"/>
      <x:c r="J412" s="37" t="str">
        <x:v>부문 간</x:v>
      </x:c>
    </x:row>
    <x:row r="413" ht="42" customHeight="1">
      <x:c r="A413" s="37" t="str">
        <x:v>DEP-0412</x:v>
      </x:c>
      <x:c r="B413" s="37" t="str">
        <x:v>CHR-021</x:v>
      </x:c>
      <x:c r="C413" s="37" t="str">
        <x:v>CHR-018</x:v>
      </x:c>
      <x:c r="D413" s="37" t="str">
        <x:v>완료 후 시작</x:v>
      </x:c>
      <x:c r="E413" s="37" t="str">
        <x:v>캐릭터·경제 시스템 팀</x:v>
      </x:c>
      <x:c r="F413" s="37" t="str">
        <x:v>미정</x:v>
      </x:c>
      <x:c r="G413" s="37" t="str">
        <x:v>미착수</x:v>
      </x:c>
      <x:c r="H413" s="40" t="str">
        <x:v>미정</x:v>
      </x:c>
      <x:c r="I413" s="37"/>
      <x:c r="J413" s="37" t="str">
        <x:v>부문 내</x:v>
      </x:c>
    </x:row>
    <x:row r="414" ht="42" customHeight="1">
      <x:c r="A414" s="37" t="str">
        <x:v>DEP-0413</x:v>
      </x:c>
      <x:c r="B414" s="37" t="str">
        <x:v>CHR-021</x:v>
      </x:c>
      <x:c r="C414" s="37" t="str">
        <x:v>BED-015</x:v>
      </x:c>
      <x:c r="D414" s="37" t="str">
        <x:v>인터페이스·협업</x:v>
      </x:c>
      <x:c r="E414" s="37" t="str">
        <x:v>캐릭터·경제 시스템 팀</x:v>
      </x:c>
      <x:c r="F414" s="37" t="str">
        <x:v>미정</x:v>
      </x:c>
      <x:c r="G414" s="37" t="str">
        <x:v>미착수</x:v>
      </x:c>
      <x:c r="H414" s="40" t="str">
        <x:v>미정</x:v>
      </x:c>
      <x:c r="I414" s="37"/>
      <x:c r="J414" s="37" t="str">
        <x:v>부문 간</x:v>
      </x:c>
    </x:row>
    <x:row r="415" ht="42" customHeight="1">
      <x:c r="A415" s="37" t="str">
        <x:v>DEP-0414</x:v>
      </x:c>
      <x:c r="B415" s="37" t="str">
        <x:v>CHR-022</x:v>
      </x:c>
      <x:c r="C415" s="37" t="str">
        <x:v>CHR-021</x:v>
      </x:c>
      <x:c r="D415" s="37" t="str">
        <x:v>완료 후 시작</x:v>
      </x:c>
      <x:c r="E415" s="37" t="str">
        <x:v>캐릭터·경제 시스템 팀</x:v>
      </x:c>
      <x:c r="F415" s="37" t="str">
        <x:v>미정</x:v>
      </x:c>
      <x:c r="G415" s="37" t="str">
        <x:v>미착수</x:v>
      </x:c>
      <x:c r="H415" s="40" t="str">
        <x:v>미정</x:v>
      </x:c>
      <x:c r="I415" s="37"/>
      <x:c r="J415" s="37" t="str">
        <x:v>부문 내</x:v>
      </x:c>
    </x:row>
    <x:row r="416" ht="42" customHeight="1">
      <x:c r="A416" s="37" t="str">
        <x:v>DEP-0415</x:v>
      </x:c>
      <x:c r="B416" s="37" t="str">
        <x:v>CHR-023</x:v>
      </x:c>
      <x:c r="C416" s="37" t="str">
        <x:v>CHR-017</x:v>
      </x:c>
      <x:c r="D416" s="37" t="str">
        <x:v>완료 후 시작</x:v>
      </x:c>
      <x:c r="E416" s="37" t="str">
        <x:v>캐릭터·경제 시스템 팀</x:v>
      </x:c>
      <x:c r="F416" s="37" t="str">
        <x:v>미정</x:v>
      </x:c>
      <x:c r="G416" s="37" t="str">
        <x:v>미착수</x:v>
      </x:c>
      <x:c r="H416" s="40" t="str">
        <x:v>미정</x:v>
      </x:c>
      <x:c r="I416" s="37"/>
      <x:c r="J416" s="37" t="str">
        <x:v>부문 내</x:v>
      </x:c>
    </x:row>
    <x:row r="417" ht="42" customHeight="1">
      <x:c r="A417" s="37" t="str">
        <x:v>DEP-0416</x:v>
      </x:c>
      <x:c r="B417" s="37" t="str">
        <x:v>CHR-023</x:v>
      </x:c>
      <x:c r="C417" s="37" t="str">
        <x:v>CHR-021</x:v>
      </x:c>
      <x:c r="D417" s="37" t="str">
        <x:v>완료 후 시작</x:v>
      </x:c>
      <x:c r="E417" s="37" t="str">
        <x:v>캐릭터·경제 시스템 팀</x:v>
      </x:c>
      <x:c r="F417" s="37" t="str">
        <x:v>미정</x:v>
      </x:c>
      <x:c r="G417" s="37" t="str">
        <x:v>미착수</x:v>
      </x:c>
      <x:c r="H417" s="40" t="str">
        <x:v>미정</x:v>
      </x:c>
      <x:c r="I417" s="37"/>
      <x:c r="J417" s="37" t="str">
        <x:v>부문 내</x:v>
      </x:c>
    </x:row>
    <x:row r="418" ht="42" customHeight="1">
      <x:c r="A418" s="37" t="str">
        <x:v>DEP-0417</x:v>
      </x:c>
      <x:c r="B418" s="37" t="str">
        <x:v>CHR-023</x:v>
      </x:c>
      <x:c r="C418" s="37" t="str">
        <x:v>BED-005</x:v>
      </x:c>
      <x:c r="D418" s="37" t="str">
        <x:v>인터페이스·협업</x:v>
      </x:c>
      <x:c r="E418" s="37" t="str">
        <x:v>캐릭터·경제 시스템 팀</x:v>
      </x:c>
      <x:c r="F418" s="37" t="str">
        <x:v>미정</x:v>
      </x:c>
      <x:c r="G418" s="37" t="str">
        <x:v>미착수</x:v>
      </x:c>
      <x:c r="H418" s="40" t="str">
        <x:v>미정</x:v>
      </x:c>
      <x:c r="I418" s="37"/>
      <x:c r="J418" s="37" t="str">
        <x:v>부문 간</x:v>
      </x:c>
    </x:row>
    <x:row r="419" ht="42" customHeight="1">
      <x:c r="A419" s="37" t="str">
        <x:v>DEP-0418</x:v>
      </x:c>
      <x:c r="B419" s="37" t="str">
        <x:v>CHR-024</x:v>
      </x:c>
      <x:c r="C419" s="37" t="str">
        <x:v>CHR-021</x:v>
      </x:c>
      <x:c r="D419" s="37" t="str">
        <x:v>완료 후 시작</x:v>
      </x:c>
      <x:c r="E419" s="37" t="str">
        <x:v>캐릭터·경제 시스템 팀</x:v>
      </x:c>
      <x:c r="F419" s="37" t="str">
        <x:v>미정</x:v>
      </x:c>
      <x:c r="G419" s="37" t="str">
        <x:v>미착수</x:v>
      </x:c>
      <x:c r="H419" s="40" t="str">
        <x:v>미정</x:v>
      </x:c>
      <x:c r="I419" s="37"/>
      <x:c r="J419" s="37" t="str">
        <x:v>부문 내</x:v>
      </x:c>
    </x:row>
    <x:row r="420" ht="42" customHeight="1">
      <x:c r="A420" s="37" t="str">
        <x:v>DEP-0419</x:v>
      </x:c>
      <x:c r="B420" s="37" t="str">
        <x:v>CHR-024</x:v>
      </x:c>
      <x:c r="C420" s="37" t="str">
        <x:v>CHR-022</x:v>
      </x:c>
      <x:c r="D420" s="37" t="str">
        <x:v>완료 후 시작</x:v>
      </x:c>
      <x:c r="E420" s="37" t="str">
        <x:v>캐릭터·경제 시스템 팀</x:v>
      </x:c>
      <x:c r="F420" s="37" t="str">
        <x:v>미정</x:v>
      </x:c>
      <x:c r="G420" s="37" t="str">
        <x:v>미착수</x:v>
      </x:c>
      <x:c r="H420" s="40" t="str">
        <x:v>미정</x:v>
      </x:c>
      <x:c r="I420" s="37"/>
      <x:c r="J420" s="37" t="str">
        <x:v>부문 내</x:v>
      </x:c>
    </x:row>
    <x:row r="421" ht="42" customHeight="1">
      <x:c r="A421" s="37" t="str">
        <x:v>DEP-0420</x:v>
      </x:c>
      <x:c r="B421" s="37" t="str">
        <x:v>CHR-024</x:v>
      </x:c>
      <x:c r="C421" s="37" t="str">
        <x:v>BED-029</x:v>
      </x:c>
      <x:c r="D421" s="37" t="str">
        <x:v>인터페이스·협업</x:v>
      </x:c>
      <x:c r="E421" s="37" t="str">
        <x:v>캐릭터·경제 시스템 팀</x:v>
      </x:c>
      <x:c r="F421" s="37" t="str">
        <x:v>미정</x:v>
      </x:c>
      <x:c r="G421" s="37" t="str">
        <x:v>미착수</x:v>
      </x:c>
      <x:c r="H421" s="40" t="str">
        <x:v>미정</x:v>
      </x:c>
      <x:c r="I421" s="37"/>
      <x:c r="J421" s="37" t="str">
        <x:v>부문 간</x:v>
      </x:c>
    </x:row>
    <x:row r="422" ht="42" customHeight="1">
      <x:c r="A422" s="37" t="str">
        <x:v>DEP-0421</x:v>
      </x:c>
      <x:c r="B422" s="37" t="str">
        <x:v>CHR-024</x:v>
      </x:c>
      <x:c r="C422" s="37" t="str">
        <x:v>BED-030</x:v>
      </x:c>
      <x:c r="D422" s="37" t="str">
        <x:v>인터페이스·협업</x:v>
      </x:c>
      <x:c r="E422" s="37" t="str">
        <x:v>캐릭터·경제 시스템 팀</x:v>
      </x:c>
      <x:c r="F422" s="37" t="str">
        <x:v>미정</x:v>
      </x:c>
      <x:c r="G422" s="37" t="str">
        <x:v>미착수</x:v>
      </x:c>
      <x:c r="H422" s="40" t="str">
        <x:v>미정</x:v>
      </x:c>
      <x:c r="I422" s="37"/>
      <x:c r="J422" s="37" t="str">
        <x:v>부문 간</x:v>
      </x:c>
    </x:row>
    <x:row r="423" ht="42" customHeight="1">
      <x:c r="A423" s="37" t="str">
        <x:v>DEP-0422</x:v>
      </x:c>
      <x:c r="B423" s="37" t="str">
        <x:v>CHR-025</x:v>
      </x:c>
      <x:c r="C423" s="37" t="str">
        <x:v>CHR-024</x:v>
      </x:c>
      <x:c r="D423" s="37" t="str">
        <x:v>완료 후 시작</x:v>
      </x:c>
      <x:c r="E423" s="37" t="str">
        <x:v>캐릭터·경제 시스템 팀</x:v>
      </x:c>
      <x:c r="F423" s="37" t="str">
        <x:v>미정</x:v>
      </x:c>
      <x:c r="G423" s="37" t="str">
        <x:v>미착수</x:v>
      </x:c>
      <x:c r="H423" s="40" t="str">
        <x:v>미정</x:v>
      </x:c>
      <x:c r="I423" s="37"/>
      <x:c r="J423" s="37" t="str">
        <x:v>부문 내</x:v>
      </x:c>
    </x:row>
    <x:row r="424" ht="42" customHeight="1">
      <x:c r="A424" s="37" t="str">
        <x:v>DEP-0423</x:v>
      </x:c>
      <x:c r="B424" s="37" t="str">
        <x:v>CHR-025</x:v>
      </x:c>
      <x:c r="C424" s="37" t="str">
        <x:v>BED-029</x:v>
      </x:c>
      <x:c r="D424" s="37" t="str">
        <x:v>인터페이스·협업</x:v>
      </x:c>
      <x:c r="E424" s="37" t="str">
        <x:v>캐릭터·경제 시스템 팀</x:v>
      </x:c>
      <x:c r="F424" s="37" t="str">
        <x:v>미정</x:v>
      </x:c>
      <x:c r="G424" s="37" t="str">
        <x:v>미착수</x:v>
      </x:c>
      <x:c r="H424" s="40" t="str">
        <x:v>미정</x:v>
      </x:c>
      <x:c r="I424" s="37"/>
      <x:c r="J424" s="37" t="str">
        <x:v>부문 간</x:v>
      </x:c>
    </x:row>
    <x:row r="425" ht="42" customHeight="1">
      <x:c r="A425" s="37" t="str">
        <x:v>DEP-0424</x:v>
      </x:c>
      <x:c r="B425" s="37" t="str">
        <x:v>CHR-026</x:v>
      </x:c>
      <x:c r="C425" s="37" t="str">
        <x:v>CHR-014</x:v>
      </x:c>
      <x:c r="D425" s="37" t="str">
        <x:v>완료 후 시작</x:v>
      </x:c>
      <x:c r="E425" s="37" t="str">
        <x:v>캐릭터·경제 시스템 팀</x:v>
      </x:c>
      <x:c r="F425" s="37" t="str">
        <x:v>미정</x:v>
      </x:c>
      <x:c r="G425" s="37" t="str">
        <x:v>미착수</x:v>
      </x:c>
      <x:c r="H425" s="40" t="str">
        <x:v>미정</x:v>
      </x:c>
      <x:c r="I425" s="37"/>
      <x:c r="J425" s="37" t="str">
        <x:v>부문 내</x:v>
      </x:c>
    </x:row>
    <x:row r="426" ht="42" customHeight="1">
      <x:c r="A426" s="37" t="str">
        <x:v>DEP-0425</x:v>
      </x:c>
      <x:c r="B426" s="37" t="str">
        <x:v>CHR-026</x:v>
      </x:c>
      <x:c r="C426" s="37" t="str">
        <x:v>CHR-021</x:v>
      </x:c>
      <x:c r="D426" s="37" t="str">
        <x:v>완료 후 시작</x:v>
      </x:c>
      <x:c r="E426" s="37" t="str">
        <x:v>캐릭터·경제 시스템 팀</x:v>
      </x:c>
      <x:c r="F426" s="37" t="str">
        <x:v>미정</x:v>
      </x:c>
      <x:c r="G426" s="37" t="str">
        <x:v>미착수</x:v>
      </x:c>
      <x:c r="H426" s="40" t="str">
        <x:v>미정</x:v>
      </x:c>
      <x:c r="I426" s="37"/>
      <x:c r="J426" s="37" t="str">
        <x:v>부문 내</x:v>
      </x:c>
    </x:row>
    <x:row r="427" ht="42" customHeight="1">
      <x:c r="A427" s="37" t="str">
        <x:v>DEP-0426</x:v>
      </x:c>
      <x:c r="B427" s="37" t="str">
        <x:v>CHR-027</x:v>
      </x:c>
      <x:c r="C427" s="37" t="str">
        <x:v>CHR-004</x:v>
      </x:c>
      <x:c r="D427" s="37" t="str">
        <x:v>완료 후 시작</x:v>
      </x:c>
      <x:c r="E427" s="37" t="str">
        <x:v>캐릭터·경제 시스템 팀</x:v>
      </x:c>
      <x:c r="F427" s="37" t="str">
        <x:v>미정</x:v>
      </x:c>
      <x:c r="G427" s="37" t="str">
        <x:v>미착수</x:v>
      </x:c>
      <x:c r="H427" s="40" t="str">
        <x:v>미정</x:v>
      </x:c>
      <x:c r="I427" s="37"/>
      <x:c r="J427" s="37" t="str">
        <x:v>부문 내</x:v>
      </x:c>
    </x:row>
    <x:row r="428" ht="42" customHeight="1">
      <x:c r="A428" s="37" t="str">
        <x:v>DEP-0427</x:v>
      </x:c>
      <x:c r="B428" s="37" t="str">
        <x:v>CHR-027</x:v>
      </x:c>
      <x:c r="C428" s="37" t="str">
        <x:v>CHR-010</x:v>
      </x:c>
      <x:c r="D428" s="37" t="str">
        <x:v>완료 후 시작</x:v>
      </x:c>
      <x:c r="E428" s="37" t="str">
        <x:v>캐릭터·경제 시스템 팀</x:v>
      </x:c>
      <x:c r="F428" s="37" t="str">
        <x:v>미정</x:v>
      </x:c>
      <x:c r="G428" s="37" t="str">
        <x:v>미착수</x:v>
      </x:c>
      <x:c r="H428" s="40" t="str">
        <x:v>미정</x:v>
      </x:c>
      <x:c r="I428" s="37"/>
      <x:c r="J428" s="37" t="str">
        <x:v>부문 내</x:v>
      </x:c>
    </x:row>
    <x:row r="429" ht="42" customHeight="1">
      <x:c r="A429" s="37" t="str">
        <x:v>DEP-0428</x:v>
      </x:c>
      <x:c r="B429" s="37" t="str">
        <x:v>CHR-027</x:v>
      </x:c>
      <x:c r="C429" s="37" t="str">
        <x:v>CHR-021</x:v>
      </x:c>
      <x:c r="D429" s="37" t="str">
        <x:v>완료 후 시작</x:v>
      </x:c>
      <x:c r="E429" s="37" t="str">
        <x:v>캐릭터·경제 시스템 팀</x:v>
      </x:c>
      <x:c r="F429" s="37" t="str">
        <x:v>미정</x:v>
      </x:c>
      <x:c r="G429" s="37" t="str">
        <x:v>미착수</x:v>
      </x:c>
      <x:c r="H429" s="40" t="str">
        <x:v>미정</x:v>
      </x:c>
      <x:c r="I429" s="37"/>
      <x:c r="J429" s="37" t="str">
        <x:v>부문 내</x:v>
      </x:c>
    </x:row>
    <x:row r="430" ht="42" customHeight="1">
      <x:c r="A430" s="37" t="str">
        <x:v>DEP-0429</x:v>
      </x:c>
      <x:c r="B430" s="37" t="str">
        <x:v>CHR-028</x:v>
      </x:c>
      <x:c r="C430" s="37" t="str">
        <x:v>CHR-005</x:v>
      </x:c>
      <x:c r="D430" s="37" t="str">
        <x:v>완료 후 시작</x:v>
      </x:c>
      <x:c r="E430" s="37" t="str">
        <x:v>캐릭터·경제 시스템 팀</x:v>
      </x:c>
      <x:c r="F430" s="37" t="str">
        <x:v>미정</x:v>
      </x:c>
      <x:c r="G430" s="37" t="str">
        <x:v>미착수</x:v>
      </x:c>
      <x:c r="H430" s="40" t="str">
        <x:v>미정</x:v>
      </x:c>
      <x:c r="I430" s="37"/>
      <x:c r="J430" s="37" t="str">
        <x:v>부문 내</x:v>
      </x:c>
    </x:row>
    <x:row r="431" ht="42" customHeight="1">
      <x:c r="A431" s="37" t="str">
        <x:v>DEP-0430</x:v>
      </x:c>
      <x:c r="B431" s="37" t="str">
        <x:v>CHR-028</x:v>
      </x:c>
      <x:c r="C431" s="37" t="str">
        <x:v>CHR-012</x:v>
      </x:c>
      <x:c r="D431" s="37" t="str">
        <x:v>완료 후 시작</x:v>
      </x:c>
      <x:c r="E431" s="37" t="str">
        <x:v>캐릭터·경제 시스템 팀</x:v>
      </x:c>
      <x:c r="F431" s="37" t="str">
        <x:v>미정</x:v>
      </x:c>
      <x:c r="G431" s="37" t="str">
        <x:v>미착수</x:v>
      </x:c>
      <x:c r="H431" s="40" t="str">
        <x:v>미정</x:v>
      </x:c>
      <x:c r="I431" s="37"/>
      <x:c r="J431" s="37" t="str">
        <x:v>부문 내</x:v>
      </x:c>
    </x:row>
    <x:row r="432" ht="42" customHeight="1">
      <x:c r="A432" s="37" t="str">
        <x:v>DEP-0431</x:v>
      </x:c>
      <x:c r="B432" s="37" t="str">
        <x:v>CHR-028</x:v>
      </x:c>
      <x:c r="C432" s="37" t="str">
        <x:v>CHR-014</x:v>
      </x:c>
      <x:c r="D432" s="37" t="str">
        <x:v>완료 후 시작</x:v>
      </x:c>
      <x:c r="E432" s="37" t="str">
        <x:v>캐릭터·경제 시스템 팀</x:v>
      </x:c>
      <x:c r="F432" s="37" t="str">
        <x:v>미정</x:v>
      </x:c>
      <x:c r="G432" s="37" t="str">
        <x:v>미착수</x:v>
      </x:c>
      <x:c r="H432" s="40" t="str">
        <x:v>미정</x:v>
      </x:c>
      <x:c r="I432" s="37"/>
      <x:c r="J432" s="37" t="str">
        <x:v>부문 내</x:v>
      </x:c>
    </x:row>
    <x:row r="433" ht="42" customHeight="1">
      <x:c r="A433" s="37" t="str">
        <x:v>DEP-0432</x:v>
      </x:c>
      <x:c r="B433" s="37" t="str">
        <x:v>CHR-029</x:v>
      </x:c>
      <x:c r="C433" s="37" t="str">
        <x:v>CHR-009</x:v>
      </x:c>
      <x:c r="D433" s="37" t="str">
        <x:v>완료 후 시작</x:v>
      </x:c>
      <x:c r="E433" s="37" t="str">
        <x:v>캐릭터·경제 시스템 팀</x:v>
      </x:c>
      <x:c r="F433" s="37" t="str">
        <x:v>미정</x:v>
      </x:c>
      <x:c r="G433" s="37" t="str">
        <x:v>미착수</x:v>
      </x:c>
      <x:c r="H433" s="40" t="str">
        <x:v>미정</x:v>
      </x:c>
      <x:c r="I433" s="37"/>
      <x:c r="J433" s="37" t="str">
        <x:v>부문 내</x:v>
      </x:c>
    </x:row>
    <x:row r="434" ht="42" customHeight="1">
      <x:c r="A434" s="37" t="str">
        <x:v>DEP-0433</x:v>
      </x:c>
      <x:c r="B434" s="37" t="str">
        <x:v>CHR-029</x:v>
      </x:c>
      <x:c r="C434" s="37" t="str">
        <x:v>CHR-014</x:v>
      </x:c>
      <x:c r="D434" s="37" t="str">
        <x:v>완료 후 시작</x:v>
      </x:c>
      <x:c r="E434" s="37" t="str">
        <x:v>캐릭터·경제 시스템 팀</x:v>
      </x:c>
      <x:c r="F434" s="37" t="str">
        <x:v>미정</x:v>
      </x:c>
      <x:c r="G434" s="37" t="str">
        <x:v>미착수</x:v>
      </x:c>
      <x:c r="H434" s="40" t="str">
        <x:v>미정</x:v>
      </x:c>
      <x:c r="I434" s="37"/>
      <x:c r="J434" s="37" t="str">
        <x:v>부문 내</x:v>
      </x:c>
    </x:row>
    <x:row r="435" ht="42" customHeight="1">
      <x:c r="A435" s="37" t="str">
        <x:v>DEP-0434</x:v>
      </x:c>
      <x:c r="B435" s="37" t="str">
        <x:v>CHR-029</x:v>
      </x:c>
      <x:c r="C435" s="37" t="str">
        <x:v>CHR-021</x:v>
      </x:c>
      <x:c r="D435" s="37" t="str">
        <x:v>완료 후 시작</x:v>
      </x:c>
      <x:c r="E435" s="37" t="str">
        <x:v>캐릭터·경제 시스템 팀</x:v>
      </x:c>
      <x:c r="F435" s="37" t="str">
        <x:v>미정</x:v>
      </x:c>
      <x:c r="G435" s="37" t="str">
        <x:v>미착수</x:v>
      </x:c>
      <x:c r="H435" s="40" t="str">
        <x:v>미정</x:v>
      </x:c>
      <x:c r="I435" s="37"/>
      <x:c r="J435" s="37" t="str">
        <x:v>부문 내</x:v>
      </x:c>
    </x:row>
    <x:row r="436" ht="42" customHeight="1">
      <x:c r="A436" s="37" t="str">
        <x:v>DEP-0435</x:v>
      </x:c>
      <x:c r="B436" s="37" t="str">
        <x:v>CHR-030</x:v>
      </x:c>
      <x:c r="C436" s="37" t="str">
        <x:v>CHR-004</x:v>
      </x:c>
      <x:c r="D436" s="37" t="str">
        <x:v>완료 후 시작</x:v>
      </x:c>
      <x:c r="E436" s="37" t="str">
        <x:v>캐릭터·경제 시스템 팀</x:v>
      </x:c>
      <x:c r="F436" s="37" t="str">
        <x:v>미정</x:v>
      </x:c>
      <x:c r="G436" s="37" t="str">
        <x:v>미착수</x:v>
      </x:c>
      <x:c r="H436" s="40" t="str">
        <x:v>미정</x:v>
      </x:c>
      <x:c r="I436" s="37"/>
      <x:c r="J436" s="37" t="str">
        <x:v>부문 내</x:v>
      </x:c>
    </x:row>
    <x:row r="437" ht="42" customHeight="1">
      <x:c r="A437" s="37" t="str">
        <x:v>DEP-0436</x:v>
      </x:c>
      <x:c r="B437" s="37" t="str">
        <x:v>CHR-030</x:v>
      </x:c>
      <x:c r="C437" s="37" t="str">
        <x:v>CHR-005</x:v>
      </x:c>
      <x:c r="D437" s="37" t="str">
        <x:v>완료 후 시작</x:v>
      </x:c>
      <x:c r="E437" s="37" t="str">
        <x:v>캐릭터·경제 시스템 팀</x:v>
      </x:c>
      <x:c r="F437" s="37" t="str">
        <x:v>미정</x:v>
      </x:c>
      <x:c r="G437" s="37" t="str">
        <x:v>미착수</x:v>
      </x:c>
      <x:c r="H437" s="40" t="str">
        <x:v>미정</x:v>
      </x:c>
      <x:c r="I437" s="37"/>
      <x:c r="J437" s="37" t="str">
        <x:v>부문 내</x:v>
      </x:c>
    </x:row>
    <x:row r="438" ht="42" customHeight="1">
      <x:c r="A438" s="37" t="str">
        <x:v>DEP-0437</x:v>
      </x:c>
      <x:c r="B438" s="37" t="str">
        <x:v>CHR-031</x:v>
      </x:c>
      <x:c r="C438" s="37" t="str">
        <x:v>CHR-004</x:v>
      </x:c>
      <x:c r="D438" s="37" t="str">
        <x:v>완료 후 시작</x:v>
      </x:c>
      <x:c r="E438" s="37" t="str">
        <x:v>캐릭터·경제 시스템 팀</x:v>
      </x:c>
      <x:c r="F438" s="37" t="str">
        <x:v>미정</x:v>
      </x:c>
      <x:c r="G438" s="37" t="str">
        <x:v>미착수</x:v>
      </x:c>
      <x:c r="H438" s="40" t="str">
        <x:v>미정</x:v>
      </x:c>
      <x:c r="I438" s="37"/>
      <x:c r="J438" s="37" t="str">
        <x:v>부문 내</x:v>
      </x:c>
    </x:row>
    <x:row r="439" ht="42" customHeight="1">
      <x:c r="A439" s="37" t="str">
        <x:v>DEP-0438</x:v>
      </x:c>
      <x:c r="B439" s="37" t="str">
        <x:v>CHR-031</x:v>
      </x:c>
      <x:c r="C439" s="37" t="str">
        <x:v>BED-009</x:v>
      </x:c>
      <x:c r="D439" s="37" t="str">
        <x:v>인터페이스·협업</x:v>
      </x:c>
      <x:c r="E439" s="37" t="str">
        <x:v>캐릭터·경제 시스템 팀</x:v>
      </x:c>
      <x:c r="F439" s="37" t="str">
        <x:v>미정</x:v>
      </x:c>
      <x:c r="G439" s="37" t="str">
        <x:v>미착수</x:v>
      </x:c>
      <x:c r="H439" s="40" t="str">
        <x:v>미정</x:v>
      </x:c>
      <x:c r="I439" s="37"/>
      <x:c r="J439" s="37" t="str">
        <x:v>부문 간</x:v>
      </x:c>
    </x:row>
    <x:row r="440" ht="42" customHeight="1">
      <x:c r="A440" s="37" t="str">
        <x:v>DEP-0439</x:v>
      </x:c>
      <x:c r="B440" s="37" t="str">
        <x:v>CHR-031</x:v>
      </x:c>
      <x:c r="C440" s="37" t="str">
        <x:v>BED-010</x:v>
      </x:c>
      <x:c r="D440" s="37" t="str">
        <x:v>인터페이스·협업</x:v>
      </x:c>
      <x:c r="E440" s="37" t="str">
        <x:v>캐릭터·경제 시스템 팀</x:v>
      </x:c>
      <x:c r="F440" s="37" t="str">
        <x:v>미정</x:v>
      </x:c>
      <x:c r="G440" s="37" t="str">
        <x:v>미착수</x:v>
      </x:c>
      <x:c r="H440" s="40" t="str">
        <x:v>미정</x:v>
      </x:c>
      <x:c r="I440" s="37"/>
      <x:c r="J440" s="37" t="str">
        <x:v>부문 간</x:v>
      </x:c>
    </x:row>
    <x:row r="441" ht="42" customHeight="1">
      <x:c r="A441" s="37" t="str">
        <x:v>DEP-0440</x:v>
      </x:c>
      <x:c r="B441" s="37" t="str">
        <x:v>AUD-002</x:v>
      </x:c>
      <x:c r="C441" s="37" t="str">
        <x:v>SET-008</x:v>
      </x:c>
      <x:c r="D441" s="37" t="str">
        <x:v>인터페이스·협업</x:v>
      </x:c>
      <x:c r="E441" s="37" t="str">
        <x:v>오디오·온라인 엔지니어링</x:v>
      </x:c>
      <x:c r="F441" s="37" t="str">
        <x:v>미정</x:v>
      </x:c>
      <x:c r="G441" s="37" t="str">
        <x:v>미착수</x:v>
      </x:c>
      <x:c r="H441" s="40" t="str">
        <x:v>미정</x:v>
      </x:c>
      <x:c r="I441" s="37"/>
      <x:c r="J441" s="37" t="str">
        <x:v>부문 간</x:v>
      </x:c>
    </x:row>
    <x:row r="442" ht="42" customHeight="1">
      <x:c r="A442" s="37" t="str">
        <x:v>DEP-0441</x:v>
      </x:c>
      <x:c r="B442" s="37" t="str">
        <x:v>AUD-002</x:v>
      </x:c>
      <x:c r="C442" s="37" t="str">
        <x:v>BED-012</x:v>
      </x:c>
      <x:c r="D442" s="37" t="str">
        <x:v>인터페이스·협업</x:v>
      </x:c>
      <x:c r="E442" s="37" t="str">
        <x:v>오디오·온라인 엔지니어링</x:v>
      </x:c>
      <x:c r="F442" s="37" t="str">
        <x:v>미정</x:v>
      </x:c>
      <x:c r="G442" s="37" t="str">
        <x:v>미착수</x:v>
      </x:c>
      <x:c r="H442" s="40" t="str">
        <x:v>미정</x:v>
      </x:c>
      <x:c r="I442" s="37"/>
      <x:c r="J442" s="37" t="str">
        <x:v>부문 간</x:v>
      </x:c>
    </x:row>
    <x:row r="443" ht="42" customHeight="1">
      <x:c r="A443" s="37" t="str">
        <x:v>DEP-0442</x:v>
      </x:c>
      <x:c r="B443" s="37" t="str">
        <x:v>AUD-003</x:v>
      </x:c>
      <x:c r="C443" s="37" t="str">
        <x:v>AUD-002</x:v>
      </x:c>
      <x:c r="D443" s="37" t="str">
        <x:v>완료 후 시작</x:v>
      </x:c>
      <x:c r="E443" s="37" t="str">
        <x:v>오디오·온라인 엔지니어링</x:v>
      </x:c>
      <x:c r="F443" s="37" t="str">
        <x:v>미정</x:v>
      </x:c>
      <x:c r="G443" s="37" t="str">
        <x:v>미착수</x:v>
      </x:c>
      <x:c r="H443" s="40" t="str">
        <x:v>미정</x:v>
      </x:c>
      <x:c r="I443" s="37"/>
      <x:c r="J443" s="37" t="str">
        <x:v>부문 내</x:v>
      </x:c>
    </x:row>
    <x:row r="444" ht="42" customHeight="1">
      <x:c r="A444" s="37" t="str">
        <x:v>DEP-0443</x:v>
      </x:c>
      <x:c r="B444" s="37" t="str">
        <x:v>AUD-003</x:v>
      </x:c>
      <x:c r="C444" s="37" t="str">
        <x:v>ONL-011</x:v>
      </x:c>
      <x:c r="D444" s="37" t="str">
        <x:v>인터페이스·협업</x:v>
      </x:c>
      <x:c r="E444" s="37" t="str">
        <x:v>오디오·온라인 엔지니어링</x:v>
      </x:c>
      <x:c r="F444" s="37" t="str">
        <x:v>미정</x:v>
      </x:c>
      <x:c r="G444" s="37" t="str">
        <x:v>미착수</x:v>
      </x:c>
      <x:c r="H444" s="40" t="str">
        <x:v>미정</x:v>
      </x:c>
      <x:c r="I444" s="37"/>
      <x:c r="J444" s="37" t="str">
        <x:v>부문 간</x:v>
      </x:c>
    </x:row>
    <x:row r="445" ht="42" customHeight="1">
      <x:c r="A445" s="37" t="str">
        <x:v>DEP-0444</x:v>
      </x:c>
      <x:c r="B445" s="37" t="str">
        <x:v>AUD-004</x:v>
      </x:c>
      <x:c r="C445" s="37" t="str">
        <x:v>AUD-002</x:v>
      </x:c>
      <x:c r="D445" s="37" t="str">
        <x:v>완료 후 시작</x:v>
      </x:c>
      <x:c r="E445" s="37" t="str">
        <x:v>오디오·온라인 엔지니어링</x:v>
      </x:c>
      <x:c r="F445" s="37" t="str">
        <x:v>미정</x:v>
      </x:c>
      <x:c r="G445" s="37" t="str">
        <x:v>미착수</x:v>
      </x:c>
      <x:c r="H445" s="40" t="str">
        <x:v>미정</x:v>
      </x:c>
      <x:c r="I445" s="37"/>
      <x:c r="J445" s="37" t="str">
        <x:v>부문 내</x:v>
      </x:c>
    </x:row>
    <x:row r="446" ht="42" customHeight="1">
      <x:c r="A446" s="37" t="str">
        <x:v>DEP-0445</x:v>
      </x:c>
      <x:c r="B446" s="37" t="str">
        <x:v>AUD-004</x:v>
      </x:c>
      <x:c r="C446" s="37" t="str">
        <x:v>NET-009</x:v>
      </x:c>
      <x:c r="D446" s="37" t="str">
        <x:v>인터페이스·협업</x:v>
      </x:c>
      <x:c r="E446" s="37" t="str">
        <x:v>오디오·온라인 엔지니어링</x:v>
      </x:c>
      <x:c r="F446" s="37" t="str">
        <x:v>미정</x:v>
      </x:c>
      <x:c r="G446" s="37" t="str">
        <x:v>미착수</x:v>
      </x:c>
      <x:c r="H446" s="40" t="str">
        <x:v>미정</x:v>
      </x:c>
      <x:c r="I446" s="37"/>
      <x:c r="J446" s="37" t="str">
        <x:v>부문 간</x:v>
      </x:c>
    </x:row>
    <x:row r="447" ht="42" customHeight="1">
      <x:c r="A447" s="37" t="str">
        <x:v>DEP-0446</x:v>
      </x:c>
      <x:c r="B447" s="37" t="str">
        <x:v>AUD-005</x:v>
      </x:c>
      <x:c r="C447" s="37" t="str">
        <x:v>AUD-004</x:v>
      </x:c>
      <x:c r="D447" s="37" t="str">
        <x:v>완료 후 시작</x:v>
      </x:c>
      <x:c r="E447" s="37" t="str">
        <x:v>오디오·온라인 엔지니어링</x:v>
      </x:c>
      <x:c r="F447" s="37" t="str">
        <x:v>미정</x:v>
      </x:c>
      <x:c r="G447" s="37" t="str">
        <x:v>미착수</x:v>
      </x:c>
      <x:c r="H447" s="40" t="str">
        <x:v>미정</x:v>
      </x:c>
      <x:c r="I447" s="37"/>
      <x:c r="J447" s="37" t="str">
        <x:v>부문 내</x:v>
      </x:c>
    </x:row>
    <x:row r="448" ht="42" customHeight="1">
      <x:c r="A448" s="37" t="str">
        <x:v>DEP-0447</x:v>
      </x:c>
      <x:c r="B448" s="37" t="str">
        <x:v>AUD-005</x:v>
      </x:c>
      <x:c r="C448" s="37" t="str">
        <x:v>CNT-007</x:v>
      </x:c>
      <x:c r="D448" s="37" t="str">
        <x:v>인터페이스·협업</x:v>
      </x:c>
      <x:c r="E448" s="37" t="str">
        <x:v>오디오·온라인 엔지니어링</x:v>
      </x:c>
      <x:c r="F448" s="37" t="str">
        <x:v>미정</x:v>
      </x:c>
      <x:c r="G448" s="37" t="str">
        <x:v>미착수</x:v>
      </x:c>
      <x:c r="H448" s="40" t="str">
        <x:v>미정</x:v>
      </x:c>
      <x:c r="I448" s="37"/>
      <x:c r="J448" s="37" t="str">
        <x:v>부문 간</x:v>
      </x:c>
    </x:row>
    <x:row r="449" ht="42" customHeight="1">
      <x:c r="A449" s="37" t="str">
        <x:v>DEP-0448</x:v>
      </x:c>
      <x:c r="B449" s="37" t="str">
        <x:v>AUD-006</x:v>
      </x:c>
      <x:c r="C449" s="37" t="str">
        <x:v>AUD-003</x:v>
      </x:c>
      <x:c r="D449" s="37" t="str">
        <x:v>완료 후 시작</x:v>
      </x:c>
      <x:c r="E449" s="37" t="str">
        <x:v>오디오·온라인 엔지니어링</x:v>
      </x:c>
      <x:c r="F449" s="37" t="str">
        <x:v>미정</x:v>
      </x:c>
      <x:c r="G449" s="37" t="str">
        <x:v>미착수</x:v>
      </x:c>
      <x:c r="H449" s="40" t="str">
        <x:v>미정</x:v>
      </x:c>
      <x:c r="I449" s="37"/>
      <x:c r="J449" s="37" t="str">
        <x:v>부문 내</x:v>
      </x:c>
    </x:row>
    <x:row r="450" ht="42" customHeight="1">
      <x:c r="A450" s="37" t="str">
        <x:v>DEP-0449</x:v>
      </x:c>
      <x:c r="B450" s="37" t="str">
        <x:v>AUD-006</x:v>
      </x:c>
      <x:c r="C450" s="37" t="str">
        <x:v>IGM-006</x:v>
      </x:c>
      <x:c r="D450" s="37" t="str">
        <x:v>인터페이스·협업</x:v>
      </x:c>
      <x:c r="E450" s="37" t="str">
        <x:v>오디오·온라인 엔지니어링</x:v>
      </x:c>
      <x:c r="F450" s="37" t="str">
        <x:v>미정</x:v>
      </x:c>
      <x:c r="G450" s="37" t="str">
        <x:v>미착수</x:v>
      </x:c>
      <x:c r="H450" s="40" t="str">
        <x:v>미정</x:v>
      </x:c>
      <x:c r="I450" s="37"/>
      <x:c r="J450" s="37" t="str">
        <x:v>부문 간</x:v>
      </x:c>
    </x:row>
    <x:row r="451" ht="42" customHeight="1">
      <x:c r="A451" s="37" t="str">
        <x:v>DEP-0450</x:v>
      </x:c>
      <x:c r="B451" s="37" t="str">
        <x:v>AUD-006</x:v>
      </x:c>
      <x:c r="C451" s="37" t="str">
        <x:v>NET-010</x:v>
      </x:c>
      <x:c r="D451" s="37" t="str">
        <x:v>인터페이스·협업</x:v>
      </x:c>
      <x:c r="E451" s="37" t="str">
        <x:v>오디오·온라인 엔지니어링</x:v>
      </x:c>
      <x:c r="F451" s="37" t="str">
        <x:v>미정</x:v>
      </x:c>
      <x:c r="G451" s="37" t="str">
        <x:v>미착수</x:v>
      </x:c>
      <x:c r="H451" s="40" t="str">
        <x:v>미정</x:v>
      </x:c>
      <x:c r="I451" s="37"/>
      <x:c r="J451" s="37" t="str">
        <x:v>부문 간</x:v>
      </x:c>
    </x:row>
    <x:row r="452" ht="42" customHeight="1">
      <x:c r="A452" s="37" t="str">
        <x:v>DEP-0451</x:v>
      </x:c>
      <x:c r="B452" s="37" t="str">
        <x:v>AUD-007</x:v>
      </x:c>
      <x:c r="C452" s="37" t="str">
        <x:v>AUD-003</x:v>
      </x:c>
      <x:c r="D452" s="37" t="str">
        <x:v>완료 후 시작</x:v>
      </x:c>
      <x:c r="E452" s="37" t="str">
        <x:v>오디오·온라인 엔지니어링</x:v>
      </x:c>
      <x:c r="F452" s="37" t="str">
        <x:v>미정</x:v>
      </x:c>
      <x:c r="G452" s="37" t="str">
        <x:v>미착수</x:v>
      </x:c>
      <x:c r="H452" s="40" t="str">
        <x:v>미정</x:v>
      </x:c>
      <x:c r="I452" s="37"/>
      <x:c r="J452" s="37" t="str">
        <x:v>부문 내</x:v>
      </x:c>
    </x:row>
    <x:row r="453" ht="42" customHeight="1">
      <x:c r="A453" s="37" t="str">
        <x:v>DEP-0452</x:v>
      </x:c>
      <x:c r="B453" s="37" t="str">
        <x:v>AUD-007</x:v>
      </x:c>
      <x:c r="C453" s="37" t="str">
        <x:v>IGM-001</x:v>
      </x:c>
      <x:c r="D453" s="37" t="str">
        <x:v>인터페이스·협업</x:v>
      </x:c>
      <x:c r="E453" s="37" t="str">
        <x:v>오디오·온라인 엔지니어링</x:v>
      </x:c>
      <x:c r="F453" s="37" t="str">
        <x:v>미정</x:v>
      </x:c>
      <x:c r="G453" s="37" t="str">
        <x:v>미착수</x:v>
      </x:c>
      <x:c r="H453" s="40" t="str">
        <x:v>미정</x:v>
      </x:c>
      <x:c r="I453" s="37"/>
      <x:c r="J453" s="37" t="str">
        <x:v>부문 간</x:v>
      </x:c>
    </x:row>
    <x:row r="454" ht="42" customHeight="1">
      <x:c r="A454" s="37" t="str">
        <x:v>DEP-0453</x:v>
      </x:c>
      <x:c r="B454" s="37" t="str">
        <x:v>AUD-007</x:v>
      </x:c>
      <x:c r="C454" s="37" t="str">
        <x:v>NET-010</x:v>
      </x:c>
      <x:c r="D454" s="37" t="str">
        <x:v>인터페이스·협업</x:v>
      </x:c>
      <x:c r="E454" s="37" t="str">
        <x:v>오디오·온라인 엔지니어링</x:v>
      </x:c>
      <x:c r="F454" s="37" t="str">
        <x:v>미정</x:v>
      </x:c>
      <x:c r="G454" s="37" t="str">
        <x:v>미착수</x:v>
      </x:c>
      <x:c r="H454" s="40" t="str">
        <x:v>미정</x:v>
      </x:c>
      <x:c r="I454" s="37"/>
      <x:c r="J454" s="37" t="str">
        <x:v>부문 간</x:v>
      </x:c>
    </x:row>
    <x:row r="455" ht="42" customHeight="1">
      <x:c r="A455" s="37" t="str">
        <x:v>DEP-0454</x:v>
      </x:c>
      <x:c r="B455" s="37" t="str">
        <x:v>AUD-008</x:v>
      </x:c>
      <x:c r="C455" s="37" t="str">
        <x:v>AUD-007</x:v>
      </x:c>
      <x:c r="D455" s="37" t="str">
        <x:v>완료 후 시작</x:v>
      </x:c>
      <x:c r="E455" s="37" t="str">
        <x:v>오디오·온라인 엔지니어링</x:v>
      </x:c>
      <x:c r="F455" s="37" t="str">
        <x:v>미정</x:v>
      </x:c>
      <x:c r="G455" s="37" t="str">
        <x:v>미착수</x:v>
      </x:c>
      <x:c r="H455" s="40" t="str">
        <x:v>미정</x:v>
      </x:c>
      <x:c r="I455" s="37"/>
      <x:c r="J455" s="37" t="str">
        <x:v>부문 내</x:v>
      </x:c>
    </x:row>
    <x:row r="456" ht="42" customHeight="1">
      <x:c r="A456" s="37" t="str">
        <x:v>DEP-0455</x:v>
      </x:c>
      <x:c r="B456" s="37" t="str">
        <x:v>AUD-008</x:v>
      </x:c>
      <x:c r="C456" s="37" t="str">
        <x:v>IGM-030</x:v>
      </x:c>
      <x:c r="D456" s="37" t="str">
        <x:v>인터페이스·협업</x:v>
      </x:c>
      <x:c r="E456" s="37" t="str">
        <x:v>오디오·온라인 엔지니어링</x:v>
      </x:c>
      <x:c r="F456" s="37" t="str">
        <x:v>미정</x:v>
      </x:c>
      <x:c r="G456" s="37" t="str">
        <x:v>미착수</x:v>
      </x:c>
      <x:c r="H456" s="40" t="str">
        <x:v>미정</x:v>
      </x:c>
      <x:c r="I456" s="37"/>
      <x:c r="J456" s="37" t="str">
        <x:v>부문 간</x:v>
      </x:c>
    </x:row>
    <x:row r="457" ht="42" customHeight="1">
      <x:c r="A457" s="37" t="str">
        <x:v>DEP-0456</x:v>
      </x:c>
      <x:c r="B457" s="37" t="str">
        <x:v>AUD-009</x:v>
      </x:c>
      <x:c r="C457" s="37" t="str">
        <x:v>AUD-002</x:v>
      </x:c>
      <x:c r="D457" s="37" t="str">
        <x:v>완료 후 시작</x:v>
      </x:c>
      <x:c r="E457" s="37" t="str">
        <x:v>오디오·온라인 엔지니어링</x:v>
      </x:c>
      <x:c r="F457" s="37" t="str">
        <x:v>미정</x:v>
      </x:c>
      <x:c r="G457" s="37" t="str">
        <x:v>미착수</x:v>
      </x:c>
      <x:c r="H457" s="40" t="str">
        <x:v>미정</x:v>
      </x:c>
      <x:c r="I457" s="37"/>
      <x:c r="J457" s="37" t="str">
        <x:v>부문 내</x:v>
      </x:c>
    </x:row>
    <x:row r="458" ht="42" customHeight="1">
      <x:c r="A458" s="37" t="str">
        <x:v>DEP-0457</x:v>
      </x:c>
      <x:c r="B458" s="37" t="str">
        <x:v>AUD-009</x:v>
      </x:c>
      <x:c r="C458" s="37" t="str">
        <x:v>UIX-001</x:v>
      </x:c>
      <x:c r="D458" s="37" t="str">
        <x:v>인터페이스·협업</x:v>
      </x:c>
      <x:c r="E458" s="37" t="str">
        <x:v>오디오·온라인 엔지니어링</x:v>
      </x:c>
      <x:c r="F458" s="37" t="str">
        <x:v>미정</x:v>
      </x:c>
      <x:c r="G458" s="37" t="str">
        <x:v>미착수</x:v>
      </x:c>
      <x:c r="H458" s="40" t="str">
        <x:v>미정</x:v>
      </x:c>
      <x:c r="I458" s="37"/>
      <x:c r="J458" s="37" t="str">
        <x:v>부문 간</x:v>
      </x:c>
    </x:row>
    <x:row r="459" ht="42" customHeight="1">
      <x:c r="A459" s="37" t="str">
        <x:v>DEP-0458</x:v>
      </x:c>
      <x:c r="B459" s="37" t="str">
        <x:v>AUD-010</x:v>
      </x:c>
      <x:c r="C459" s="37" t="str">
        <x:v>AUD-002</x:v>
      </x:c>
      <x:c r="D459" s="37" t="str">
        <x:v>완료 후 시작</x:v>
      </x:c>
      <x:c r="E459" s="37" t="str">
        <x:v>오디오·온라인 엔지니어링</x:v>
      </x:c>
      <x:c r="F459" s="37" t="str">
        <x:v>미정</x:v>
      </x:c>
      <x:c r="G459" s="37" t="str">
        <x:v>미착수</x:v>
      </x:c>
      <x:c r="H459" s="40" t="str">
        <x:v>미정</x:v>
      </x:c>
      <x:c r="I459" s="37"/>
      <x:c r="J459" s="37" t="str">
        <x:v>부문 내</x:v>
      </x:c>
    </x:row>
    <x:row r="460" ht="42" customHeight="1">
      <x:c r="A460" s="37" t="str">
        <x:v>DEP-0459</x:v>
      </x:c>
      <x:c r="B460" s="37" t="str">
        <x:v>AUD-010</x:v>
      </x:c>
      <x:c r="C460" s="37" t="str">
        <x:v>SET-006</x:v>
      </x:c>
      <x:c r="D460" s="37" t="str">
        <x:v>인터페이스·협업</x:v>
      </x:c>
      <x:c r="E460" s="37" t="str">
        <x:v>오디오·온라인 엔지니어링</x:v>
      </x:c>
      <x:c r="F460" s="37" t="str">
        <x:v>미정</x:v>
      </x:c>
      <x:c r="G460" s="37" t="str">
        <x:v>미착수</x:v>
      </x:c>
      <x:c r="H460" s="40" t="str">
        <x:v>미정</x:v>
      </x:c>
      <x:c r="I460" s="37"/>
      <x:c r="J460" s="37" t="str">
        <x:v>부문 간</x:v>
      </x:c>
    </x:row>
    <x:row r="461" ht="42" customHeight="1">
      <x:c r="A461" s="37" t="str">
        <x:v>DEP-0460</x:v>
      </x:c>
      <x:c r="B461" s="37" t="str">
        <x:v>AUD-010</x:v>
      </x:c>
      <x:c r="C461" s="37" t="str">
        <x:v>SET-008</x:v>
      </x:c>
      <x:c r="D461" s="37" t="str">
        <x:v>인터페이스·협업</x:v>
      </x:c>
      <x:c r="E461" s="37" t="str">
        <x:v>오디오·온라인 엔지니어링</x:v>
      </x:c>
      <x:c r="F461" s="37" t="str">
        <x:v>미정</x:v>
      </x:c>
      <x:c r="G461" s="37" t="str">
        <x:v>미착수</x:v>
      </x:c>
      <x:c r="H461" s="40" t="str">
        <x:v>미정</x:v>
      </x:c>
      <x:c r="I461" s="37"/>
      <x:c r="J461" s="37" t="str">
        <x:v>부문 간</x:v>
      </x:c>
    </x:row>
    <x:row r="462" ht="42" customHeight="1">
      <x:c r="A462" s="37" t="str">
        <x:v>DEP-0461</x:v>
      </x:c>
      <x:c r="B462" s="37" t="str">
        <x:v>AUD-011</x:v>
      </x:c>
      <x:c r="C462" s="37" t="str">
        <x:v>AUD-002</x:v>
      </x:c>
      <x:c r="D462" s="37" t="str">
        <x:v>완료 후 시작</x:v>
      </x:c>
      <x:c r="E462" s="37" t="str">
        <x:v>오디오·온라인 엔지니어링</x:v>
      </x:c>
      <x:c r="F462" s="37" t="str">
        <x:v>미정</x:v>
      </x:c>
      <x:c r="G462" s="37" t="str">
        <x:v>미착수</x:v>
      </x:c>
      <x:c r="H462" s="40" t="str">
        <x:v>미정</x:v>
      </x:c>
      <x:c r="I462" s="37"/>
      <x:c r="J462" s="37" t="str">
        <x:v>부문 내</x:v>
      </x:c>
    </x:row>
    <x:row r="463" ht="42" customHeight="1">
      <x:c r="A463" s="37" t="str">
        <x:v>DEP-0462</x:v>
      </x:c>
      <x:c r="B463" s="37" t="str">
        <x:v>AUD-011</x:v>
      </x:c>
      <x:c r="C463" s="37" t="str">
        <x:v>BED-009</x:v>
      </x:c>
      <x:c r="D463" s="37" t="str">
        <x:v>인터페이스·협업</x:v>
      </x:c>
      <x:c r="E463" s="37" t="str">
        <x:v>오디오·온라인 엔지니어링</x:v>
      </x:c>
      <x:c r="F463" s="37" t="str">
        <x:v>미정</x:v>
      </x:c>
      <x:c r="G463" s="37" t="str">
        <x:v>미착수</x:v>
      </x:c>
      <x:c r="H463" s="40" t="str">
        <x:v>미정</x:v>
      </x:c>
      <x:c r="I463" s="37"/>
      <x:c r="J463" s="37" t="str">
        <x:v>부문 간</x:v>
      </x:c>
    </x:row>
    <x:row r="464" ht="42" customHeight="1">
      <x:c r="A464" s="37" t="str">
        <x:v>DEP-0463</x:v>
      </x:c>
      <x:c r="B464" s="37" t="str">
        <x:v>AUD-012</x:v>
      </x:c>
      <x:c r="C464" s="37" t="str">
        <x:v>AUD-002</x:v>
      </x:c>
      <x:c r="D464" s="37" t="str">
        <x:v>완료 후 시작</x:v>
      </x:c>
      <x:c r="E464" s="37" t="str">
        <x:v>오디오·온라인 엔지니어링</x:v>
      </x:c>
      <x:c r="F464" s="37" t="str">
        <x:v>미정</x:v>
      </x:c>
      <x:c r="G464" s="37" t="str">
        <x:v>미착수</x:v>
      </x:c>
      <x:c r="H464" s="40" t="str">
        <x:v>미정</x:v>
      </x:c>
      <x:c r="I464" s="37"/>
      <x:c r="J464" s="37" t="str">
        <x:v>부문 내</x:v>
      </x:c>
    </x:row>
    <x:row r="465" ht="42" customHeight="1">
      <x:c r="A465" s="37" t="str">
        <x:v>DEP-0464</x:v>
      </x:c>
      <x:c r="B465" s="37" t="str">
        <x:v>AUD-012</x:v>
      </x:c>
      <x:c r="C465" s="37" t="str">
        <x:v>BED-011</x:v>
      </x:c>
      <x:c r="D465" s="37" t="str">
        <x:v>인터페이스·협업</x:v>
      </x:c>
      <x:c r="E465" s="37" t="str">
        <x:v>오디오·온라인 엔지니어링</x:v>
      </x:c>
      <x:c r="F465" s="37" t="str">
        <x:v>미정</x:v>
      </x:c>
      <x:c r="G465" s="37" t="str">
        <x:v>미착수</x:v>
      </x:c>
      <x:c r="H465" s="40" t="str">
        <x:v>미정</x:v>
      </x:c>
      <x:c r="I465" s="37"/>
      <x:c r="J465" s="37" t="str">
        <x:v>부문 간</x:v>
      </x:c>
    </x:row>
    <x:row r="466" ht="42" customHeight="1">
      <x:c r="A466" s="37" t="str">
        <x:v>DEP-0465</x:v>
      </x:c>
      <x:c r="B466" s="37" t="str">
        <x:v>AUD-012</x:v>
      </x:c>
      <x:c r="C466" s="37" t="str">
        <x:v>BED-012</x:v>
      </x:c>
      <x:c r="D466" s="37" t="str">
        <x:v>인터페이스·협업</x:v>
      </x:c>
      <x:c r="E466" s="37" t="str">
        <x:v>오디오·온라인 엔지니어링</x:v>
      </x:c>
      <x:c r="F466" s="37" t="str">
        <x:v>미정</x:v>
      </x:c>
      <x:c r="G466" s="37" t="str">
        <x:v>미착수</x:v>
      </x:c>
      <x:c r="H466" s="40" t="str">
        <x:v>미정</x:v>
      </x:c>
      <x:c r="I466" s="37"/>
      <x:c r="J466" s="37" t="str">
        <x:v>부문 간</x:v>
      </x:c>
    </x:row>
    <x:row r="467" ht="42" customHeight="1">
      <x:c r="A467" s="37" t="str">
        <x:v>DEP-0466</x:v>
      </x:c>
      <x:c r="B467" s="37" t="str">
        <x:v>AUD-013</x:v>
      </x:c>
      <x:c r="C467" s="37" t="str">
        <x:v>NET-022</x:v>
      </x:c>
      <x:c r="D467" s="37" t="str">
        <x:v>인터페이스·협업</x:v>
      </x:c>
      <x:c r="E467" s="37" t="str">
        <x:v>오디오·온라인 엔지니어링</x:v>
      </x:c>
      <x:c r="F467" s="37" t="str">
        <x:v>미정</x:v>
      </x:c>
      <x:c r="G467" s="37" t="str">
        <x:v>미착수</x:v>
      </x:c>
      <x:c r="H467" s="40" t="str">
        <x:v>미정</x:v>
      </x:c>
      <x:c r="I467" s="37"/>
      <x:c r="J467" s="37" t="str">
        <x:v>부문 간</x:v>
      </x:c>
    </x:row>
    <x:row r="468" ht="42" customHeight="1">
      <x:c r="A468" s="37" t="str">
        <x:v>DEP-0467</x:v>
      </x:c>
      <x:c r="B468" s="37" t="str">
        <x:v>AUD-013</x:v>
      </x:c>
      <x:c r="C468" s="37" t="str">
        <x:v>NET-023</x:v>
      </x:c>
      <x:c r="D468" s="37" t="str">
        <x:v>인터페이스·협업</x:v>
      </x:c>
      <x:c r="E468" s="37" t="str">
        <x:v>오디오·온라인 엔지니어링</x:v>
      </x:c>
      <x:c r="F468" s="37" t="str">
        <x:v>미정</x:v>
      </x:c>
      <x:c r="G468" s="37" t="str">
        <x:v>미착수</x:v>
      </x:c>
      <x:c r="H468" s="40" t="str">
        <x:v>미정</x:v>
      </x:c>
      <x:c r="I468" s="37"/>
      <x:c r="J468" s="37" t="str">
        <x:v>부문 간</x:v>
      </x:c>
    </x:row>
    <x:row r="469" ht="42" customHeight="1">
      <x:c r="A469" s="37" t="str">
        <x:v>DEP-0468</x:v>
      </x:c>
      <x:c r="B469" s="37" t="str">
        <x:v>AUD-014</x:v>
      </x:c>
      <x:c r="C469" s="37" t="str">
        <x:v>AUD-001</x:v>
      </x:c>
      <x:c r="D469" s="37" t="str">
        <x:v>완료 후 시작</x:v>
      </x:c>
      <x:c r="E469" s="37" t="str">
        <x:v>오디오·온라인 엔지니어링</x:v>
      </x:c>
      <x:c r="F469" s="37" t="str">
        <x:v>미정</x:v>
      </x:c>
      <x:c r="G469" s="37" t="str">
        <x:v>미착수</x:v>
      </x:c>
      <x:c r="H469" s="40" t="str">
        <x:v>미정</x:v>
      </x:c>
      <x:c r="I469" s="37"/>
      <x:c r="J469" s="37" t="str">
        <x:v>부문 내</x:v>
      </x:c>
    </x:row>
    <x:row r="470" ht="42" customHeight="1">
      <x:c r="A470" s="37" t="str">
        <x:v>DEP-0469</x:v>
      </x:c>
      <x:c r="B470" s="37" t="str">
        <x:v>AUD-014</x:v>
      </x:c>
      <x:c r="C470" s="37" t="str">
        <x:v>SET-025</x:v>
      </x:c>
      <x:c r="D470" s="37" t="str">
        <x:v>인터페이스·협업</x:v>
      </x:c>
      <x:c r="E470" s="37" t="str">
        <x:v>오디오·온라인 엔지니어링</x:v>
      </x:c>
      <x:c r="F470" s="37" t="str">
        <x:v>미정</x:v>
      </x:c>
      <x:c r="G470" s="37" t="str">
        <x:v>미착수</x:v>
      </x:c>
      <x:c r="H470" s="40" t="str">
        <x:v>미정</x:v>
      </x:c>
      <x:c r="I470" s="37"/>
      <x:c r="J470" s="37" t="str">
        <x:v>부문 간</x:v>
      </x:c>
    </x:row>
    <x:row r="471" ht="42" customHeight="1">
      <x:c r="A471" s="37" t="str">
        <x:v>DEP-0470</x:v>
      </x:c>
      <x:c r="B471" s="37" t="str">
        <x:v>AUD-015</x:v>
      </x:c>
      <x:c r="C471" s="37" t="str">
        <x:v>AUD-016</x:v>
      </x:c>
      <x:c r="D471" s="37" t="str">
        <x:v>완료 후 시작</x:v>
      </x:c>
      <x:c r="E471" s="37" t="str">
        <x:v>오디오·온라인 엔지니어링</x:v>
      </x:c>
      <x:c r="F471" s="37" t="str">
        <x:v>미정</x:v>
      </x:c>
      <x:c r="G471" s="37" t="str">
        <x:v>미착수</x:v>
      </x:c>
      <x:c r="H471" s="40" t="str">
        <x:v>미정</x:v>
      </x:c>
      <x:c r="I471" s="37"/>
      <x:c r="J471" s="37" t="str">
        <x:v>부문 내</x:v>
      </x:c>
    </x:row>
    <x:row r="472" ht="42" customHeight="1">
      <x:c r="A472" s="37" t="str">
        <x:v>DEP-0471</x:v>
      </x:c>
      <x:c r="B472" s="37" t="str">
        <x:v>AUD-015</x:v>
      </x:c>
      <x:c r="C472" s="37" t="str">
        <x:v>SET-023</x:v>
      </x:c>
      <x:c r="D472" s="37" t="str">
        <x:v>인터페이스·협업</x:v>
      </x:c>
      <x:c r="E472" s="37" t="str">
        <x:v>오디오·온라인 엔지니어링</x:v>
      </x:c>
      <x:c r="F472" s="37" t="str">
        <x:v>미정</x:v>
      </x:c>
      <x:c r="G472" s="37" t="str">
        <x:v>미착수</x:v>
      </x:c>
      <x:c r="H472" s="40" t="str">
        <x:v>미정</x:v>
      </x:c>
      <x:c r="I472" s="37"/>
      <x:c r="J472" s="37" t="str">
        <x:v>부문 간</x:v>
      </x:c>
    </x:row>
    <x:row r="473" ht="42" customHeight="1">
      <x:c r="A473" s="37" t="str">
        <x:v>DEP-0472</x:v>
      </x:c>
      <x:c r="B473" s="37" t="str">
        <x:v>AUD-016</x:v>
      </x:c>
      <x:c r="C473" s="37" t="str">
        <x:v>AUD-001</x:v>
      </x:c>
      <x:c r="D473" s="37" t="str">
        <x:v>완료 후 시작</x:v>
      </x:c>
      <x:c r="E473" s="37" t="str">
        <x:v>오디오·온라인 엔지니어링</x:v>
      </x:c>
      <x:c r="F473" s="37" t="str">
        <x:v>미정</x:v>
      </x:c>
      <x:c r="G473" s="37" t="str">
        <x:v>미착수</x:v>
      </x:c>
      <x:c r="H473" s="40" t="str">
        <x:v>미정</x:v>
      </x:c>
      <x:c r="I473" s="37"/>
      <x:c r="J473" s="37" t="str">
        <x:v>부문 내</x:v>
      </x:c>
    </x:row>
    <x:row r="474" ht="42" customHeight="1">
      <x:c r="A474" s="37" t="str">
        <x:v>DEP-0473</x:v>
      </x:c>
      <x:c r="B474" s="37" t="str">
        <x:v>AUD-017</x:v>
      </x:c>
      <x:c r="C474" s="37" t="str">
        <x:v>AUD-016</x:v>
      </x:c>
      <x:c r="D474" s="37" t="str">
        <x:v>완료 후 시작</x:v>
      </x:c>
      <x:c r="E474" s="37" t="str">
        <x:v>오디오·온라인 엔지니어링</x:v>
      </x:c>
      <x:c r="F474" s="37" t="str">
        <x:v>미정</x:v>
      </x:c>
      <x:c r="G474" s="37" t="str">
        <x:v>미착수</x:v>
      </x:c>
      <x:c r="H474" s="40" t="str">
        <x:v>미정</x:v>
      </x:c>
      <x:c r="I474" s="37"/>
      <x:c r="J474" s="37" t="str">
        <x:v>부문 내</x:v>
      </x:c>
    </x:row>
    <x:row r="475" ht="42" customHeight="1">
      <x:c r="A475" s="37" t="str">
        <x:v>DEP-0474</x:v>
      </x:c>
      <x:c r="B475" s="37" t="str">
        <x:v>AUD-017</x:v>
      </x:c>
      <x:c r="C475" s="37" t="str">
        <x:v>IGM-017</x:v>
      </x:c>
      <x:c r="D475" s="37" t="str">
        <x:v>인터페이스·협업</x:v>
      </x:c>
      <x:c r="E475" s="37" t="str">
        <x:v>오디오·온라인 엔지니어링</x:v>
      </x:c>
      <x:c r="F475" s="37" t="str">
        <x:v>미정</x:v>
      </x:c>
      <x:c r="G475" s="37" t="str">
        <x:v>미착수</x:v>
      </x:c>
      <x:c r="H475" s="40" t="str">
        <x:v>미정</x:v>
      </x:c>
      <x:c r="I475" s="37"/>
      <x:c r="J475" s="37" t="str">
        <x:v>부문 간</x:v>
      </x:c>
    </x:row>
    <x:row r="476" ht="42" customHeight="1">
      <x:c r="A476" s="37" t="str">
        <x:v>DEP-0475</x:v>
      </x:c>
      <x:c r="B476" s="37" t="str">
        <x:v>AUD-017</x:v>
      </x:c>
      <x:c r="C476" s="37" t="str">
        <x:v>IGM-018</x:v>
      </x:c>
      <x:c r="D476" s="37" t="str">
        <x:v>인터페이스·협업</x:v>
      </x:c>
      <x:c r="E476" s="37" t="str">
        <x:v>오디오·온라인 엔지니어링</x:v>
      </x:c>
      <x:c r="F476" s="37" t="str">
        <x:v>미정</x:v>
      </x:c>
      <x:c r="G476" s="37" t="str">
        <x:v>미착수</x:v>
      </x:c>
      <x:c r="H476" s="40" t="str">
        <x:v>미정</x:v>
      </x:c>
      <x:c r="I476" s="37"/>
      <x:c r="J476" s="37" t="str">
        <x:v>부문 간</x:v>
      </x:c>
    </x:row>
    <x:row r="477" ht="42" customHeight="1">
      <x:c r="A477" s="37" t="str">
        <x:v>DEP-0476</x:v>
      </x:c>
      <x:c r="B477" s="37" t="str">
        <x:v>AUD-018</x:v>
      </x:c>
      <x:c r="C477" s="37" t="str">
        <x:v>AUD-016</x:v>
      </x:c>
      <x:c r="D477" s="37" t="str">
        <x:v>완료 후 시작</x:v>
      </x:c>
      <x:c r="E477" s="37" t="str">
        <x:v>오디오·온라인 엔지니어링</x:v>
      </x:c>
      <x:c r="F477" s="37" t="str">
        <x:v>미정</x:v>
      </x:c>
      <x:c r="G477" s="37" t="str">
        <x:v>미착수</x:v>
      </x:c>
      <x:c r="H477" s="40" t="str">
        <x:v>미정</x:v>
      </x:c>
      <x:c r="I477" s="37"/>
      <x:c r="J477" s="37" t="str">
        <x:v>부문 내</x:v>
      </x:c>
    </x:row>
    <x:row r="478" ht="42" customHeight="1">
      <x:c r="A478" s="37" t="str">
        <x:v>DEP-0477</x:v>
      </x:c>
      <x:c r="B478" s="37" t="str">
        <x:v>AUD-018</x:v>
      </x:c>
      <x:c r="C478" s="37" t="str">
        <x:v>CNT-020</x:v>
      </x:c>
      <x:c r="D478" s="37" t="str">
        <x:v>인터페이스·협업</x:v>
      </x:c>
      <x:c r="E478" s="37" t="str">
        <x:v>오디오·온라인 엔지니어링</x:v>
      </x:c>
      <x:c r="F478" s="37" t="str">
        <x:v>미정</x:v>
      </x:c>
      <x:c r="G478" s="37" t="str">
        <x:v>미착수</x:v>
      </x:c>
      <x:c r="H478" s="40" t="str">
        <x:v>미정</x:v>
      </x:c>
      <x:c r="I478" s="37"/>
      <x:c r="J478" s="37" t="str">
        <x:v>부문 간</x:v>
      </x:c>
    </x:row>
    <x:row r="479" ht="42" customHeight="1">
      <x:c r="A479" s="37" t="str">
        <x:v>DEP-0478</x:v>
      </x:c>
      <x:c r="B479" s="37" t="str">
        <x:v>AUD-019</x:v>
      </x:c>
      <x:c r="C479" s="37" t="str">
        <x:v>AUD-001</x:v>
      </x:c>
      <x:c r="D479" s="37" t="str">
        <x:v>완료 후 시작</x:v>
      </x:c>
      <x:c r="E479" s="37" t="str">
        <x:v>오디오·온라인 엔지니어링</x:v>
      </x:c>
      <x:c r="F479" s="37" t="str">
        <x:v>미정</x:v>
      </x:c>
      <x:c r="G479" s="37" t="str">
        <x:v>미착수</x:v>
      </x:c>
      <x:c r="H479" s="40" t="str">
        <x:v>미정</x:v>
      </x:c>
      <x:c r="I479" s="37"/>
      <x:c r="J479" s="37" t="str">
        <x:v>부문 내</x:v>
      </x:c>
    </x:row>
    <x:row r="480" ht="42" customHeight="1">
      <x:c r="A480" s="37" t="str">
        <x:v>DEP-0479</x:v>
      </x:c>
      <x:c r="B480" s="37" t="str">
        <x:v>AUD-019</x:v>
      </x:c>
      <x:c r="C480" s="37" t="str">
        <x:v>IGM-001</x:v>
      </x:c>
      <x:c r="D480" s="37" t="str">
        <x:v>인터페이스·협업</x:v>
      </x:c>
      <x:c r="E480" s="37" t="str">
        <x:v>오디오·온라인 엔지니어링</x:v>
      </x:c>
      <x:c r="F480" s="37" t="str">
        <x:v>미정</x:v>
      </x:c>
      <x:c r="G480" s="37" t="str">
        <x:v>미착수</x:v>
      </x:c>
      <x:c r="H480" s="40" t="str">
        <x:v>미정</x:v>
      </x:c>
      <x:c r="I480" s="37"/>
      <x:c r="J480" s="37" t="str">
        <x:v>부문 간</x:v>
      </x:c>
    </x:row>
    <x:row r="481" ht="42" customHeight="1">
      <x:c r="A481" s="37" t="str">
        <x:v>DEP-0480</x:v>
      </x:c>
      <x:c r="B481" s="37" t="str">
        <x:v>AUD-020</x:v>
      </x:c>
      <x:c r="C481" s="37" t="str">
        <x:v>IGM-038</x:v>
      </x:c>
      <x:c r="D481" s="37" t="str">
        <x:v>인터페이스·협업</x:v>
      </x:c>
      <x:c r="E481" s="37" t="str">
        <x:v>오디오·온라인 엔지니어링</x:v>
      </x:c>
      <x:c r="F481" s="37" t="str">
        <x:v>미정</x:v>
      </x:c>
      <x:c r="G481" s="37" t="str">
        <x:v>미착수</x:v>
      </x:c>
      <x:c r="H481" s="40" t="str">
        <x:v>미정</x:v>
      </x:c>
      <x:c r="I481" s="37"/>
      <x:c r="J481" s="37" t="str">
        <x:v>부문 간</x:v>
      </x:c>
    </x:row>
    <x:row r="482" ht="42" customHeight="1">
      <x:c r="A482" s="37" t="str">
        <x:v>DEP-0481</x:v>
      </x:c>
      <x:c r="B482" s="37" t="str">
        <x:v>AUD-020</x:v>
      </x:c>
      <x:c r="C482" s="37" t="str">
        <x:v>AUD-007</x:v>
      </x:c>
      <x:c r="D482" s="37" t="str">
        <x:v>완료 후 시작</x:v>
      </x:c>
      <x:c r="E482" s="37" t="str">
        <x:v>오디오·온라인 엔지니어링</x:v>
      </x:c>
      <x:c r="F482" s="37" t="str">
        <x:v>미정</x:v>
      </x:c>
      <x:c r="G482" s="37" t="str">
        <x:v>미착수</x:v>
      </x:c>
      <x:c r="H482" s="40" t="str">
        <x:v>미정</x:v>
      </x:c>
      <x:c r="I482" s="37"/>
      <x:c r="J482" s="37" t="str">
        <x:v>부문 내</x:v>
      </x:c>
    </x:row>
    <x:row r="483" ht="42" customHeight="1">
      <x:c r="A483" s="37" t="str">
        <x:v>DEP-0482</x:v>
      </x:c>
      <x:c r="B483" s="37" t="str">
        <x:v>AUD-020</x:v>
      </x:c>
      <x:c r="C483" s="37" t="str">
        <x:v>NET-018</x:v>
      </x:c>
      <x:c r="D483" s="37" t="str">
        <x:v>인터페이스·협업</x:v>
      </x:c>
      <x:c r="E483" s="37" t="str">
        <x:v>오디오·온라인 엔지니어링</x:v>
      </x:c>
      <x:c r="F483" s="37" t="str">
        <x:v>미정</x:v>
      </x:c>
      <x:c r="G483" s="37" t="str">
        <x:v>미착수</x:v>
      </x:c>
      <x:c r="H483" s="40" t="str">
        <x:v>미정</x:v>
      </x:c>
      <x:c r="I483" s="37"/>
      <x:c r="J483" s="37" t="str">
        <x:v>부문 간</x:v>
      </x:c>
    </x:row>
    <x:row r="484" ht="42" customHeight="1">
      <x:c r="A484" s="37" t="str">
        <x:v>DEP-0483</x:v>
      </x:c>
      <x:c r="B484" s="37" t="str">
        <x:v>AUD-021</x:v>
      </x:c>
      <x:c r="C484" s="37" t="str">
        <x:v>AUD-016</x:v>
      </x:c>
      <x:c r="D484" s="37" t="str">
        <x:v>완료 후 시작</x:v>
      </x:c>
      <x:c r="E484" s="37" t="str">
        <x:v>오디오·온라인 엔지니어링</x:v>
      </x:c>
      <x:c r="F484" s="37" t="str">
        <x:v>미정</x:v>
      </x:c>
      <x:c r="G484" s="37" t="str">
        <x:v>미착수</x:v>
      </x:c>
      <x:c r="H484" s="40" t="str">
        <x:v>미정</x:v>
      </x:c>
      <x:c r="I484" s="37"/>
      <x:c r="J484" s="37" t="str">
        <x:v>부문 내</x:v>
      </x:c>
    </x:row>
    <x:row r="485" ht="42" customHeight="1">
      <x:c r="A485" s="37" t="str">
        <x:v>DEP-0484</x:v>
      </x:c>
      <x:c r="B485" s="37" t="str">
        <x:v>AUD-021</x:v>
      </x:c>
      <x:c r="C485" s="37" t="str">
        <x:v>SET-004</x:v>
      </x:c>
      <x:c r="D485" s="37" t="str">
        <x:v>인터페이스·협업</x:v>
      </x:c>
      <x:c r="E485" s="37" t="str">
        <x:v>오디오·온라인 엔지니어링</x:v>
      </x:c>
      <x:c r="F485" s="37" t="str">
        <x:v>미정</x:v>
      </x:c>
      <x:c r="G485" s="37" t="str">
        <x:v>미착수</x:v>
      </x:c>
      <x:c r="H485" s="40" t="str">
        <x:v>미정</x:v>
      </x:c>
      <x:c r="I485" s="37"/>
      <x:c r="J485" s="37" t="str">
        <x:v>부문 간</x:v>
      </x:c>
    </x:row>
    <x:row r="486" ht="42" customHeight="1">
      <x:c r="A486" s="37" t="str">
        <x:v>DEP-0485</x:v>
      </x:c>
      <x:c r="B486" s="37" t="str">
        <x:v>AUD-022</x:v>
      </x:c>
      <x:c r="C486" s="37" t="str">
        <x:v>AUD-004</x:v>
      </x:c>
      <x:c r="D486" s="37" t="str">
        <x:v>완료 후 시작</x:v>
      </x:c>
      <x:c r="E486" s="37" t="str">
        <x:v>오디오·온라인 엔지니어링</x:v>
      </x:c>
      <x:c r="F486" s="37" t="str">
        <x:v>미정</x:v>
      </x:c>
      <x:c r="G486" s="37" t="str">
        <x:v>미착수</x:v>
      </x:c>
      <x:c r="H486" s="40" t="str">
        <x:v>미정</x:v>
      </x:c>
      <x:c r="I486" s="37"/>
      <x:c r="J486" s="37" t="str">
        <x:v>부문 내</x:v>
      </x:c>
    </x:row>
    <x:row r="487" ht="42" customHeight="1">
      <x:c r="A487" s="37" t="str">
        <x:v>DEP-0486</x:v>
      </x:c>
      <x:c r="B487" s="37" t="str">
        <x:v>AUD-022</x:v>
      </x:c>
      <x:c r="C487" s="37" t="str">
        <x:v>AUD-013</x:v>
      </x:c>
      <x:c r="D487" s="37" t="str">
        <x:v>완료 후 시작</x:v>
      </x:c>
      <x:c r="E487" s="37" t="str">
        <x:v>오디오·온라인 엔지니어링</x:v>
      </x:c>
      <x:c r="F487" s="37" t="str">
        <x:v>미정</x:v>
      </x:c>
      <x:c r="G487" s="37" t="str">
        <x:v>미착수</x:v>
      </x:c>
      <x:c r="H487" s="40" t="str">
        <x:v>미정</x:v>
      </x:c>
      <x:c r="I487" s="37"/>
      <x:c r="J487" s="37" t="str">
        <x:v>부문 내</x:v>
      </x:c>
    </x:row>
    <x:row r="488" ht="42" customHeight="1">
      <x:c r="A488" s="37" t="str">
        <x:v>DEP-0487</x:v>
      </x:c>
      <x:c r="B488" s="37" t="str">
        <x:v>AUD-022</x:v>
      </x:c>
      <x:c r="C488" s="37" t="str">
        <x:v>AUD-018</x:v>
      </x:c>
      <x:c r="D488" s="37" t="str">
        <x:v>완료 후 시작</x:v>
      </x:c>
      <x:c r="E488" s="37" t="str">
        <x:v>오디오·온라인 엔지니어링</x:v>
      </x:c>
      <x:c r="F488" s="37" t="str">
        <x:v>미정</x:v>
      </x:c>
      <x:c r="G488" s="37" t="str">
        <x:v>미착수</x:v>
      </x:c>
      <x:c r="H488" s="40" t="str">
        <x:v>미정</x:v>
      </x:c>
      <x:c r="I488" s="37"/>
      <x:c r="J488" s="37" t="str">
        <x:v>부문 내</x:v>
      </x:c>
    </x:row>
    <x:row r="489" ht="42" customHeight="1">
      <x:c r="A489" s="37" t="str">
        <x:v>DEP-0488</x:v>
      </x:c>
      <x:c r="B489" s="37" t="str">
        <x:v>AUD-022</x:v>
      </x:c>
      <x:c r="C489" s="37" t="str">
        <x:v>QAR-020</x:v>
      </x:c>
      <x:c r="D489" s="37" t="str">
        <x:v>인터페이스·협업</x:v>
      </x:c>
      <x:c r="E489" s="37" t="str">
        <x:v>오디오·온라인 엔지니어링</x:v>
      </x:c>
      <x:c r="F489" s="37" t="str">
        <x:v>미정</x:v>
      </x:c>
      <x:c r="G489" s="37" t="str">
        <x:v>미착수</x:v>
      </x:c>
      <x:c r="H489" s="40" t="str">
        <x:v>미정</x:v>
      </x:c>
      <x:c r="I489" s="37"/>
      <x:c r="J489" s="37" t="str">
        <x:v>부문 간</x:v>
      </x:c>
    </x:row>
    <x:row r="490" ht="42" customHeight="1">
      <x:c r="A490" s="37" t="str">
        <x:v>DEP-0489</x:v>
      </x:c>
      <x:c r="B490" s="37" t="str">
        <x:v>AUD-023</x:v>
      </x:c>
      <x:c r="C490" s="37" t="str">
        <x:v>AUD-011</x:v>
      </x:c>
      <x:c r="D490" s="37" t="str">
        <x:v>완료 후 시작</x:v>
      </x:c>
      <x:c r="E490" s="37" t="str">
        <x:v>오디오·온라인 엔지니어링</x:v>
      </x:c>
      <x:c r="F490" s="37" t="str">
        <x:v>미정</x:v>
      </x:c>
      <x:c r="G490" s="37" t="str">
        <x:v>미착수</x:v>
      </x:c>
      <x:c r="H490" s="40" t="str">
        <x:v>미정</x:v>
      </x:c>
      <x:c r="I490" s="37"/>
      <x:c r="J490" s="37" t="str">
        <x:v>부문 내</x:v>
      </x:c>
    </x:row>
    <x:row r="491" ht="42" customHeight="1">
      <x:c r="A491" s="37" t="str">
        <x:v>DEP-0490</x:v>
      </x:c>
      <x:c r="B491" s="37" t="str">
        <x:v>AUD-023</x:v>
      </x:c>
      <x:c r="C491" s="37" t="str">
        <x:v>AUD-012</x:v>
      </x:c>
      <x:c r="D491" s="37" t="str">
        <x:v>완료 후 시작</x:v>
      </x:c>
      <x:c r="E491" s="37" t="str">
        <x:v>오디오·온라인 엔지니어링</x:v>
      </x:c>
      <x:c r="F491" s="37" t="str">
        <x:v>미정</x:v>
      </x:c>
      <x:c r="G491" s="37" t="str">
        <x:v>미착수</x:v>
      </x:c>
      <x:c r="H491" s="40" t="str">
        <x:v>미정</x:v>
      </x:c>
      <x:c r="I491" s="37"/>
      <x:c r="J491" s="37" t="str">
        <x:v>부문 내</x:v>
      </x:c>
    </x:row>
    <x:row r="492" ht="42" customHeight="1">
      <x:c r="A492" s="37" t="str">
        <x:v>DEP-0491</x:v>
      </x:c>
      <x:c r="B492" s="37" t="str">
        <x:v>AUD-023</x:v>
      </x:c>
      <x:c r="C492" s="37" t="str">
        <x:v>BED-013</x:v>
      </x:c>
      <x:c r="D492" s="37" t="str">
        <x:v>인터페이스·협업</x:v>
      </x:c>
      <x:c r="E492" s="37" t="str">
        <x:v>오디오·온라인 엔지니어링</x:v>
      </x:c>
      <x:c r="F492" s="37" t="str">
        <x:v>미정</x:v>
      </x:c>
      <x:c r="G492" s="37" t="str">
        <x:v>미착수</x:v>
      </x:c>
      <x:c r="H492" s="40" t="str">
        <x:v>미정</x:v>
      </x:c>
      <x:c r="I492" s="37"/>
      <x:c r="J492" s="37" t="str">
        <x:v>부문 간</x:v>
      </x:c>
    </x:row>
    <x:row r="493" ht="42" customHeight="1">
      <x:c r="A493" s="37" t="str">
        <x:v>DEP-0492</x:v>
      </x:c>
      <x:c r="B493" s="37" t="str">
        <x:v>AUD-024</x:v>
      </x:c>
      <x:c r="C493" s="37" t="str">
        <x:v>AUD-004</x:v>
      </x:c>
      <x:c r="D493" s="37" t="str">
        <x:v>완료 후 시작</x:v>
      </x:c>
      <x:c r="E493" s="37" t="str">
        <x:v>오디오·온라인 엔지니어링</x:v>
      </x:c>
      <x:c r="F493" s="37" t="str">
        <x:v>미정</x:v>
      </x:c>
      <x:c r="G493" s="37" t="str">
        <x:v>미착수</x:v>
      </x:c>
      <x:c r="H493" s="40" t="str">
        <x:v>미정</x:v>
      </x:c>
      <x:c r="I493" s="37"/>
      <x:c r="J493" s="37" t="str">
        <x:v>부문 내</x:v>
      </x:c>
    </x:row>
    <x:row r="494" ht="42" customHeight="1">
      <x:c r="A494" s="37" t="str">
        <x:v>DEP-0493</x:v>
      </x:c>
      <x:c r="B494" s="37" t="str">
        <x:v>AUD-024</x:v>
      </x:c>
      <x:c r="C494" s="37" t="str">
        <x:v>AUD-005</x:v>
      </x:c>
      <x:c r="D494" s="37" t="str">
        <x:v>완료 후 시작</x:v>
      </x:c>
      <x:c r="E494" s="37" t="str">
        <x:v>오디오·온라인 엔지니어링</x:v>
      </x:c>
      <x:c r="F494" s="37" t="str">
        <x:v>미정</x:v>
      </x:c>
      <x:c r="G494" s="37" t="str">
        <x:v>미착수</x:v>
      </x:c>
      <x:c r="H494" s="40" t="str">
        <x:v>미정</x:v>
      </x:c>
      <x:c r="I494" s="37"/>
      <x:c r="J494" s="37" t="str">
        <x:v>부문 내</x:v>
      </x:c>
    </x:row>
    <x:row r="495" ht="42" customHeight="1">
      <x:c r="A495" s="37" t="str">
        <x:v>DEP-0494</x:v>
      </x:c>
      <x:c r="B495" s="37" t="str">
        <x:v>AUD-024</x:v>
      </x:c>
      <x:c r="C495" s="37" t="str">
        <x:v>CNT-007</x:v>
      </x:c>
      <x:c r="D495" s="37" t="str">
        <x:v>인터페이스·협업</x:v>
      </x:c>
      <x:c r="E495" s="37" t="str">
        <x:v>오디오·온라인 엔지니어링</x:v>
      </x:c>
      <x:c r="F495" s="37" t="str">
        <x:v>미정</x:v>
      </x:c>
      <x:c r="G495" s="37" t="str">
        <x:v>미착수</x:v>
      </x:c>
      <x:c r="H495" s="40" t="str">
        <x:v>미정</x:v>
      </x:c>
      <x:c r="I495" s="37"/>
      <x:c r="J495" s="37" t="str">
        <x:v>부문 간</x:v>
      </x:c>
    </x:row>
    <x:row r="496" ht="42" customHeight="1">
      <x:c r="A496" s="37" t="str">
        <x:v>DEP-0495</x:v>
      </x:c>
      <x:c r="B496" s="37" t="str">
        <x:v>CNT-002</x:v>
      </x:c>
      <x:c r="C496" s="37" t="str">
        <x:v>CNT-001</x:v>
      </x:c>
      <x:c r="D496" s="37" t="str">
        <x:v>완료 후 시작</x:v>
      </x:c>
      <x:c r="E496" s="37" t="str">
        <x:v>레벨·게임 디자인</x:v>
      </x:c>
      <x:c r="F496" s="37" t="str">
        <x:v>미정</x:v>
      </x:c>
      <x:c r="G496" s="37" t="str">
        <x:v>미착수</x:v>
      </x:c>
      <x:c r="H496" s="40" t="str">
        <x:v>미정</x:v>
      </x:c>
      <x:c r="I496" s="37"/>
      <x:c r="J496" s="37" t="str">
        <x:v>부문 내</x:v>
      </x:c>
    </x:row>
    <x:row r="497" ht="42" customHeight="1">
      <x:c r="A497" s="37" t="str">
        <x:v>DEP-0496</x:v>
      </x:c>
      <x:c r="B497" s="37" t="str">
        <x:v>CNT-003</x:v>
      </x:c>
      <x:c r="C497" s="37" t="str">
        <x:v>CNT-001</x:v>
      </x:c>
      <x:c r="D497" s="37" t="str">
        <x:v>완료 후 시작</x:v>
      </x:c>
      <x:c r="E497" s="37" t="str">
        <x:v>레벨·게임 디자인</x:v>
      </x:c>
      <x:c r="F497" s="37" t="str">
        <x:v>미정</x:v>
      </x:c>
      <x:c r="G497" s="37" t="str">
        <x:v>미착수</x:v>
      </x:c>
      <x:c r="H497" s="40" t="str">
        <x:v>미정</x:v>
      </x:c>
      <x:c r="I497" s="37"/>
      <x:c r="J497" s="37" t="str">
        <x:v>부문 내</x:v>
      </x:c>
    </x:row>
    <x:row r="498" ht="42" customHeight="1">
      <x:c r="A498" s="37" t="str">
        <x:v>DEP-0497</x:v>
      </x:c>
      <x:c r="B498" s="37" t="str">
        <x:v>CNT-003</x:v>
      </x:c>
      <x:c r="C498" s="37" t="str">
        <x:v>CHR-012</x:v>
      </x:c>
      <x:c r="D498" s="37" t="str">
        <x:v>인터페이스·협업</x:v>
      </x:c>
      <x:c r="E498" s="37" t="str">
        <x:v>레벨·게임 디자인</x:v>
      </x:c>
      <x:c r="F498" s="37" t="str">
        <x:v>미정</x:v>
      </x:c>
      <x:c r="G498" s="37" t="str">
        <x:v>미착수</x:v>
      </x:c>
      <x:c r="H498" s="40" t="str">
        <x:v>미정</x:v>
      </x:c>
      <x:c r="I498" s="37"/>
      <x:c r="J498" s="37" t="str">
        <x:v>부문 간</x:v>
      </x:c>
    </x:row>
    <x:row r="499" ht="42" customHeight="1">
      <x:c r="A499" s="37" t="str">
        <x:v>DEP-0498</x:v>
      </x:c>
      <x:c r="B499" s="37" t="str">
        <x:v>CNT-004</x:v>
      </x:c>
      <x:c r="C499" s="37" t="str">
        <x:v>CNT-002</x:v>
      </x:c>
      <x:c r="D499" s="37" t="str">
        <x:v>완료 후 시작</x:v>
      </x:c>
      <x:c r="E499" s="37" t="str">
        <x:v>레벨·게임 디자인</x:v>
      </x:c>
      <x:c r="F499" s="37" t="str">
        <x:v>미정</x:v>
      </x:c>
      <x:c r="G499" s="37" t="str">
        <x:v>미착수</x:v>
      </x:c>
      <x:c r="H499" s="40" t="str">
        <x:v>미정</x:v>
      </x:c>
      <x:c r="I499" s="37"/>
      <x:c r="J499" s="37" t="str">
        <x:v>부문 내</x:v>
      </x:c>
    </x:row>
    <x:row r="500" ht="42" customHeight="1">
      <x:c r="A500" s="37" t="str">
        <x:v>DEP-0499</x:v>
      </x:c>
      <x:c r="B500" s="37" t="str">
        <x:v>CNT-004</x:v>
      </x:c>
      <x:c r="C500" s="37" t="str">
        <x:v>CNT-003</x:v>
      </x:c>
      <x:c r="D500" s="37" t="str">
        <x:v>완료 후 시작</x:v>
      </x:c>
      <x:c r="E500" s="37" t="str">
        <x:v>레벨·게임 디자인</x:v>
      </x:c>
      <x:c r="F500" s="37" t="str">
        <x:v>미정</x:v>
      </x:c>
      <x:c r="G500" s="37" t="str">
        <x:v>미착수</x:v>
      </x:c>
      <x:c r="H500" s="40" t="str">
        <x:v>미정</x:v>
      </x:c>
      <x:c r="I500" s="37"/>
      <x:c r="J500" s="37" t="str">
        <x:v>부문 내</x:v>
      </x:c>
    </x:row>
    <x:row r="501" ht="42" customHeight="1">
      <x:c r="A501" s="37" t="str">
        <x:v>DEP-0500</x:v>
      </x:c>
      <x:c r="B501" s="37" t="str">
        <x:v>CNT-005</x:v>
      </x:c>
      <x:c r="C501" s="37" t="str">
        <x:v>CNT-002</x:v>
      </x:c>
      <x:c r="D501" s="37" t="str">
        <x:v>완료 후 시작</x:v>
      </x:c>
      <x:c r="E501" s="37" t="str">
        <x:v>레벨·게임 디자인</x:v>
      </x:c>
      <x:c r="F501" s="37" t="str">
        <x:v>미정</x:v>
      </x:c>
      <x:c r="G501" s="37" t="str">
        <x:v>미착수</x:v>
      </x:c>
      <x:c r="H501" s="40" t="str">
        <x:v>미정</x:v>
      </x:c>
      <x:c r="I501" s="37"/>
      <x:c r="J501" s="37" t="str">
        <x:v>부문 내</x:v>
      </x:c>
    </x:row>
    <x:row r="502" ht="42" customHeight="1">
      <x:c r="A502" s="37" t="str">
        <x:v>DEP-0501</x:v>
      </x:c>
      <x:c r="B502" s="37" t="str">
        <x:v>CNT-006</x:v>
      </x:c>
      <x:c r="C502" s="37" t="str">
        <x:v>CNT-005</x:v>
      </x:c>
      <x:c r="D502" s="37" t="str">
        <x:v>완료 후 시작</x:v>
      </x:c>
      <x:c r="E502" s="37" t="str">
        <x:v>레벨·게임 디자인</x:v>
      </x:c>
      <x:c r="F502" s="37" t="str">
        <x:v>미정</x:v>
      </x:c>
      <x:c r="G502" s="37" t="str">
        <x:v>미착수</x:v>
      </x:c>
      <x:c r="H502" s="40" t="str">
        <x:v>미정</x:v>
      </x:c>
      <x:c r="I502" s="37"/>
      <x:c r="J502" s="37" t="str">
        <x:v>부문 내</x:v>
      </x:c>
    </x:row>
    <x:row r="503" ht="42" customHeight="1">
      <x:c r="A503" s="37" t="str">
        <x:v>DEP-0502</x:v>
      </x:c>
      <x:c r="B503" s="37" t="str">
        <x:v>CNT-006</x:v>
      </x:c>
      <x:c r="C503" s="37" t="str">
        <x:v>CHR-008</x:v>
      </x:c>
      <x:c r="D503" s="37" t="str">
        <x:v>인터페이스·협업</x:v>
      </x:c>
      <x:c r="E503" s="37" t="str">
        <x:v>레벨·게임 디자인</x:v>
      </x:c>
      <x:c r="F503" s="37" t="str">
        <x:v>미정</x:v>
      </x:c>
      <x:c r="G503" s="37" t="str">
        <x:v>미착수</x:v>
      </x:c>
      <x:c r="H503" s="40" t="str">
        <x:v>미정</x:v>
      </x:c>
      <x:c r="I503" s="37"/>
      <x:c r="J503" s="37" t="str">
        <x:v>부문 간</x:v>
      </x:c>
    </x:row>
    <x:row r="504" ht="42" customHeight="1">
      <x:c r="A504" s="37" t="str">
        <x:v>DEP-0503</x:v>
      </x:c>
      <x:c r="B504" s="37" t="str">
        <x:v>CNT-007</x:v>
      </x:c>
      <x:c r="C504" s="37" t="str">
        <x:v>CNT-005</x:v>
      </x:c>
      <x:c r="D504" s="37" t="str">
        <x:v>완료 후 시작</x:v>
      </x:c>
      <x:c r="E504" s="37" t="str">
        <x:v>레벨·게임 디자인</x:v>
      </x:c>
      <x:c r="F504" s="37" t="str">
        <x:v>미정</x:v>
      </x:c>
      <x:c r="G504" s="37" t="str">
        <x:v>미착수</x:v>
      </x:c>
      <x:c r="H504" s="40" t="str">
        <x:v>미정</x:v>
      </x:c>
      <x:c r="I504" s="37"/>
      <x:c r="J504" s="37" t="str">
        <x:v>부문 내</x:v>
      </x:c>
    </x:row>
    <x:row r="505" ht="42" customHeight="1">
      <x:c r="A505" s="37" t="str">
        <x:v>DEP-0504</x:v>
      </x:c>
      <x:c r="B505" s="37" t="str">
        <x:v>CNT-007</x:v>
      </x:c>
      <x:c r="C505" s="37" t="str">
        <x:v>AUD-005</x:v>
      </x:c>
      <x:c r="D505" s="37" t="str">
        <x:v>인터페이스·협업</x:v>
      </x:c>
      <x:c r="E505" s="37" t="str">
        <x:v>레벨·게임 디자인</x:v>
      </x:c>
      <x:c r="F505" s="37" t="str">
        <x:v>미정</x:v>
      </x:c>
      <x:c r="G505" s="37" t="str">
        <x:v>미착수</x:v>
      </x:c>
      <x:c r="H505" s="40" t="str">
        <x:v>미정</x:v>
      </x:c>
      <x:c r="I505" s="37"/>
      <x:c r="J505" s="37" t="str">
        <x:v>부문 간</x:v>
      </x:c>
    </x:row>
    <x:row r="506" ht="42" customHeight="1">
      <x:c r="A506" s="37" t="str">
        <x:v>DEP-0505</x:v>
      </x:c>
      <x:c r="B506" s="37" t="str">
        <x:v>CNT-008</x:v>
      </x:c>
      <x:c r="C506" s="37" t="str">
        <x:v>CNT-002</x:v>
      </x:c>
      <x:c r="D506" s="37" t="str">
        <x:v>완료 후 시작</x:v>
      </x:c>
      <x:c r="E506" s="37" t="str">
        <x:v>레벨·게임 디자인</x:v>
      </x:c>
      <x:c r="F506" s="37" t="str">
        <x:v>미정</x:v>
      </x:c>
      <x:c r="G506" s="37" t="str">
        <x:v>미착수</x:v>
      </x:c>
      <x:c r="H506" s="40" t="str">
        <x:v>미정</x:v>
      </x:c>
      <x:c r="I506" s="37"/>
      <x:c r="J506" s="37" t="str">
        <x:v>부문 내</x:v>
      </x:c>
    </x:row>
    <x:row r="507" ht="42" customHeight="1">
      <x:c r="A507" s="37" t="str">
        <x:v>DEP-0506</x:v>
      </x:c>
      <x:c r="B507" s="37" t="str">
        <x:v>CNT-008</x:v>
      </x:c>
      <x:c r="C507" s="37" t="str">
        <x:v>IGM-016</x:v>
      </x:c>
      <x:c r="D507" s="37" t="str">
        <x:v>인터페이스·협업</x:v>
      </x:c>
      <x:c r="E507" s="37" t="str">
        <x:v>레벨·게임 디자인</x:v>
      </x:c>
      <x:c r="F507" s="37" t="str">
        <x:v>미정</x:v>
      </x:c>
      <x:c r="G507" s="37" t="str">
        <x:v>미착수</x:v>
      </x:c>
      <x:c r="H507" s="40" t="str">
        <x:v>미정</x:v>
      </x:c>
      <x:c r="I507" s="37"/>
      <x:c r="J507" s="37" t="str">
        <x:v>부문 간</x:v>
      </x:c>
    </x:row>
    <x:row r="508" ht="42" customHeight="1">
      <x:c r="A508" s="37" t="str">
        <x:v>DEP-0507</x:v>
      </x:c>
      <x:c r="B508" s="37" t="str">
        <x:v>CNT-009</x:v>
      </x:c>
      <x:c r="C508" s="37" t="str">
        <x:v>CNT-002</x:v>
      </x:c>
      <x:c r="D508" s="37" t="str">
        <x:v>완료 후 시작</x:v>
      </x:c>
      <x:c r="E508" s="37" t="str">
        <x:v>레벨·게임 디자인</x:v>
      </x:c>
      <x:c r="F508" s="37" t="str">
        <x:v>미정</x:v>
      </x:c>
      <x:c r="G508" s="37" t="str">
        <x:v>미착수</x:v>
      </x:c>
      <x:c r="H508" s="40" t="str">
        <x:v>미정</x:v>
      </x:c>
      <x:c r="I508" s="37"/>
      <x:c r="J508" s="37" t="str">
        <x:v>부문 내</x:v>
      </x:c>
    </x:row>
    <x:row r="509" ht="42" customHeight="1">
      <x:c r="A509" s="37" t="str">
        <x:v>DEP-0508</x:v>
      </x:c>
      <x:c r="B509" s="37" t="str">
        <x:v>CNT-009</x:v>
      </x:c>
      <x:c r="C509" s="37" t="str">
        <x:v>CNT-017</x:v>
      </x:c>
      <x:c r="D509" s="37" t="str">
        <x:v>완료 후 시작</x:v>
      </x:c>
      <x:c r="E509" s="37" t="str">
        <x:v>레벨·게임 디자인</x:v>
      </x:c>
      <x:c r="F509" s="37" t="str">
        <x:v>미정</x:v>
      </x:c>
      <x:c r="G509" s="37" t="str">
        <x:v>미착수</x:v>
      </x:c>
      <x:c r="H509" s="40" t="str">
        <x:v>미정</x:v>
      </x:c>
      <x:c r="I509" s="37"/>
      <x:c r="J509" s="37" t="str">
        <x:v>부문 내</x:v>
      </x:c>
    </x:row>
    <x:row r="510" ht="42" customHeight="1">
      <x:c r="A510" s="37" t="str">
        <x:v>DEP-0509</x:v>
      </x:c>
      <x:c r="B510" s="37" t="str">
        <x:v>CNT-010</x:v>
      </x:c>
      <x:c r="C510" s="37" t="str">
        <x:v>CNT-005</x:v>
      </x:c>
      <x:c r="D510" s="37" t="str">
        <x:v>완료 후 시작</x:v>
      </x:c>
      <x:c r="E510" s="37" t="str">
        <x:v>레벨·게임 디자인</x:v>
      </x:c>
      <x:c r="F510" s="37" t="str">
        <x:v>미정</x:v>
      </x:c>
      <x:c r="G510" s="37" t="str">
        <x:v>미착수</x:v>
      </x:c>
      <x:c r="H510" s="40" t="str">
        <x:v>미정</x:v>
      </x:c>
      <x:c r="I510" s="37"/>
      <x:c r="J510" s="37" t="str">
        <x:v>부문 내</x:v>
      </x:c>
    </x:row>
    <x:row r="511" ht="42" customHeight="1">
      <x:c r="A511" s="37" t="str">
        <x:v>DEP-0510</x:v>
      </x:c>
      <x:c r="B511" s="37" t="str">
        <x:v>CNT-010</x:v>
      </x:c>
      <x:c r="C511" s="37" t="str">
        <x:v>UIX-001</x:v>
      </x:c>
      <x:c r="D511" s="37" t="str">
        <x:v>인터페이스·협업</x:v>
      </x:c>
      <x:c r="E511" s="37" t="str">
        <x:v>레벨·게임 디자인</x:v>
      </x:c>
      <x:c r="F511" s="37" t="str">
        <x:v>미정</x:v>
      </x:c>
      <x:c r="G511" s="37" t="str">
        <x:v>미착수</x:v>
      </x:c>
      <x:c r="H511" s="40" t="str">
        <x:v>미정</x:v>
      </x:c>
      <x:c r="I511" s="37"/>
      <x:c r="J511" s="37" t="str">
        <x:v>부문 간</x:v>
      </x:c>
    </x:row>
    <x:row r="512" ht="42" customHeight="1">
      <x:c r="A512" s="37" t="str">
        <x:v>DEP-0511</x:v>
      </x:c>
      <x:c r="B512" s="37" t="str">
        <x:v>CNT-011</x:v>
      </x:c>
      <x:c r="C512" s="37" t="str">
        <x:v>CHR-005</x:v>
      </x:c>
      <x:c r="D512" s="37" t="str">
        <x:v>인터페이스·협업</x:v>
      </x:c>
      <x:c r="E512" s="37" t="str">
        <x:v>레벨·게임 디자인</x:v>
      </x:c>
      <x:c r="F512" s="37" t="str">
        <x:v>미정</x:v>
      </x:c>
      <x:c r="G512" s="37" t="str">
        <x:v>미착수</x:v>
      </x:c>
      <x:c r="H512" s="40" t="str">
        <x:v>미정</x:v>
      </x:c>
      <x:c r="I512" s="37"/>
      <x:c r="J512" s="37" t="str">
        <x:v>부문 간</x:v>
      </x:c>
    </x:row>
    <x:row r="513" ht="42" customHeight="1">
      <x:c r="A513" s="37" t="str">
        <x:v>DEP-0512</x:v>
      </x:c>
      <x:c r="B513" s="37" t="str">
        <x:v>CNT-011</x:v>
      </x:c>
      <x:c r="C513" s="37" t="str">
        <x:v>CHR-011</x:v>
      </x:c>
      <x:c r="D513" s="37" t="str">
        <x:v>인터페이스·협업</x:v>
      </x:c>
      <x:c r="E513" s="37" t="str">
        <x:v>레벨·게임 디자인</x:v>
      </x:c>
      <x:c r="F513" s="37" t="str">
        <x:v>미정</x:v>
      </x:c>
      <x:c r="G513" s="37" t="str">
        <x:v>미착수</x:v>
      </x:c>
      <x:c r="H513" s="40" t="str">
        <x:v>미정</x:v>
      </x:c>
      <x:c r="I513" s="37"/>
      <x:c r="J513" s="37" t="str">
        <x:v>부문 간</x:v>
      </x:c>
    </x:row>
    <x:row r="514" ht="42" customHeight="1">
      <x:c r="A514" s="37" t="str">
        <x:v>DEP-0513</x:v>
      </x:c>
      <x:c r="B514" s="37" t="str">
        <x:v>CNT-011</x:v>
      </x:c>
      <x:c r="C514" s="37" t="str">
        <x:v>CNT-003</x:v>
      </x:c>
      <x:c r="D514" s="37" t="str">
        <x:v>완료 후 시작</x:v>
      </x:c>
      <x:c r="E514" s="37" t="str">
        <x:v>레벨·게임 디자인</x:v>
      </x:c>
      <x:c r="F514" s="37" t="str">
        <x:v>미정</x:v>
      </x:c>
      <x:c r="G514" s="37" t="str">
        <x:v>미착수</x:v>
      </x:c>
      <x:c r="H514" s="40" t="str">
        <x:v>미정</x:v>
      </x:c>
      <x:c r="I514" s="37"/>
      <x:c r="J514" s="37" t="str">
        <x:v>부문 내</x:v>
      </x:c>
    </x:row>
    <x:row r="515" ht="42" customHeight="1">
      <x:c r="A515" s="37" t="str">
        <x:v>DEP-0514</x:v>
      </x:c>
      <x:c r="B515" s="37" t="str">
        <x:v>CNT-012</x:v>
      </x:c>
      <x:c r="C515" s="37" t="str">
        <x:v>CNT-002</x:v>
      </x:c>
      <x:c r="D515" s="37" t="str">
        <x:v>완료 후 시작</x:v>
      </x:c>
      <x:c r="E515" s="37" t="str">
        <x:v>레벨·게임 디자인</x:v>
      </x:c>
      <x:c r="F515" s="37" t="str">
        <x:v>미정</x:v>
      </x:c>
      <x:c r="G515" s="37" t="str">
        <x:v>미착수</x:v>
      </x:c>
      <x:c r="H515" s="40" t="str">
        <x:v>미정</x:v>
      </x:c>
      <x:c r="I515" s="37"/>
      <x:c r="J515" s="37" t="str">
        <x:v>부문 내</x:v>
      </x:c>
    </x:row>
    <x:row r="516" ht="42" customHeight="1">
      <x:c r="A516" s="37" t="str">
        <x:v>DEP-0515</x:v>
      </x:c>
      <x:c r="B516" s="37" t="str">
        <x:v>CNT-012</x:v>
      </x:c>
      <x:c r="C516" s="37" t="str">
        <x:v>NET-009</x:v>
      </x:c>
      <x:c r="D516" s="37" t="str">
        <x:v>인터페이스·협업</x:v>
      </x:c>
      <x:c r="E516" s="37" t="str">
        <x:v>레벨·게임 디자인</x:v>
      </x:c>
      <x:c r="F516" s="37" t="str">
        <x:v>미정</x:v>
      </x:c>
      <x:c r="G516" s="37" t="str">
        <x:v>미착수</x:v>
      </x:c>
      <x:c r="H516" s="40" t="str">
        <x:v>미정</x:v>
      </x:c>
      <x:c r="I516" s="37"/>
      <x:c r="J516" s="37" t="str">
        <x:v>부문 간</x:v>
      </x:c>
    </x:row>
    <x:row r="517" ht="42" customHeight="1">
      <x:c r="A517" s="37" t="str">
        <x:v>DEP-0516</x:v>
      </x:c>
      <x:c r="B517" s="37" t="str">
        <x:v>CNT-013</x:v>
      </x:c>
      <x:c r="C517" s="37" t="str">
        <x:v>CNT-005</x:v>
      </x:c>
      <x:c r="D517" s="37" t="str">
        <x:v>완료 후 시작</x:v>
      </x:c>
      <x:c r="E517" s="37" t="str">
        <x:v>레벨·게임 디자인</x:v>
      </x:c>
      <x:c r="F517" s="37" t="str">
        <x:v>미정</x:v>
      </x:c>
      <x:c r="G517" s="37" t="str">
        <x:v>미착수</x:v>
      </x:c>
      <x:c r="H517" s="40" t="str">
        <x:v>미정</x:v>
      </x:c>
      <x:c r="I517" s="37"/>
      <x:c r="J517" s="37" t="str">
        <x:v>부문 내</x:v>
      </x:c>
    </x:row>
    <x:row r="518" ht="42" customHeight="1">
      <x:c r="A518" s="37" t="str">
        <x:v>DEP-0517</x:v>
      </x:c>
      <x:c r="B518" s="37" t="str">
        <x:v>CNT-013</x:v>
      </x:c>
      <x:c r="C518" s="37" t="str">
        <x:v>UIX-014</x:v>
      </x:c>
      <x:c r="D518" s="37" t="str">
        <x:v>인터페이스·협업</x:v>
      </x:c>
      <x:c r="E518" s="37" t="str">
        <x:v>레벨·게임 디자인</x:v>
      </x:c>
      <x:c r="F518" s="37" t="str">
        <x:v>미정</x:v>
      </x:c>
      <x:c r="G518" s="37" t="str">
        <x:v>미착수</x:v>
      </x:c>
      <x:c r="H518" s="40" t="str">
        <x:v>미정</x:v>
      </x:c>
      <x:c r="I518" s="37"/>
      <x:c r="J518" s="37" t="str">
        <x:v>부문 간</x:v>
      </x:c>
    </x:row>
    <x:row r="519" ht="42" customHeight="1">
      <x:c r="A519" s="37" t="str">
        <x:v>DEP-0518</x:v>
      </x:c>
      <x:c r="B519" s="37" t="str">
        <x:v>CNT-013</x:v>
      </x:c>
      <x:c r="C519" s="37" t="str">
        <x:v>SET-005</x:v>
      </x:c>
      <x:c r="D519" s="37" t="str">
        <x:v>인터페이스·협업</x:v>
      </x:c>
      <x:c r="E519" s="37" t="str">
        <x:v>레벨·게임 디자인</x:v>
      </x:c>
      <x:c r="F519" s="37" t="str">
        <x:v>미정</x:v>
      </x:c>
      <x:c r="G519" s="37" t="str">
        <x:v>미착수</x:v>
      </x:c>
      <x:c r="H519" s="40" t="str">
        <x:v>미정</x:v>
      </x:c>
      <x:c r="I519" s="37"/>
      <x:c r="J519" s="37" t="str">
        <x:v>부문 간</x:v>
      </x:c>
    </x:row>
    <x:row r="520" ht="42" customHeight="1">
      <x:c r="A520" s="37" t="str">
        <x:v>DEP-0519</x:v>
      </x:c>
      <x:c r="B520" s="37" t="str">
        <x:v>CNT-014</x:v>
      </x:c>
      <x:c r="C520" s="37" t="str">
        <x:v>CNT-011</x:v>
      </x:c>
      <x:c r="D520" s="37" t="str">
        <x:v>완료 후 시작</x:v>
      </x:c>
      <x:c r="E520" s="37" t="str">
        <x:v>레벨·게임 디자인</x:v>
      </x:c>
      <x:c r="F520" s="37" t="str">
        <x:v>미정</x:v>
      </x:c>
      <x:c r="G520" s="37" t="str">
        <x:v>미착수</x:v>
      </x:c>
      <x:c r="H520" s="40" t="str">
        <x:v>미정</x:v>
      </x:c>
      <x:c r="I520" s="37"/>
      <x:c r="J520" s="37" t="str">
        <x:v>부문 내</x:v>
      </x:c>
    </x:row>
    <x:row r="521" ht="42" customHeight="1">
      <x:c r="A521" s="37" t="str">
        <x:v>DEP-0520</x:v>
      </x:c>
      <x:c r="B521" s="37" t="str">
        <x:v>CNT-014</x:v>
      </x:c>
      <x:c r="C521" s="37" t="str">
        <x:v>CNT-012</x:v>
      </x:c>
      <x:c r="D521" s="37" t="str">
        <x:v>완료 후 시작</x:v>
      </x:c>
      <x:c r="E521" s="37" t="str">
        <x:v>레벨·게임 디자인</x:v>
      </x:c>
      <x:c r="F521" s="37" t="str">
        <x:v>미정</x:v>
      </x:c>
      <x:c r="G521" s="37" t="str">
        <x:v>미착수</x:v>
      </x:c>
      <x:c r="H521" s="40" t="str">
        <x:v>미정</x:v>
      </x:c>
      <x:c r="I521" s="37"/>
      <x:c r="J521" s="37" t="str">
        <x:v>부문 내</x:v>
      </x:c>
    </x:row>
    <x:row r="522" ht="42" customHeight="1">
      <x:c r="A522" s="37" t="str">
        <x:v>DEP-0521</x:v>
      </x:c>
      <x:c r="B522" s="37" t="str">
        <x:v>CNT-014</x:v>
      </x:c>
      <x:c r="C522" s="37" t="str">
        <x:v>CHR-027</x:v>
      </x:c>
      <x:c r="D522" s="37" t="str">
        <x:v>인터페이스·협업</x:v>
      </x:c>
      <x:c r="E522" s="37" t="str">
        <x:v>레벨·게임 디자인</x:v>
      </x:c>
      <x:c r="F522" s="37" t="str">
        <x:v>미정</x:v>
      </x:c>
      <x:c r="G522" s="37" t="str">
        <x:v>미착수</x:v>
      </x:c>
      <x:c r="H522" s="40" t="str">
        <x:v>미정</x:v>
      </x:c>
      <x:c r="I522" s="37"/>
      <x:c r="J522" s="37" t="str">
        <x:v>부문 간</x:v>
      </x:c>
    </x:row>
    <x:row r="523" ht="42" customHeight="1">
      <x:c r="A523" s="37" t="str">
        <x:v>DEP-0522</x:v>
      </x:c>
      <x:c r="B523" s="37" t="str">
        <x:v>CNT-014</x:v>
      </x:c>
      <x:c r="C523" s="37" t="str">
        <x:v>AUD-022</x:v>
      </x:c>
      <x:c r="D523" s="37" t="str">
        <x:v>인터페이스·협업</x:v>
      </x:c>
      <x:c r="E523" s="37" t="str">
        <x:v>레벨·게임 디자인</x:v>
      </x:c>
      <x:c r="F523" s="37" t="str">
        <x:v>미정</x:v>
      </x:c>
      <x:c r="G523" s="37" t="str">
        <x:v>미착수</x:v>
      </x:c>
      <x:c r="H523" s="40" t="str">
        <x:v>미정</x:v>
      </x:c>
      <x:c r="I523" s="37"/>
      <x:c r="J523" s="37" t="str">
        <x:v>부문 간</x:v>
      </x:c>
    </x:row>
    <x:row r="524" ht="42" customHeight="1">
      <x:c r="A524" s="37" t="str">
        <x:v>DEP-0523</x:v>
      </x:c>
      <x:c r="B524" s="37" t="str">
        <x:v>CNT-015</x:v>
      </x:c>
      <x:c r="C524" s="37" t="str">
        <x:v>CNT-003</x:v>
      </x:c>
      <x:c r="D524" s="37" t="str">
        <x:v>완료 후 시작</x:v>
      </x:c>
      <x:c r="E524" s="37" t="str">
        <x:v>레벨·게임 디자인</x:v>
      </x:c>
      <x:c r="F524" s="37" t="str">
        <x:v>미정</x:v>
      </x:c>
      <x:c r="G524" s="37" t="str">
        <x:v>미착수</x:v>
      </x:c>
      <x:c r="H524" s="40" t="str">
        <x:v>미정</x:v>
      </x:c>
      <x:c r="I524" s="37"/>
      <x:c r="J524" s="37" t="str">
        <x:v>부문 내</x:v>
      </x:c>
    </x:row>
    <x:row r="525" ht="42" customHeight="1">
      <x:c r="A525" s="37" t="str">
        <x:v>DEP-0524</x:v>
      </x:c>
      <x:c r="B525" s="37" t="str">
        <x:v>CNT-015</x:v>
      </x:c>
      <x:c r="C525" s="37" t="str">
        <x:v>CNT-004</x:v>
      </x:c>
      <x:c r="D525" s="37" t="str">
        <x:v>완료 후 시작</x:v>
      </x:c>
      <x:c r="E525" s="37" t="str">
        <x:v>레벨·게임 디자인</x:v>
      </x:c>
      <x:c r="F525" s="37" t="str">
        <x:v>미정</x:v>
      </x:c>
      <x:c r="G525" s="37" t="str">
        <x:v>미착수</x:v>
      </x:c>
      <x:c r="H525" s="40" t="str">
        <x:v>미정</x:v>
      </x:c>
      <x:c r="I525" s="37"/>
      <x:c r="J525" s="37" t="str">
        <x:v>부문 내</x:v>
      </x:c>
    </x:row>
    <x:row r="526" ht="42" customHeight="1">
      <x:c r="A526" s="37" t="str">
        <x:v>DEP-0525</x:v>
      </x:c>
      <x:c r="B526" s="37" t="str">
        <x:v>CNT-015</x:v>
      </x:c>
      <x:c r="C526" s="37" t="str">
        <x:v>CNT-007</x:v>
      </x:c>
      <x:c r="D526" s="37" t="str">
        <x:v>완료 후 시작</x:v>
      </x:c>
      <x:c r="E526" s="37" t="str">
        <x:v>레벨·게임 디자인</x:v>
      </x:c>
      <x:c r="F526" s="37" t="str">
        <x:v>미정</x:v>
      </x:c>
      <x:c r="G526" s="37" t="str">
        <x:v>미착수</x:v>
      </x:c>
      <x:c r="H526" s="40" t="str">
        <x:v>미정</x:v>
      </x:c>
      <x:c r="I526" s="37"/>
      <x:c r="J526" s="37" t="str">
        <x:v>부문 내</x:v>
      </x:c>
    </x:row>
    <x:row r="527" ht="42" customHeight="1">
      <x:c r="A527" s="37" t="str">
        <x:v>DEP-0526</x:v>
      </x:c>
      <x:c r="B527" s="37" t="str">
        <x:v>CNT-015</x:v>
      </x:c>
      <x:c r="C527" s="37" t="str">
        <x:v>CNT-008</x:v>
      </x:c>
      <x:c r="D527" s="37" t="str">
        <x:v>완료 후 시작</x:v>
      </x:c>
      <x:c r="E527" s="37" t="str">
        <x:v>레벨·게임 디자인</x:v>
      </x:c>
      <x:c r="F527" s="37" t="str">
        <x:v>미정</x:v>
      </x:c>
      <x:c r="G527" s="37" t="str">
        <x:v>미착수</x:v>
      </x:c>
      <x:c r="H527" s="40" t="str">
        <x:v>미정</x:v>
      </x:c>
      <x:c r="I527" s="37"/>
      <x:c r="J527" s="37" t="str">
        <x:v>부문 내</x:v>
      </x:c>
    </x:row>
    <x:row r="528" ht="42" customHeight="1">
      <x:c r="A528" s="37" t="str">
        <x:v>DEP-0527</x:v>
      </x:c>
      <x:c r="B528" s="37" t="str">
        <x:v>CNT-015</x:v>
      </x:c>
      <x:c r="C528" s="37" t="str">
        <x:v>CNT-009</x:v>
      </x:c>
      <x:c r="D528" s="37" t="str">
        <x:v>완료 후 시작</x:v>
      </x:c>
      <x:c r="E528" s="37" t="str">
        <x:v>레벨·게임 디자인</x:v>
      </x:c>
      <x:c r="F528" s="37" t="str">
        <x:v>미정</x:v>
      </x:c>
      <x:c r="G528" s="37" t="str">
        <x:v>미착수</x:v>
      </x:c>
      <x:c r="H528" s="40" t="str">
        <x:v>미정</x:v>
      </x:c>
      <x:c r="I528" s="37"/>
      <x:c r="J528" s="37" t="str">
        <x:v>부문 내</x:v>
      </x:c>
    </x:row>
    <x:row r="529" ht="42" customHeight="1">
      <x:c r="A529" s="37" t="str">
        <x:v>DEP-0528</x:v>
      </x:c>
      <x:c r="B529" s="37" t="str">
        <x:v>CNT-016</x:v>
      </x:c>
      <x:c r="C529" s="37" t="str">
        <x:v>BED-015</x:v>
      </x:c>
      <x:c r="D529" s="37" t="str">
        <x:v>인터페이스·협업</x:v>
      </x:c>
      <x:c r="E529" s="37" t="str">
        <x:v>레벨·게임 디자인</x:v>
      </x:c>
      <x:c r="F529" s="37" t="str">
        <x:v>미정</x:v>
      </x:c>
      <x:c r="G529" s="37" t="str">
        <x:v>미착수</x:v>
      </x:c>
      <x:c r="H529" s="40" t="str">
        <x:v>미정</x:v>
      </x:c>
      <x:c r="I529" s="37"/>
      <x:c r="J529" s="37" t="str">
        <x:v>부문 간</x:v>
      </x:c>
    </x:row>
    <x:row r="530" ht="42" customHeight="1">
      <x:c r="A530" s="37" t="str">
        <x:v>DEP-0529</x:v>
      </x:c>
      <x:c r="B530" s="37" t="str">
        <x:v>CNT-017</x:v>
      </x:c>
      <x:c r="C530" s="37" t="str">
        <x:v>CNT-016</x:v>
      </x:c>
      <x:c r="D530" s="37" t="str">
        <x:v>완료 후 시작</x:v>
      </x:c>
      <x:c r="E530" s="37" t="str">
        <x:v>레벨·게임 디자인</x:v>
      </x:c>
      <x:c r="F530" s="37" t="str">
        <x:v>미정</x:v>
      </x:c>
      <x:c r="G530" s="37" t="str">
        <x:v>미착수</x:v>
      </x:c>
      <x:c r="H530" s="40" t="str">
        <x:v>미정</x:v>
      </x:c>
      <x:c r="I530" s="37"/>
      <x:c r="J530" s="37" t="str">
        <x:v>부문 내</x:v>
      </x:c>
    </x:row>
    <x:row r="531" ht="42" customHeight="1">
      <x:c r="A531" s="37" t="str">
        <x:v>DEP-0530</x:v>
      </x:c>
      <x:c r="B531" s="37" t="str">
        <x:v>CNT-017</x:v>
      </x:c>
      <x:c r="C531" s="37" t="str">
        <x:v>IGM-005</x:v>
      </x:c>
      <x:c r="D531" s="37" t="str">
        <x:v>인터페이스·협업</x:v>
      </x:c>
      <x:c r="E531" s="37" t="str">
        <x:v>레벨·게임 디자인</x:v>
      </x:c>
      <x:c r="F531" s="37" t="str">
        <x:v>미정</x:v>
      </x:c>
      <x:c r="G531" s="37" t="str">
        <x:v>미착수</x:v>
      </x:c>
      <x:c r="H531" s="40" t="str">
        <x:v>미정</x:v>
      </x:c>
      <x:c r="I531" s="37"/>
      <x:c r="J531" s="37" t="str">
        <x:v>부문 간</x:v>
      </x:c>
    </x:row>
    <x:row r="532" ht="42" customHeight="1">
      <x:c r="A532" s="37" t="str">
        <x:v>DEP-0531</x:v>
      </x:c>
      <x:c r="B532" s="37" t="str">
        <x:v>CNT-018</x:v>
      </x:c>
      <x:c r="C532" s="37" t="str">
        <x:v>CNT-017</x:v>
      </x:c>
      <x:c r="D532" s="37" t="str">
        <x:v>완료 후 시작</x:v>
      </x:c>
      <x:c r="E532" s="37" t="str">
        <x:v>레벨·게임 디자인</x:v>
      </x:c>
      <x:c r="F532" s="37" t="str">
        <x:v>미정</x:v>
      </x:c>
      <x:c r="G532" s="37" t="str">
        <x:v>미착수</x:v>
      </x:c>
      <x:c r="H532" s="40" t="str">
        <x:v>미정</x:v>
      </x:c>
      <x:c r="I532" s="37"/>
      <x:c r="J532" s="37" t="str">
        <x:v>부문 내</x:v>
      </x:c>
    </x:row>
    <x:row r="533" ht="42" customHeight="1">
      <x:c r="A533" s="37" t="str">
        <x:v>DEP-0532</x:v>
      </x:c>
      <x:c r="B533" s="37" t="str">
        <x:v>CNT-018</x:v>
      </x:c>
      <x:c r="C533" s="37" t="str">
        <x:v>NET-012</x:v>
      </x:c>
      <x:c r="D533" s="37" t="str">
        <x:v>인터페이스·협업</x:v>
      </x:c>
      <x:c r="E533" s="37" t="str">
        <x:v>레벨·게임 디자인</x:v>
      </x:c>
      <x:c r="F533" s="37" t="str">
        <x:v>미정</x:v>
      </x:c>
      <x:c r="G533" s="37" t="str">
        <x:v>미착수</x:v>
      </x:c>
      <x:c r="H533" s="40" t="str">
        <x:v>미정</x:v>
      </x:c>
      <x:c r="I533" s="37"/>
      <x:c r="J533" s="37" t="str">
        <x:v>부문 간</x:v>
      </x:c>
    </x:row>
    <x:row r="534" ht="42" customHeight="1">
      <x:c r="A534" s="37" t="str">
        <x:v>DEP-0533</x:v>
      </x:c>
      <x:c r="B534" s="37" t="str">
        <x:v>CNT-019</x:v>
      </x:c>
      <x:c r="C534" s="37" t="str">
        <x:v>CNT-016</x:v>
      </x:c>
      <x:c r="D534" s="37" t="str">
        <x:v>완료 후 시작</x:v>
      </x:c>
      <x:c r="E534" s="37" t="str">
        <x:v>레벨·게임 디자인</x:v>
      </x:c>
      <x:c r="F534" s="37" t="str">
        <x:v>미정</x:v>
      </x:c>
      <x:c r="G534" s="37" t="str">
        <x:v>미착수</x:v>
      </x:c>
      <x:c r="H534" s="40" t="str">
        <x:v>미정</x:v>
      </x:c>
      <x:c r="I534" s="37"/>
      <x:c r="J534" s="37" t="str">
        <x:v>부문 내</x:v>
      </x:c>
    </x:row>
    <x:row r="535" ht="42" customHeight="1">
      <x:c r="A535" s="37" t="str">
        <x:v>DEP-0534</x:v>
      </x:c>
      <x:c r="B535" s="37" t="str">
        <x:v>CNT-019</x:v>
      </x:c>
      <x:c r="C535" s="37" t="str">
        <x:v>CNT-017</x:v>
      </x:c>
      <x:c r="D535" s="37" t="str">
        <x:v>완료 후 시작</x:v>
      </x:c>
      <x:c r="E535" s="37" t="str">
        <x:v>레벨·게임 디자인</x:v>
      </x:c>
      <x:c r="F535" s="37" t="str">
        <x:v>미정</x:v>
      </x:c>
      <x:c r="G535" s="37" t="str">
        <x:v>미착수</x:v>
      </x:c>
      <x:c r="H535" s="40" t="str">
        <x:v>미정</x:v>
      </x:c>
      <x:c r="I535" s="37"/>
      <x:c r="J535" s="37" t="str">
        <x:v>부문 내</x:v>
      </x:c>
    </x:row>
    <x:row r="536" ht="42" customHeight="1">
      <x:c r="A536" s="37" t="str">
        <x:v>DEP-0535</x:v>
      </x:c>
      <x:c r="B536" s="37" t="str">
        <x:v>CNT-020</x:v>
      </x:c>
      <x:c r="C536" s="37" t="str">
        <x:v>CNT-017</x:v>
      </x:c>
      <x:c r="D536" s="37" t="str">
        <x:v>완료 후 시작</x:v>
      </x:c>
      <x:c r="E536" s="37" t="str">
        <x:v>레벨·게임 디자인</x:v>
      </x:c>
      <x:c r="F536" s="37" t="str">
        <x:v>미정</x:v>
      </x:c>
      <x:c r="G536" s="37" t="str">
        <x:v>미착수</x:v>
      </x:c>
      <x:c r="H536" s="40" t="str">
        <x:v>미정</x:v>
      </x:c>
      <x:c r="I536" s="37"/>
      <x:c r="J536" s="37" t="str">
        <x:v>부문 내</x:v>
      </x:c>
    </x:row>
    <x:row r="537" ht="42" customHeight="1">
      <x:c r="A537" s="37" t="str">
        <x:v>DEP-0536</x:v>
      </x:c>
      <x:c r="B537" s="37" t="str">
        <x:v>CNT-020</x:v>
      </x:c>
      <x:c r="C537" s="37" t="str">
        <x:v>CNT-018</x:v>
      </x:c>
      <x:c r="D537" s="37" t="str">
        <x:v>완료 후 시작</x:v>
      </x:c>
      <x:c r="E537" s="37" t="str">
        <x:v>레벨·게임 디자인</x:v>
      </x:c>
      <x:c r="F537" s="37" t="str">
        <x:v>미정</x:v>
      </x:c>
      <x:c r="G537" s="37" t="str">
        <x:v>미착수</x:v>
      </x:c>
      <x:c r="H537" s="40" t="str">
        <x:v>미정</x:v>
      </x:c>
      <x:c r="I537" s="37"/>
      <x:c r="J537" s="37" t="str">
        <x:v>부문 내</x:v>
      </x:c>
    </x:row>
    <x:row r="538" ht="42" customHeight="1">
      <x:c r="A538" s="37" t="str">
        <x:v>DEP-0537</x:v>
      </x:c>
      <x:c r="B538" s="37" t="str">
        <x:v>CNT-020</x:v>
      </x:c>
      <x:c r="C538" s="37" t="str">
        <x:v>NET-015</x:v>
      </x:c>
      <x:c r="D538" s="37" t="str">
        <x:v>인터페이스·협업</x:v>
      </x:c>
      <x:c r="E538" s="37" t="str">
        <x:v>레벨·게임 디자인</x:v>
      </x:c>
      <x:c r="F538" s="37" t="str">
        <x:v>미정</x:v>
      </x:c>
      <x:c r="G538" s="37" t="str">
        <x:v>미착수</x:v>
      </x:c>
      <x:c r="H538" s="40" t="str">
        <x:v>미정</x:v>
      </x:c>
      <x:c r="I538" s="37"/>
      <x:c r="J538" s="37" t="str">
        <x:v>부문 간</x:v>
      </x:c>
    </x:row>
    <x:row r="539" ht="42" customHeight="1">
      <x:c r="A539" s="37" t="str">
        <x:v>DEP-0538</x:v>
      </x:c>
      <x:c r="B539" s="37" t="str">
        <x:v>CNT-020</x:v>
      </x:c>
      <x:c r="C539" s="37" t="str">
        <x:v>IGM-010</x:v>
      </x:c>
      <x:c r="D539" s="37" t="str">
        <x:v>인터페이스·협업</x:v>
      </x:c>
      <x:c r="E539" s="37" t="str">
        <x:v>레벨·게임 디자인</x:v>
      </x:c>
      <x:c r="F539" s="37" t="str">
        <x:v>미정</x:v>
      </x:c>
      <x:c r="G539" s="37" t="str">
        <x:v>미착수</x:v>
      </x:c>
      <x:c r="H539" s="40" t="str">
        <x:v>미정</x:v>
      </x:c>
      <x:c r="I539" s="37"/>
      <x:c r="J539" s="37" t="str">
        <x:v>부문 간</x:v>
      </x:c>
    </x:row>
    <x:row r="540" ht="42" customHeight="1">
      <x:c r="A540" s="37" t="str">
        <x:v>DEP-0539</x:v>
      </x:c>
      <x:c r="B540" s="37" t="str">
        <x:v>CNT-021</x:v>
      </x:c>
      <x:c r="C540" s="37" t="str">
        <x:v>CNT-017</x:v>
      </x:c>
      <x:c r="D540" s="37" t="str">
        <x:v>완료 후 시작</x:v>
      </x:c>
      <x:c r="E540" s="37" t="str">
        <x:v>레벨·게임 디자인</x:v>
      </x:c>
      <x:c r="F540" s="37" t="str">
        <x:v>미정</x:v>
      </x:c>
      <x:c r="G540" s="37" t="str">
        <x:v>미착수</x:v>
      </x:c>
      <x:c r="H540" s="40" t="str">
        <x:v>미정</x:v>
      </x:c>
      <x:c r="I540" s="37"/>
      <x:c r="J540" s="37" t="str">
        <x:v>부문 내</x:v>
      </x:c>
    </x:row>
    <x:row r="541" ht="42" customHeight="1">
      <x:c r="A541" s="37" t="str">
        <x:v>DEP-0540</x:v>
      </x:c>
      <x:c r="B541" s="37" t="str">
        <x:v>CNT-021</x:v>
      </x:c>
      <x:c r="C541" s="37" t="str">
        <x:v>UIX-017</x:v>
      </x:c>
      <x:c r="D541" s="37" t="str">
        <x:v>인터페이스·협업</x:v>
      </x:c>
      <x:c r="E541" s="37" t="str">
        <x:v>레벨·게임 디자인</x:v>
      </x:c>
      <x:c r="F541" s="37" t="str">
        <x:v>미정</x:v>
      </x:c>
      <x:c r="G541" s="37" t="str">
        <x:v>미착수</x:v>
      </x:c>
      <x:c r="H541" s="40" t="str">
        <x:v>미정</x:v>
      </x:c>
      <x:c r="I541" s="37"/>
      <x:c r="J541" s="37" t="str">
        <x:v>부문 간</x:v>
      </x:c>
    </x:row>
    <x:row r="542" ht="42" customHeight="1">
      <x:c r="A542" s="37" t="str">
        <x:v>DEP-0541</x:v>
      </x:c>
      <x:c r="B542" s="37" t="str">
        <x:v>CNT-022</x:v>
      </x:c>
      <x:c r="C542" s="37" t="str">
        <x:v>CNT-020</x:v>
      </x:c>
      <x:c r="D542" s="37" t="str">
        <x:v>완료 후 시작</x:v>
      </x:c>
      <x:c r="E542" s="37" t="str">
        <x:v>레벨·게임 디자인</x:v>
      </x:c>
      <x:c r="F542" s="37" t="str">
        <x:v>미정</x:v>
      </x:c>
      <x:c r="G542" s="37" t="str">
        <x:v>미착수</x:v>
      </x:c>
      <x:c r="H542" s="40" t="str">
        <x:v>미정</x:v>
      </x:c>
      <x:c r="I542" s="37"/>
      <x:c r="J542" s="37" t="str">
        <x:v>부문 내</x:v>
      </x:c>
    </x:row>
    <x:row r="543" ht="42" customHeight="1">
      <x:c r="A543" s="37" t="str">
        <x:v>DEP-0542</x:v>
      </x:c>
      <x:c r="B543" s="37" t="str">
        <x:v>CNT-022</x:v>
      </x:c>
      <x:c r="C543" s="37" t="str">
        <x:v>IGM-028</x:v>
      </x:c>
      <x:c r="D543" s="37" t="str">
        <x:v>인터페이스·협업</x:v>
      </x:c>
      <x:c r="E543" s="37" t="str">
        <x:v>레벨·게임 디자인</x:v>
      </x:c>
      <x:c r="F543" s="37" t="str">
        <x:v>미정</x:v>
      </x:c>
      <x:c r="G543" s="37" t="str">
        <x:v>미착수</x:v>
      </x:c>
      <x:c r="H543" s="40" t="str">
        <x:v>미정</x:v>
      </x:c>
      <x:c r="I543" s="37"/>
      <x:c r="J543" s="37" t="str">
        <x:v>부문 간</x:v>
      </x:c>
    </x:row>
    <x:row r="544" ht="42" customHeight="1">
      <x:c r="A544" s="37" t="str">
        <x:v>DEP-0543</x:v>
      </x:c>
      <x:c r="B544" s="37" t="str">
        <x:v>CNT-023</x:v>
      </x:c>
      <x:c r="C544" s="37" t="str">
        <x:v>CNT-017</x:v>
      </x:c>
      <x:c r="D544" s="37" t="str">
        <x:v>완료 후 시작</x:v>
      </x:c>
      <x:c r="E544" s="37" t="str">
        <x:v>레벨·게임 디자인</x:v>
      </x:c>
      <x:c r="F544" s="37" t="str">
        <x:v>미정</x:v>
      </x:c>
      <x:c r="G544" s="37" t="str">
        <x:v>미착수</x:v>
      </x:c>
      <x:c r="H544" s="40" t="str">
        <x:v>미정</x:v>
      </x:c>
      <x:c r="I544" s="37"/>
      <x:c r="J544" s="37" t="str">
        <x:v>부문 내</x:v>
      </x:c>
    </x:row>
    <x:row r="545" ht="42" customHeight="1">
      <x:c r="A545" s="37" t="str">
        <x:v>DEP-0544</x:v>
      </x:c>
      <x:c r="B545" s="37" t="str">
        <x:v>CNT-023</x:v>
      </x:c>
      <x:c r="C545" s="37" t="str">
        <x:v>CNT-020</x:v>
      </x:c>
      <x:c r="D545" s="37" t="str">
        <x:v>완료 후 시작</x:v>
      </x:c>
      <x:c r="E545" s="37" t="str">
        <x:v>레벨·게임 디자인</x:v>
      </x:c>
      <x:c r="F545" s="37" t="str">
        <x:v>미정</x:v>
      </x:c>
      <x:c r="G545" s="37" t="str">
        <x:v>미착수</x:v>
      </x:c>
      <x:c r="H545" s="40" t="str">
        <x:v>미정</x:v>
      </x:c>
      <x:c r="I545" s="37"/>
      <x:c r="J545" s="37" t="str">
        <x:v>부문 내</x:v>
      </x:c>
    </x:row>
    <x:row r="546" ht="42" customHeight="1">
      <x:c r="A546" s="37" t="str">
        <x:v>DEP-0545</x:v>
      </x:c>
      <x:c r="B546" s="37" t="str">
        <x:v>CNT-023</x:v>
      </x:c>
      <x:c r="C546" s="37" t="str">
        <x:v>CNT-021</x:v>
      </x:c>
      <x:c r="D546" s="37" t="str">
        <x:v>완료 후 시작</x:v>
      </x:c>
      <x:c r="E546" s="37" t="str">
        <x:v>레벨·게임 디자인</x:v>
      </x:c>
      <x:c r="F546" s="37" t="str">
        <x:v>미정</x:v>
      </x:c>
      <x:c r="G546" s="37" t="str">
        <x:v>미착수</x:v>
      </x:c>
      <x:c r="H546" s="40" t="str">
        <x:v>미정</x:v>
      </x:c>
      <x:c r="I546" s="37"/>
      <x:c r="J546" s="37" t="str">
        <x:v>부문 내</x:v>
      </x:c>
    </x:row>
    <x:row r="547" ht="42" customHeight="1">
      <x:c r="A547" s="37" t="str">
        <x:v>DEP-0546</x:v>
      </x:c>
      <x:c r="B547" s="37" t="str">
        <x:v>CNT-024</x:v>
      </x:c>
      <x:c r="C547" s="37" t="str">
        <x:v>CNT-017</x:v>
      </x:c>
      <x:c r="D547" s="37" t="str">
        <x:v>완료 후 시작</x:v>
      </x:c>
      <x:c r="E547" s="37" t="str">
        <x:v>레벨·게임 디자인</x:v>
      </x:c>
      <x:c r="F547" s="37" t="str">
        <x:v>미정</x:v>
      </x:c>
      <x:c r="G547" s="37" t="str">
        <x:v>미착수</x:v>
      </x:c>
      <x:c r="H547" s="40" t="str">
        <x:v>미정</x:v>
      </x:c>
      <x:c r="I547" s="37"/>
      <x:c r="J547" s="37" t="str">
        <x:v>부문 내</x:v>
      </x:c>
    </x:row>
    <x:row r="548" ht="42" customHeight="1">
      <x:c r="A548" s="37" t="str">
        <x:v>DEP-0547</x:v>
      </x:c>
      <x:c r="B548" s="37" t="str">
        <x:v>CNT-024</x:v>
      </x:c>
      <x:c r="C548" s="37" t="str">
        <x:v>CNT-020</x:v>
      </x:c>
      <x:c r="D548" s="37" t="str">
        <x:v>완료 후 시작</x:v>
      </x:c>
      <x:c r="E548" s="37" t="str">
        <x:v>레벨·게임 디자인</x:v>
      </x:c>
      <x:c r="F548" s="37" t="str">
        <x:v>미정</x:v>
      </x:c>
      <x:c r="G548" s="37" t="str">
        <x:v>미착수</x:v>
      </x:c>
      <x:c r="H548" s="40" t="str">
        <x:v>미정</x:v>
      </x:c>
      <x:c r="I548" s="37"/>
      <x:c r="J548" s="37" t="str">
        <x:v>부문 내</x:v>
      </x:c>
    </x:row>
    <x:row r="549" ht="42" customHeight="1">
      <x:c r="A549" s="37" t="str">
        <x:v>DEP-0548</x:v>
      </x:c>
      <x:c r="B549" s="37" t="str">
        <x:v>CNT-024</x:v>
      </x:c>
      <x:c r="C549" s="37" t="str">
        <x:v>CNT-021</x:v>
      </x:c>
      <x:c r="D549" s="37" t="str">
        <x:v>완료 후 시작</x:v>
      </x:c>
      <x:c r="E549" s="37" t="str">
        <x:v>레벨·게임 디자인</x:v>
      </x:c>
      <x:c r="F549" s="37" t="str">
        <x:v>미정</x:v>
      </x:c>
      <x:c r="G549" s="37" t="str">
        <x:v>미착수</x:v>
      </x:c>
      <x:c r="H549" s="40" t="str">
        <x:v>미정</x:v>
      </x:c>
      <x:c r="I549" s="37"/>
      <x:c r="J549" s="37" t="str">
        <x:v>부문 내</x:v>
      </x:c>
    </x:row>
    <x:row r="550" ht="42" customHeight="1">
      <x:c r="A550" s="37" t="str">
        <x:v>DEP-0549</x:v>
      </x:c>
      <x:c r="B550" s="37" t="str">
        <x:v>CNT-025</x:v>
      </x:c>
      <x:c r="C550" s="37" t="str">
        <x:v>CNT-017</x:v>
      </x:c>
      <x:c r="D550" s="37" t="str">
        <x:v>완료 후 시작</x:v>
      </x:c>
      <x:c r="E550" s="37" t="str">
        <x:v>레벨·게임 디자인</x:v>
      </x:c>
      <x:c r="F550" s="37" t="str">
        <x:v>미정</x:v>
      </x:c>
      <x:c r="G550" s="37" t="str">
        <x:v>미착수</x:v>
      </x:c>
      <x:c r="H550" s="40" t="str">
        <x:v>미정</x:v>
      </x:c>
      <x:c r="I550" s="37"/>
      <x:c r="J550" s="37" t="str">
        <x:v>부문 내</x:v>
      </x:c>
    </x:row>
    <x:row r="551" ht="42" customHeight="1">
      <x:c r="A551" s="37" t="str">
        <x:v>DEP-0550</x:v>
      </x:c>
      <x:c r="B551" s="37" t="str">
        <x:v>CNT-025</x:v>
      </x:c>
      <x:c r="C551" s="37" t="str">
        <x:v>CNT-020</x:v>
      </x:c>
      <x:c r="D551" s="37" t="str">
        <x:v>완료 후 시작</x:v>
      </x:c>
      <x:c r="E551" s="37" t="str">
        <x:v>레벨·게임 디자인</x:v>
      </x:c>
      <x:c r="F551" s="37" t="str">
        <x:v>미정</x:v>
      </x:c>
      <x:c r="G551" s="37" t="str">
        <x:v>미착수</x:v>
      </x:c>
      <x:c r="H551" s="40" t="str">
        <x:v>미정</x:v>
      </x:c>
      <x:c r="I551" s="37"/>
      <x:c r="J551" s="37" t="str">
        <x:v>부문 내</x:v>
      </x:c>
    </x:row>
    <x:row r="552" ht="42" customHeight="1">
      <x:c r="A552" s="37" t="str">
        <x:v>DEP-0551</x:v>
      </x:c>
      <x:c r="B552" s="37" t="str">
        <x:v>CNT-025</x:v>
      </x:c>
      <x:c r="C552" s="37" t="str">
        <x:v>CNT-021</x:v>
      </x:c>
      <x:c r="D552" s="37" t="str">
        <x:v>완료 후 시작</x:v>
      </x:c>
      <x:c r="E552" s="37" t="str">
        <x:v>레벨·게임 디자인</x:v>
      </x:c>
      <x:c r="F552" s="37" t="str">
        <x:v>미정</x:v>
      </x:c>
      <x:c r="G552" s="37" t="str">
        <x:v>미착수</x:v>
      </x:c>
      <x:c r="H552" s="40" t="str">
        <x:v>미정</x:v>
      </x:c>
      <x:c r="I552" s="37"/>
      <x:c r="J552" s="37" t="str">
        <x:v>부문 내</x:v>
      </x:c>
    </x:row>
    <x:row r="553" ht="42" customHeight="1">
      <x:c r="A553" s="37" t="str">
        <x:v>DEP-0552</x:v>
      </x:c>
      <x:c r="B553" s="37" t="str">
        <x:v>CNT-025</x:v>
      </x:c>
      <x:c r="C553" s="37" t="str">
        <x:v>SET-024</x:v>
      </x:c>
      <x:c r="D553" s="37" t="str">
        <x:v>인터페이스·협업</x:v>
      </x:c>
      <x:c r="E553" s="37" t="str">
        <x:v>레벨·게임 디자인</x:v>
      </x:c>
      <x:c r="F553" s="37" t="str">
        <x:v>미정</x:v>
      </x:c>
      <x:c r="G553" s="37" t="str">
        <x:v>미착수</x:v>
      </x:c>
      <x:c r="H553" s="40" t="str">
        <x:v>미정</x:v>
      </x:c>
      <x:c r="I553" s="37"/>
      <x:c r="J553" s="37" t="str">
        <x:v>부문 간</x:v>
      </x:c>
    </x:row>
    <x:row r="554" ht="42" customHeight="1">
      <x:c r="A554" s="37" t="str">
        <x:v>DEP-0553</x:v>
      </x:c>
      <x:c r="B554" s="37" t="str">
        <x:v>CNT-026</x:v>
      </x:c>
      <x:c r="C554" s="37" t="str">
        <x:v>CNT-023</x:v>
      </x:c>
      <x:c r="D554" s="37" t="str">
        <x:v>완료 후 시작</x:v>
      </x:c>
      <x:c r="E554" s="37" t="str">
        <x:v>레벨·게임 디자인</x:v>
      </x:c>
      <x:c r="F554" s="37" t="str">
        <x:v>미정</x:v>
      </x:c>
      <x:c r="G554" s="37" t="str">
        <x:v>미착수</x:v>
      </x:c>
      <x:c r="H554" s="40" t="str">
        <x:v>미정</x:v>
      </x:c>
      <x:c r="I554" s="37"/>
      <x:c r="J554" s="37" t="str">
        <x:v>부문 내</x:v>
      </x:c>
    </x:row>
    <x:row r="555" ht="42" customHeight="1">
      <x:c r="A555" s="37" t="str">
        <x:v>DEP-0554</x:v>
      </x:c>
      <x:c r="B555" s="37" t="str">
        <x:v>CNT-026</x:v>
      </x:c>
      <x:c r="C555" s="37" t="str">
        <x:v>CNT-024</x:v>
      </x:c>
      <x:c r="D555" s="37" t="str">
        <x:v>완료 후 시작</x:v>
      </x:c>
      <x:c r="E555" s="37" t="str">
        <x:v>레벨·게임 디자인</x:v>
      </x:c>
      <x:c r="F555" s="37" t="str">
        <x:v>미정</x:v>
      </x:c>
      <x:c r="G555" s="37" t="str">
        <x:v>미착수</x:v>
      </x:c>
      <x:c r="H555" s="40" t="str">
        <x:v>미정</x:v>
      </x:c>
      <x:c r="I555" s="37"/>
      <x:c r="J555" s="37" t="str">
        <x:v>부문 내</x:v>
      </x:c>
    </x:row>
    <x:row r="556" ht="42" customHeight="1">
      <x:c r="A556" s="37" t="str">
        <x:v>DEP-0555</x:v>
      </x:c>
      <x:c r="B556" s="37" t="str">
        <x:v>CNT-026</x:v>
      </x:c>
      <x:c r="C556" s="37" t="str">
        <x:v>CNT-025</x:v>
      </x:c>
      <x:c r="D556" s="37" t="str">
        <x:v>완료 후 시작</x:v>
      </x:c>
      <x:c r="E556" s="37" t="str">
        <x:v>레벨·게임 디자인</x:v>
      </x:c>
      <x:c r="F556" s="37" t="str">
        <x:v>미정</x:v>
      </x:c>
      <x:c r="G556" s="37" t="str">
        <x:v>미착수</x:v>
      </x:c>
      <x:c r="H556" s="40" t="str">
        <x:v>미정</x:v>
      </x:c>
      <x:c r="I556" s="37"/>
      <x:c r="J556" s="37" t="str">
        <x:v>부문 내</x:v>
      </x:c>
    </x:row>
    <x:row r="557" ht="42" customHeight="1">
      <x:c r="A557" s="37" t="str">
        <x:v>DEP-0556</x:v>
      </x:c>
      <x:c r="B557" s="37" t="str">
        <x:v>CNT-026</x:v>
      </x:c>
      <x:c r="C557" s="37" t="str">
        <x:v>BED-008</x:v>
      </x:c>
      <x:c r="D557" s="37" t="str">
        <x:v>인터페이스·협업</x:v>
      </x:c>
      <x:c r="E557" s="37" t="str">
        <x:v>레벨·게임 디자인</x:v>
      </x:c>
      <x:c r="F557" s="37" t="str">
        <x:v>미정</x:v>
      </x:c>
      <x:c r="G557" s="37" t="str">
        <x:v>미착수</x:v>
      </x:c>
      <x:c r="H557" s="40" t="str">
        <x:v>미정</x:v>
      </x:c>
      <x:c r="I557" s="37"/>
      <x:c r="J557" s="37" t="str">
        <x:v>부문 간</x:v>
      </x:c>
    </x:row>
    <x:row r="558" ht="42" customHeight="1">
      <x:c r="A558" s="37" t="str">
        <x:v>DEP-0557</x:v>
      </x:c>
      <x:c r="B558" s="37" t="str">
        <x:v>CNT-027</x:v>
      </x:c>
      <x:c r="C558" s="37" t="str">
        <x:v>CNT-009</x:v>
      </x:c>
      <x:c r="D558" s="37" t="str">
        <x:v>완료 후 시작</x:v>
      </x:c>
      <x:c r="E558" s="37" t="str">
        <x:v>레벨·게임 디자인</x:v>
      </x:c>
      <x:c r="F558" s="37" t="str">
        <x:v>미정</x:v>
      </x:c>
      <x:c r="G558" s="37" t="str">
        <x:v>미착수</x:v>
      </x:c>
      <x:c r="H558" s="40" t="str">
        <x:v>미정</x:v>
      </x:c>
      <x:c r="I558" s="37"/>
      <x:c r="J558" s="37" t="str">
        <x:v>부문 내</x:v>
      </x:c>
    </x:row>
    <x:row r="559" ht="42" customHeight="1">
      <x:c r="A559" s="37" t="str">
        <x:v>DEP-0558</x:v>
      </x:c>
      <x:c r="B559" s="37" t="str">
        <x:v>CNT-027</x:v>
      </x:c>
      <x:c r="C559" s="37" t="str">
        <x:v>CNT-016</x:v>
      </x:c>
      <x:c r="D559" s="37" t="str">
        <x:v>완료 후 시작</x:v>
      </x:c>
      <x:c r="E559" s="37" t="str">
        <x:v>레벨·게임 디자인</x:v>
      </x:c>
      <x:c r="F559" s="37" t="str">
        <x:v>미정</x:v>
      </x:c>
      <x:c r="G559" s="37" t="str">
        <x:v>미착수</x:v>
      </x:c>
      <x:c r="H559" s="40" t="str">
        <x:v>미정</x:v>
      </x:c>
      <x:c r="I559" s="37"/>
      <x:c r="J559" s="37" t="str">
        <x:v>부문 내</x:v>
      </x:c>
    </x:row>
    <x:row r="560" ht="42" customHeight="1">
      <x:c r="A560" s="37" t="str">
        <x:v>DEP-0559</x:v>
      </x:c>
      <x:c r="B560" s="37" t="str">
        <x:v>CNT-027</x:v>
      </x:c>
      <x:c r="C560" s="37" t="str">
        <x:v>CNT-026</x:v>
      </x:c>
      <x:c r="D560" s="37" t="str">
        <x:v>완료 후 시작</x:v>
      </x:c>
      <x:c r="E560" s="37" t="str">
        <x:v>레벨·게임 디자인</x:v>
      </x:c>
      <x:c r="F560" s="37" t="str">
        <x:v>미정</x:v>
      </x:c>
      <x:c r="G560" s="37" t="str">
        <x:v>미착수</x:v>
      </x:c>
      <x:c r="H560" s="40" t="str">
        <x:v>미정</x:v>
      </x:c>
      <x:c r="I560" s="37"/>
      <x:c r="J560" s="37" t="str">
        <x:v>부문 내</x:v>
      </x:c>
    </x:row>
    <x:row r="561" ht="42" customHeight="1">
      <x:c r="A561" s="37" t="str">
        <x:v>DEP-0560</x:v>
      </x:c>
      <x:c r="B561" s="37" t="str">
        <x:v>CNT-028</x:v>
      </x:c>
      <x:c r="C561" s="37" t="str">
        <x:v>CNT-016</x:v>
      </x:c>
      <x:c r="D561" s="37" t="str">
        <x:v>완료 후 시작</x:v>
      </x:c>
      <x:c r="E561" s="37" t="str">
        <x:v>레벨·게임 디자인</x:v>
      </x:c>
      <x:c r="F561" s="37" t="str">
        <x:v>미정</x:v>
      </x:c>
      <x:c r="G561" s="37" t="str">
        <x:v>미착수</x:v>
      </x:c>
      <x:c r="H561" s="40" t="str">
        <x:v>미정</x:v>
      </x:c>
      <x:c r="I561" s="37"/>
      <x:c r="J561" s="37" t="str">
        <x:v>부문 내</x:v>
      </x:c>
    </x:row>
    <x:row r="562" ht="42" customHeight="1">
      <x:c r="A562" s="37" t="str">
        <x:v>DEP-0561</x:v>
      </x:c>
      <x:c r="B562" s="37" t="str">
        <x:v>CNT-028</x:v>
      </x:c>
      <x:c r="C562" s="37" t="str">
        <x:v>ONL-015</x:v>
      </x:c>
      <x:c r="D562" s="37" t="str">
        <x:v>인터페이스·협업</x:v>
      </x:c>
      <x:c r="E562" s="37" t="str">
        <x:v>레벨·게임 디자인</x:v>
      </x:c>
      <x:c r="F562" s="37" t="str">
        <x:v>미정</x:v>
      </x:c>
      <x:c r="G562" s="37" t="str">
        <x:v>미착수</x:v>
      </x:c>
      <x:c r="H562" s="40" t="str">
        <x:v>미정</x:v>
      </x:c>
      <x:c r="I562" s="37"/>
      <x:c r="J562" s="37" t="str">
        <x:v>부문 간</x:v>
      </x:c>
    </x:row>
    <x:row r="563" ht="42" customHeight="1">
      <x:c r="A563" s="37" t="str">
        <x:v>DEP-0562</x:v>
      </x:c>
      <x:c r="B563" s="37" t="str">
        <x:v>CNT-029</x:v>
      </x:c>
      <x:c r="C563" s="37" t="str">
        <x:v>CNT-002</x:v>
      </x:c>
      <x:c r="D563" s="37" t="str">
        <x:v>완료 후 시작</x:v>
      </x:c>
      <x:c r="E563" s="37" t="str">
        <x:v>레벨·게임 디자인</x:v>
      </x:c>
      <x:c r="F563" s="37" t="str">
        <x:v>미정</x:v>
      </x:c>
      <x:c r="G563" s="37" t="str">
        <x:v>미착수</x:v>
      </x:c>
      <x:c r="H563" s="40" t="str">
        <x:v>미정</x:v>
      </x:c>
      <x:c r="I563" s="37"/>
      <x:c r="J563" s="37" t="str">
        <x:v>부문 내</x:v>
      </x:c>
    </x:row>
    <x:row r="564" ht="42" customHeight="1">
      <x:c r="A564" s="37" t="str">
        <x:v>DEP-0563</x:v>
      </x:c>
      <x:c r="B564" s="37" t="str">
        <x:v>CNT-029</x:v>
      </x:c>
      <x:c r="C564" s="37" t="str">
        <x:v>IGM-034</x:v>
      </x:c>
      <x:c r="D564" s="37" t="str">
        <x:v>인터페이스·협업</x:v>
      </x:c>
      <x:c r="E564" s="37" t="str">
        <x:v>레벨·게임 디자인</x:v>
      </x:c>
      <x:c r="F564" s="37" t="str">
        <x:v>미정</x:v>
      </x:c>
      <x:c r="G564" s="37" t="str">
        <x:v>미착수</x:v>
      </x:c>
      <x:c r="H564" s="40" t="str">
        <x:v>미정</x:v>
      </x:c>
      <x:c r="I564" s="37"/>
      <x:c r="J564" s="37" t="str">
        <x:v>부문 간</x:v>
      </x:c>
    </x:row>
    <x:row r="565" ht="42" customHeight="1">
      <x:c r="A565" s="37" t="str">
        <x:v>DEP-0564</x:v>
      </x:c>
      <x:c r="B565" s="37" t="str">
        <x:v>CNT-029</x:v>
      </x:c>
      <x:c r="C565" s="37" t="str">
        <x:v>UIX-030</x:v>
      </x:c>
      <x:c r="D565" s="37" t="str">
        <x:v>인터페이스·협업</x:v>
      </x:c>
      <x:c r="E565" s="37" t="str">
        <x:v>레벨·게임 디자인</x:v>
      </x:c>
      <x:c r="F565" s="37" t="str">
        <x:v>미정</x:v>
      </x:c>
      <x:c r="G565" s="37" t="str">
        <x:v>미착수</x:v>
      </x:c>
      <x:c r="H565" s="40" t="str">
        <x:v>미정</x:v>
      </x:c>
      <x:c r="I565" s="37"/>
      <x:c r="J565" s="37" t="str">
        <x:v>부문 간</x:v>
      </x:c>
    </x:row>
    <x:row r="566" ht="42" customHeight="1">
      <x:c r="A566" s="37" t="str">
        <x:v>DEP-0565</x:v>
      </x:c>
      <x:c r="B566" s="37" t="str">
        <x:v>CNT-030</x:v>
      </x:c>
      <x:c r="C566" s="37" t="str">
        <x:v>CNT-017</x:v>
      </x:c>
      <x:c r="D566" s="37" t="str">
        <x:v>완료 후 시작</x:v>
      </x:c>
      <x:c r="E566" s="37" t="str">
        <x:v>레벨·게임 디자인</x:v>
      </x:c>
      <x:c r="F566" s="37" t="str">
        <x:v>미정</x:v>
      </x:c>
      <x:c r="G566" s="37" t="str">
        <x:v>미착수</x:v>
      </x:c>
      <x:c r="H566" s="40" t="str">
        <x:v>미정</x:v>
      </x:c>
      <x:c r="I566" s="37"/>
      <x:c r="J566" s="37" t="str">
        <x:v>부문 내</x:v>
      </x:c>
    </x:row>
    <x:row r="567" ht="42" customHeight="1">
      <x:c r="A567" s="37" t="str">
        <x:v>DEP-0566</x:v>
      </x:c>
      <x:c r="B567" s="37" t="str">
        <x:v>CNT-030</x:v>
      </x:c>
      <x:c r="C567" s="37" t="str">
        <x:v>CNT-020</x:v>
      </x:c>
      <x:c r="D567" s="37" t="str">
        <x:v>완료 후 시작</x:v>
      </x:c>
      <x:c r="E567" s="37" t="str">
        <x:v>레벨·게임 디자인</x:v>
      </x:c>
      <x:c r="F567" s="37" t="str">
        <x:v>미정</x:v>
      </x:c>
      <x:c r="G567" s="37" t="str">
        <x:v>미착수</x:v>
      </x:c>
      <x:c r="H567" s="40" t="str">
        <x:v>미정</x:v>
      </x:c>
      <x:c r="I567" s="37"/>
      <x:c r="J567" s="37" t="str">
        <x:v>부문 내</x:v>
      </x:c>
    </x:row>
    <x:row r="568" ht="42" customHeight="1">
      <x:c r="A568" s="37" t="str">
        <x:v>DEP-0567</x:v>
      </x:c>
      <x:c r="B568" s="37" t="str">
        <x:v>CNT-030</x:v>
      </x:c>
      <x:c r="C568" s="37" t="str">
        <x:v>IGM-036</x:v>
      </x:c>
      <x:c r="D568" s="37" t="str">
        <x:v>인터페이스·협업</x:v>
      </x:c>
      <x:c r="E568" s="37" t="str">
        <x:v>레벨·게임 디자인</x:v>
      </x:c>
      <x:c r="F568" s="37" t="str">
        <x:v>미정</x:v>
      </x:c>
      <x:c r="G568" s="37" t="str">
        <x:v>미착수</x:v>
      </x:c>
      <x:c r="H568" s="40" t="str">
        <x:v>미정</x:v>
      </x:c>
      <x:c r="I568" s="37"/>
      <x:c r="J568" s="37" t="str">
        <x:v>부문 간</x:v>
      </x:c>
    </x:row>
    <x:row r="569" ht="42" customHeight="1">
      <x:c r="A569" s="37" t="str">
        <x:v>DEP-0568</x:v>
      </x:c>
      <x:c r="B569" s="37" t="str">
        <x:v>CNT-031</x:v>
      </x:c>
      <x:c r="C569" s="37" t="str">
        <x:v>CNT-020</x:v>
      </x:c>
      <x:c r="D569" s="37" t="str">
        <x:v>완료 후 시작</x:v>
      </x:c>
      <x:c r="E569" s="37" t="str">
        <x:v>레벨·게임 디자인</x:v>
      </x:c>
      <x:c r="F569" s="37" t="str">
        <x:v>미정</x:v>
      </x:c>
      <x:c r="G569" s="37" t="str">
        <x:v>미착수</x:v>
      </x:c>
      <x:c r="H569" s="40" t="str">
        <x:v>미정</x:v>
      </x:c>
      <x:c r="I569" s="37"/>
      <x:c r="J569" s="37" t="str">
        <x:v>부문 내</x:v>
      </x:c>
    </x:row>
    <x:row r="570" ht="42" customHeight="1">
      <x:c r="A570" s="37" t="str">
        <x:v>DEP-0569</x:v>
      </x:c>
      <x:c r="B570" s="37" t="str">
        <x:v>CNT-031</x:v>
      </x:c>
      <x:c r="C570" s="37" t="str">
        <x:v>BED-008</x:v>
      </x:c>
      <x:c r="D570" s="37" t="str">
        <x:v>인터페이스·협업</x:v>
      </x:c>
      <x:c r="E570" s="37" t="str">
        <x:v>레벨·게임 디자인</x:v>
      </x:c>
      <x:c r="F570" s="37" t="str">
        <x:v>미정</x:v>
      </x:c>
      <x:c r="G570" s="37" t="str">
        <x:v>미착수</x:v>
      </x:c>
      <x:c r="H570" s="40" t="str">
        <x:v>미정</x:v>
      </x:c>
      <x:c r="I570" s="37"/>
      <x:c r="J570" s="37" t="str">
        <x:v>부문 간</x:v>
      </x:c>
    </x:row>
    <x:row r="571" ht="42" customHeight="1">
      <x:c r="A571" s="37" t="str">
        <x:v>DEP-0570</x:v>
      </x:c>
      <x:c r="B571" s="37" t="str">
        <x:v>CNT-032</x:v>
      </x:c>
      <x:c r="C571" s="37" t="str">
        <x:v>CNT-016</x:v>
      </x:c>
      <x:c r="D571" s="37" t="str">
        <x:v>완료 후 시작</x:v>
      </x:c>
      <x:c r="E571" s="37" t="str">
        <x:v>레벨·게임 디자인</x:v>
      </x:c>
      <x:c r="F571" s="37" t="str">
        <x:v>미정</x:v>
      </x:c>
      <x:c r="G571" s="37" t="str">
        <x:v>미착수</x:v>
      </x:c>
      <x:c r="H571" s="40" t="str">
        <x:v>미정</x:v>
      </x:c>
      <x:c r="I571" s="37"/>
      <x:c r="J571" s="37" t="str">
        <x:v>부문 내</x:v>
      </x:c>
    </x:row>
    <x:row r="572" ht="42" customHeight="1">
      <x:c r="A572" s="37" t="str">
        <x:v>DEP-0571</x:v>
      </x:c>
      <x:c r="B572" s="37" t="str">
        <x:v>CNT-032</x:v>
      </x:c>
      <x:c r="C572" s="37" t="str">
        <x:v>SET-004</x:v>
      </x:c>
      <x:c r="D572" s="37" t="str">
        <x:v>인터페이스·협업</x:v>
      </x:c>
      <x:c r="E572" s="37" t="str">
        <x:v>레벨·게임 디자인</x:v>
      </x:c>
      <x:c r="F572" s="37" t="str">
        <x:v>미정</x:v>
      </x:c>
      <x:c r="G572" s="37" t="str">
        <x:v>미착수</x:v>
      </x:c>
      <x:c r="H572" s="40" t="str">
        <x:v>미정</x:v>
      </x:c>
      <x:c r="I572" s="37"/>
      <x:c r="J572" s="37" t="str">
        <x:v>부문 간</x:v>
      </x:c>
    </x:row>
    <x:row r="573" ht="42" customHeight="1">
      <x:c r="A573" s="37" t="str">
        <x:v>DEP-0572</x:v>
      </x:c>
      <x:c r="B573" s="37" t="str">
        <x:v>CNT-033</x:v>
      </x:c>
      <x:c r="C573" s="37" t="str">
        <x:v>UIX-027</x:v>
      </x:c>
      <x:c r="D573" s="37" t="str">
        <x:v>인터페이스·협업</x:v>
      </x:c>
      <x:c r="E573" s="37" t="str">
        <x:v>레벨·게임 디자인</x:v>
      </x:c>
      <x:c r="F573" s="37" t="str">
        <x:v>미정</x:v>
      </x:c>
      <x:c r="G573" s="37" t="str">
        <x:v>미착수</x:v>
      </x:c>
      <x:c r="H573" s="40" t="str">
        <x:v>미정</x:v>
      </x:c>
      <x:c r="I573" s="37"/>
      <x:c r="J573" s="37" t="str">
        <x:v>부문 간</x:v>
      </x:c>
    </x:row>
    <x:row r="574" ht="42" customHeight="1">
      <x:c r="A574" s="37" t="str">
        <x:v>DEP-0573</x:v>
      </x:c>
      <x:c r="B574" s="37" t="str">
        <x:v>CNT-033</x:v>
      </x:c>
      <x:c r="C574" s="37" t="str">
        <x:v>IGM-012</x:v>
      </x:c>
      <x:c r="D574" s="37" t="str">
        <x:v>인터페이스·협업</x:v>
      </x:c>
      <x:c r="E574" s="37" t="str">
        <x:v>레벨·게임 디자인</x:v>
      </x:c>
      <x:c r="F574" s="37" t="str">
        <x:v>미정</x:v>
      </x:c>
      <x:c r="G574" s="37" t="str">
        <x:v>미착수</x:v>
      </x:c>
      <x:c r="H574" s="40" t="str">
        <x:v>미정</x:v>
      </x:c>
      <x:c r="I574" s="37"/>
      <x:c r="J574" s="37" t="str">
        <x:v>부문 간</x:v>
      </x:c>
    </x:row>
    <x:row r="575" ht="42" customHeight="1">
      <x:c r="A575" s="37" t="str">
        <x:v>DEP-0574</x:v>
      </x:c>
      <x:c r="B575" s="37" t="str">
        <x:v>CNT-033</x:v>
      </x:c>
      <x:c r="C575" s="37" t="str">
        <x:v>IGM-016</x:v>
      </x:c>
      <x:c r="D575" s="37" t="str">
        <x:v>인터페이스·협업</x:v>
      </x:c>
      <x:c r="E575" s="37" t="str">
        <x:v>레벨·게임 디자인</x:v>
      </x:c>
      <x:c r="F575" s="37" t="str">
        <x:v>미정</x:v>
      </x:c>
      <x:c r="G575" s="37" t="str">
        <x:v>미착수</x:v>
      </x:c>
      <x:c r="H575" s="40" t="str">
        <x:v>미정</x:v>
      </x:c>
      <x:c r="I575" s="37"/>
      <x:c r="J575" s="37" t="str">
        <x:v>부문 간</x:v>
      </x:c>
    </x:row>
    <x:row r="576" ht="42" customHeight="1">
      <x:c r="A576" s="37" t="str">
        <x:v>DEP-0575</x:v>
      </x:c>
      <x:c r="B576" s="37" t="str">
        <x:v>CNT-033</x:v>
      </x:c>
      <x:c r="C576" s="37" t="str">
        <x:v>CNT-023</x:v>
      </x:c>
      <x:c r="D576" s="37" t="str">
        <x:v>완료 후 시작</x:v>
      </x:c>
      <x:c r="E576" s="37" t="str">
        <x:v>레벨·게임 디자인</x:v>
      </x:c>
      <x:c r="F576" s="37" t="str">
        <x:v>미정</x:v>
      </x:c>
      <x:c r="G576" s="37" t="str">
        <x:v>미착수</x:v>
      </x:c>
      <x:c r="H576" s="40" t="str">
        <x:v>미정</x:v>
      </x:c>
      <x:c r="I576" s="37"/>
      <x:c r="J576" s="37" t="str">
        <x:v>부문 내</x:v>
      </x:c>
    </x:row>
    <x:row r="577" ht="42" customHeight="1">
      <x:c r="A577" s="37" t="str">
        <x:v>DEP-0576</x:v>
      </x:c>
      <x:c r="B577" s="37" t="str">
        <x:v>CNT-034</x:v>
      </x:c>
      <x:c r="C577" s="37" t="str">
        <x:v>CNT-011</x:v>
      </x:c>
      <x:c r="D577" s="37" t="str">
        <x:v>완료 후 시작</x:v>
      </x:c>
      <x:c r="E577" s="37" t="str">
        <x:v>레벨·게임 디자인</x:v>
      </x:c>
      <x:c r="F577" s="37" t="str">
        <x:v>미정</x:v>
      </x:c>
      <x:c r="G577" s="37" t="str">
        <x:v>미착수</x:v>
      </x:c>
      <x:c r="H577" s="40" t="str">
        <x:v>미정</x:v>
      </x:c>
      <x:c r="I577" s="37"/>
      <x:c r="J577" s="37" t="str">
        <x:v>부문 내</x:v>
      </x:c>
    </x:row>
    <x:row r="578" ht="42" customHeight="1">
      <x:c r="A578" s="37" t="str">
        <x:v>DEP-0577</x:v>
      </x:c>
      <x:c r="B578" s="37" t="str">
        <x:v>CNT-034</x:v>
      </x:c>
      <x:c r="C578" s="37" t="str">
        <x:v>CNT-021</x:v>
      </x:c>
      <x:c r="D578" s="37" t="str">
        <x:v>완료 후 시작</x:v>
      </x:c>
      <x:c r="E578" s="37" t="str">
        <x:v>레벨·게임 디자인</x:v>
      </x:c>
      <x:c r="F578" s="37" t="str">
        <x:v>미정</x:v>
      </x:c>
      <x:c r="G578" s="37" t="str">
        <x:v>미착수</x:v>
      </x:c>
      <x:c r="H578" s="40" t="str">
        <x:v>미정</x:v>
      </x:c>
      <x:c r="I578" s="37"/>
      <x:c r="J578" s="37" t="str">
        <x:v>부문 내</x:v>
      </x:c>
    </x:row>
    <x:row r="579" ht="42" customHeight="1">
      <x:c r="A579" s="37" t="str">
        <x:v>DEP-0578</x:v>
      </x:c>
      <x:c r="B579" s="37" t="str">
        <x:v>CNT-034</x:v>
      </x:c>
      <x:c r="C579" s="37" t="str">
        <x:v>CNT-025</x:v>
      </x:c>
      <x:c r="D579" s="37" t="str">
        <x:v>완료 후 시작</x:v>
      </x:c>
      <x:c r="E579" s="37" t="str">
        <x:v>레벨·게임 디자인</x:v>
      </x:c>
      <x:c r="F579" s="37" t="str">
        <x:v>미정</x:v>
      </x:c>
      <x:c r="G579" s="37" t="str">
        <x:v>미착수</x:v>
      </x:c>
      <x:c r="H579" s="40" t="str">
        <x:v>미정</x:v>
      </x:c>
      <x:c r="I579" s="37"/>
      <x:c r="J579" s="37" t="str">
        <x:v>부문 내</x:v>
      </x:c>
    </x:row>
    <x:row r="580" ht="42" customHeight="1">
      <x:c r="A580" s="37" t="str">
        <x:v>DEP-0579</x:v>
      </x:c>
      <x:c r="B580" s="37" t="str">
        <x:v>CNT-034</x:v>
      </x:c>
      <x:c r="C580" s="37" t="str">
        <x:v>SET-023</x:v>
      </x:c>
      <x:c r="D580" s="37" t="str">
        <x:v>인터페이스·협업</x:v>
      </x:c>
      <x:c r="E580" s="37" t="str">
        <x:v>레벨·게임 디자인</x:v>
      </x:c>
      <x:c r="F580" s="37" t="str">
        <x:v>미정</x:v>
      </x:c>
      <x:c r="G580" s="37" t="str">
        <x:v>미착수</x:v>
      </x:c>
      <x:c r="H580" s="40" t="str">
        <x:v>미정</x:v>
      </x:c>
      <x:c r="I580" s="37"/>
      <x:c r="J580" s="37" t="str">
        <x:v>부문 간</x:v>
      </x:c>
    </x:row>
    <x:row r="581" ht="42" customHeight="1">
      <x:c r="A581" s="37" t="str">
        <x:v>DEP-0580</x:v>
      </x:c>
      <x:c r="B581" s="37" t="str">
        <x:v>CNT-034</x:v>
      </x:c>
      <x:c r="C581" s="37" t="str">
        <x:v>SET-024</x:v>
      </x:c>
      <x:c r="D581" s="37" t="str">
        <x:v>인터페이스·협업</x:v>
      </x:c>
      <x:c r="E581" s="37" t="str">
        <x:v>레벨·게임 디자인</x:v>
      </x:c>
      <x:c r="F581" s="37" t="str">
        <x:v>미정</x:v>
      </x:c>
      <x:c r="G581" s="37" t="str">
        <x:v>미착수</x:v>
      </x:c>
      <x:c r="H581" s="40" t="str">
        <x:v>미정</x:v>
      </x:c>
      <x:c r="I581" s="37"/>
      <x:c r="J581" s="37" t="str">
        <x:v>부문 간</x:v>
      </x:c>
    </x:row>
    <x:row r="582" ht="42" customHeight="1">
      <x:c r="A582" s="37" t="str">
        <x:v>DEP-0581</x:v>
      </x:c>
      <x:c r="B582" s="37" t="str">
        <x:v>CNT-034</x:v>
      </x:c>
      <x:c r="C582" s="37" t="str">
        <x:v>SET-025</x:v>
      </x:c>
      <x:c r="D582" s="37" t="str">
        <x:v>인터페이스·협업</x:v>
      </x:c>
      <x:c r="E582" s="37" t="str">
        <x:v>레벨·게임 디자인</x:v>
      </x:c>
      <x:c r="F582" s="37" t="str">
        <x:v>미정</x:v>
      </x:c>
      <x:c r="G582" s="37" t="str">
        <x:v>미착수</x:v>
      </x:c>
      <x:c r="H582" s="40" t="str">
        <x:v>미정</x:v>
      </x:c>
      <x:c r="I582" s="37"/>
      <x:c r="J582" s="37" t="str">
        <x:v>부문 간</x:v>
      </x:c>
    </x:row>
    <x:row r="583" ht="42" customHeight="1">
      <x:c r="A583" s="37" t="str">
        <x:v>DEP-0582</x:v>
      </x:c>
      <x:c r="B583" s="37" t="str">
        <x:v>CNT-035</x:v>
      </x:c>
      <x:c r="C583" s="37" t="str">
        <x:v>CNT-001</x:v>
      </x:c>
      <x:c r="D583" s="37" t="str">
        <x:v>완료 후 시작</x:v>
      </x:c>
      <x:c r="E583" s="37" t="str">
        <x:v>레벨·게임 디자인</x:v>
      </x:c>
      <x:c r="F583" s="37" t="str">
        <x:v>미정</x:v>
      </x:c>
      <x:c r="G583" s="37" t="str">
        <x:v>미착수</x:v>
      </x:c>
      <x:c r="H583" s="40" t="str">
        <x:v>미정</x:v>
      </x:c>
      <x:c r="I583" s="37"/>
      <x:c r="J583" s="37" t="str">
        <x:v>부문 내</x:v>
      </x:c>
    </x:row>
    <x:row r="584" ht="42" customHeight="1">
      <x:c r="A584" s="37" t="str">
        <x:v>DEP-0583</x:v>
      </x:c>
      <x:c r="B584" s="37" t="str">
        <x:v>CNT-035</x:v>
      </x:c>
      <x:c r="C584" s="37" t="str">
        <x:v>CNT-015</x:v>
      </x:c>
      <x:c r="D584" s="37" t="str">
        <x:v>완료 후 시작</x:v>
      </x:c>
      <x:c r="E584" s="37" t="str">
        <x:v>레벨·게임 디자인</x:v>
      </x:c>
      <x:c r="F584" s="37" t="str">
        <x:v>미정</x:v>
      </x:c>
      <x:c r="G584" s="37" t="str">
        <x:v>미착수</x:v>
      </x:c>
      <x:c r="H584" s="40" t="str">
        <x:v>미정</x:v>
      </x:c>
      <x:c r="I584" s="37"/>
      <x:c r="J584" s="37" t="str">
        <x:v>부문 내</x:v>
      </x:c>
    </x:row>
    <x:row r="585" ht="42" customHeight="1">
      <x:c r="A585" s="37" t="str">
        <x:v>DEP-0584</x:v>
      </x:c>
      <x:c r="B585" s="37" t="str">
        <x:v>CNT-035</x:v>
      </x:c>
      <x:c r="C585" s="37" t="str">
        <x:v>CNT-034</x:v>
      </x:c>
      <x:c r="D585" s="37" t="str">
        <x:v>완료 후 시작</x:v>
      </x:c>
      <x:c r="E585" s="37" t="str">
        <x:v>레벨·게임 디자인</x:v>
      </x:c>
      <x:c r="F585" s="37" t="str">
        <x:v>미정</x:v>
      </x:c>
      <x:c r="G585" s="37" t="str">
        <x:v>미착수</x:v>
      </x:c>
      <x:c r="H585" s="40" t="str">
        <x:v>미정</x:v>
      </x:c>
      <x:c r="I585" s="37"/>
      <x:c r="J585" s="37" t="str">
        <x:v>부문 내</x:v>
      </x:c>
    </x:row>
    <x:row r="586" ht="42" customHeight="1">
      <x:c r="A586" s="37" t="str">
        <x:v>DEP-0585</x:v>
      </x:c>
      <x:c r="B586" s="37" t="str">
        <x:v>QAR-002</x:v>
      </x:c>
      <x:c r="C586" s="37" t="str">
        <x:v>BED-028</x:v>
      </x:c>
      <x:c r="D586" s="37" t="str">
        <x:v>인터페이스·협업</x:v>
      </x:c>
      <x:c r="E586" s="37" t="str">
        <x:v>QA·릴리스 관리</x:v>
      </x:c>
      <x:c r="F586" s="37" t="str">
        <x:v>미정</x:v>
      </x:c>
      <x:c r="G586" s="37" t="str">
        <x:v>미착수</x:v>
      </x:c>
      <x:c r="H586" s="40" t="str">
        <x:v>미정</x:v>
      </x:c>
      <x:c r="I586" s="37"/>
      <x:c r="J586" s="37" t="str">
        <x:v>부문 간</x:v>
      </x:c>
    </x:row>
    <x:row r="587" ht="42" customHeight="1">
      <x:c r="A587" s="37" t="str">
        <x:v>DEP-0586</x:v>
      </x:c>
      <x:c r="B587" s="37" t="str">
        <x:v>QAR-003</x:v>
      </x:c>
      <x:c r="C587" s="37" t="str">
        <x:v>QAR-001</x:v>
      </x:c>
      <x:c r="D587" s="37" t="str">
        <x:v>완료 후 시작</x:v>
      </x:c>
      <x:c r="E587" s="37" t="str">
        <x:v>QA·릴리스 관리</x:v>
      </x:c>
      <x:c r="F587" s="37" t="str">
        <x:v>미정</x:v>
      </x:c>
      <x:c r="G587" s="37" t="str">
        <x:v>미착수</x:v>
      </x:c>
      <x:c r="H587" s="40" t="str">
        <x:v>미정</x:v>
      </x:c>
      <x:c r="I587" s="37"/>
      <x:c r="J587" s="37" t="str">
        <x:v>부문 내</x:v>
      </x:c>
    </x:row>
    <x:row r="588" ht="42" customHeight="1">
      <x:c r="A588" s="37" t="str">
        <x:v>DEP-0587</x:v>
      </x:c>
      <x:c r="B588" s="37" t="str">
        <x:v>QAR-004</x:v>
      </x:c>
      <x:c r="C588" s="37" t="str">
        <x:v>IGM-019</x:v>
      </x:c>
      <x:c r="D588" s="37" t="str">
        <x:v>인터페이스·협업</x:v>
      </x:c>
      <x:c r="E588" s="37" t="str">
        <x:v>QA·릴리스 관리</x:v>
      </x:c>
      <x:c r="F588" s="37" t="str">
        <x:v>미정</x:v>
      </x:c>
      <x:c r="G588" s="37" t="str">
        <x:v>미착수</x:v>
      </x:c>
      <x:c r="H588" s="40" t="str">
        <x:v>미정</x:v>
      </x:c>
      <x:c r="I588" s="37"/>
      <x:c r="J588" s="37" t="str">
        <x:v>부문 간</x:v>
      </x:c>
    </x:row>
    <x:row r="589" ht="42" customHeight="1">
      <x:c r="A589" s="37" t="str">
        <x:v>DEP-0588</x:v>
      </x:c>
      <x:c r="B589" s="37" t="str">
        <x:v>QAR-004</x:v>
      </x:c>
      <x:c r="C589" s="37" t="str">
        <x:v>IGM-014</x:v>
      </x:c>
      <x:c r="D589" s="37" t="str">
        <x:v>인터페이스·협업</x:v>
      </x:c>
      <x:c r="E589" s="37" t="str">
        <x:v>QA·릴리스 관리</x:v>
      </x:c>
      <x:c r="F589" s="37" t="str">
        <x:v>미정</x:v>
      </x:c>
      <x:c r="G589" s="37" t="str">
        <x:v>미착수</x:v>
      </x:c>
      <x:c r="H589" s="40" t="str">
        <x:v>미정</x:v>
      </x:c>
      <x:c r="I589" s="37"/>
      <x:c r="J589" s="37" t="str">
        <x:v>부문 간</x:v>
      </x:c>
    </x:row>
    <x:row r="590" ht="42" customHeight="1">
      <x:c r="A590" s="37" t="str">
        <x:v>DEP-0589</x:v>
      </x:c>
      <x:c r="B590" s="37" t="str">
        <x:v>QAR-004</x:v>
      </x:c>
      <x:c r="C590" s="37" t="str">
        <x:v>IGM-023</x:v>
      </x:c>
      <x:c r="D590" s="37" t="str">
        <x:v>인터페이스·협업</x:v>
      </x:c>
      <x:c r="E590" s="37" t="str">
        <x:v>QA·릴리스 관리</x:v>
      </x:c>
      <x:c r="F590" s="37" t="str">
        <x:v>미정</x:v>
      </x:c>
      <x:c r="G590" s="37" t="str">
        <x:v>미착수</x:v>
      </x:c>
      <x:c r="H590" s="40" t="str">
        <x:v>미정</x:v>
      </x:c>
      <x:c r="I590" s="37"/>
      <x:c r="J590" s="37" t="str">
        <x:v>부문 간</x:v>
      </x:c>
    </x:row>
    <x:row r="591" ht="42" customHeight="1">
      <x:c r="A591" s="37" t="str">
        <x:v>DEP-0590</x:v>
      </x:c>
      <x:c r="B591" s="37" t="str">
        <x:v>QAR-004</x:v>
      </x:c>
      <x:c r="C591" s="37" t="str">
        <x:v>IGM-031</x:v>
      </x:c>
      <x:c r="D591" s="37" t="str">
        <x:v>인터페이스·협업</x:v>
      </x:c>
      <x:c r="E591" s="37" t="str">
        <x:v>QA·릴리스 관리</x:v>
      </x:c>
      <x:c r="F591" s="37" t="str">
        <x:v>미정</x:v>
      </x:c>
      <x:c r="G591" s="37" t="str">
        <x:v>미착수</x:v>
      </x:c>
      <x:c r="H591" s="40" t="str">
        <x:v>미정</x:v>
      </x:c>
      <x:c r="I591" s="37"/>
      <x:c r="J591" s="37" t="str">
        <x:v>부문 간</x:v>
      </x:c>
    </x:row>
    <x:row r="592" ht="42" customHeight="1">
      <x:c r="A592" s="37" t="str">
        <x:v>DEP-0591</x:v>
      </x:c>
      <x:c r="B592" s="37" t="str">
        <x:v>QAR-005</x:v>
      </x:c>
      <x:c r="C592" s="37" t="str">
        <x:v>NET-012</x:v>
      </x:c>
      <x:c r="D592" s="37" t="str">
        <x:v>인터페이스·협업</x:v>
      </x:c>
      <x:c r="E592" s="37" t="str">
        <x:v>QA·릴리스 관리</x:v>
      </x:c>
      <x:c r="F592" s="37" t="str">
        <x:v>미정</x:v>
      </x:c>
      <x:c r="G592" s="37" t="str">
        <x:v>미착수</x:v>
      </x:c>
      <x:c r="H592" s="40" t="str">
        <x:v>미정</x:v>
      </x:c>
      <x:c r="I592" s="37"/>
      <x:c r="J592" s="37" t="str">
        <x:v>부문 간</x:v>
      </x:c>
    </x:row>
    <x:row r="593" ht="42" customHeight="1">
      <x:c r="A593" s="37" t="str">
        <x:v>DEP-0592</x:v>
      </x:c>
      <x:c r="B593" s="37" t="str">
        <x:v>QAR-005</x:v>
      </x:c>
      <x:c r="C593" s="37" t="str">
        <x:v>NET-026</x:v>
      </x:c>
      <x:c r="D593" s="37" t="str">
        <x:v>인터페이스·협업</x:v>
      </x:c>
      <x:c r="E593" s="37" t="str">
        <x:v>QA·릴리스 관리</x:v>
      </x:c>
      <x:c r="F593" s="37" t="str">
        <x:v>미정</x:v>
      </x:c>
      <x:c r="G593" s="37" t="str">
        <x:v>미착수</x:v>
      </x:c>
      <x:c r="H593" s="40" t="str">
        <x:v>미정</x:v>
      </x:c>
      <x:c r="I593" s="37"/>
      <x:c r="J593" s="37" t="str">
        <x:v>부문 간</x:v>
      </x:c>
    </x:row>
    <x:row r="594" ht="42" customHeight="1">
      <x:c r="A594" s="37" t="str">
        <x:v>DEP-0593</x:v>
      </x:c>
      <x:c r="B594" s="37" t="str">
        <x:v>QAR-006</x:v>
      </x:c>
      <x:c r="C594" s="37" t="str">
        <x:v>NET-017</x:v>
      </x:c>
      <x:c r="D594" s="37" t="str">
        <x:v>인터페이스·협업</x:v>
      </x:c>
      <x:c r="E594" s="37" t="str">
        <x:v>QA·릴리스 관리</x:v>
      </x:c>
      <x:c r="F594" s="37" t="str">
        <x:v>미정</x:v>
      </x:c>
      <x:c r="G594" s="37" t="str">
        <x:v>미착수</x:v>
      </x:c>
      <x:c r="H594" s="40" t="str">
        <x:v>미정</x:v>
      </x:c>
      <x:c r="I594" s="37"/>
      <x:c r="J594" s="37" t="str">
        <x:v>부문 간</x:v>
      </x:c>
    </x:row>
    <x:row r="595" ht="42" customHeight="1">
      <x:c r="A595" s="37" t="str">
        <x:v>DEP-0594</x:v>
      </x:c>
      <x:c r="B595" s="37" t="str">
        <x:v>QAR-006</x:v>
      </x:c>
      <x:c r="C595" s="37" t="str">
        <x:v>NET-018</x:v>
      </x:c>
      <x:c r="D595" s="37" t="str">
        <x:v>인터페이스·협업</x:v>
      </x:c>
      <x:c r="E595" s="37" t="str">
        <x:v>QA·릴리스 관리</x:v>
      </x:c>
      <x:c r="F595" s="37" t="str">
        <x:v>미정</x:v>
      </x:c>
      <x:c r="G595" s="37" t="str">
        <x:v>미착수</x:v>
      </x:c>
      <x:c r="H595" s="40" t="str">
        <x:v>미정</x:v>
      </x:c>
      <x:c r="I595" s="37"/>
      <x:c r="J595" s="37" t="str">
        <x:v>부문 간</x:v>
      </x:c>
    </x:row>
    <x:row r="596" ht="42" customHeight="1">
      <x:c r="A596" s="37" t="str">
        <x:v>DEP-0595</x:v>
      </x:c>
      <x:c r="B596" s="37" t="str">
        <x:v>QAR-006</x:v>
      </x:c>
      <x:c r="C596" s="37" t="str">
        <x:v>BED-023</x:v>
      </x:c>
      <x:c r="D596" s="37" t="str">
        <x:v>인터페이스·협업</x:v>
      </x:c>
      <x:c r="E596" s="37" t="str">
        <x:v>QA·릴리스 관리</x:v>
      </x:c>
      <x:c r="F596" s="37" t="str">
        <x:v>미정</x:v>
      </x:c>
      <x:c r="G596" s="37" t="str">
        <x:v>미착수</x:v>
      </x:c>
      <x:c r="H596" s="40" t="str">
        <x:v>미정</x:v>
      </x:c>
      <x:c r="I596" s="37"/>
      <x:c r="J596" s="37" t="str">
        <x:v>부문 간</x:v>
      </x:c>
    </x:row>
    <x:row r="597" ht="42" customHeight="1">
      <x:c r="A597" s="37" t="str">
        <x:v>DEP-0596</x:v>
      </x:c>
      <x:c r="B597" s="37" t="str">
        <x:v>QAR-006</x:v>
      </x:c>
      <x:c r="C597" s="37" t="str">
        <x:v>AUD-020</x:v>
      </x:c>
      <x:c r="D597" s="37" t="str">
        <x:v>인터페이스·협업</x:v>
      </x:c>
      <x:c r="E597" s="37" t="str">
        <x:v>QA·릴리스 관리</x:v>
      </x:c>
      <x:c r="F597" s="37" t="str">
        <x:v>미정</x:v>
      </x:c>
      <x:c r="G597" s="37" t="str">
        <x:v>미착수</x:v>
      </x:c>
      <x:c r="H597" s="40" t="str">
        <x:v>미정</x:v>
      </x:c>
      <x:c r="I597" s="37"/>
      <x:c r="J597" s="37" t="str">
        <x:v>부문 간</x:v>
      </x:c>
    </x:row>
    <x:row r="598" ht="42" customHeight="1">
      <x:c r="A598" s="37" t="str">
        <x:v>DEP-0597</x:v>
      </x:c>
      <x:c r="B598" s="37" t="str">
        <x:v>QAR-007</x:v>
      </x:c>
      <x:c r="C598" s="37" t="str">
        <x:v>NET-024</x:v>
      </x:c>
      <x:c r="D598" s="37" t="str">
        <x:v>인터페이스·협업</x:v>
      </x:c>
      <x:c r="E598" s="37" t="str">
        <x:v>QA·릴리스 관리</x:v>
      </x:c>
      <x:c r="F598" s="37" t="str">
        <x:v>미정</x:v>
      </x:c>
      <x:c r="G598" s="37" t="str">
        <x:v>미착수</x:v>
      </x:c>
      <x:c r="H598" s="40" t="str">
        <x:v>미정</x:v>
      </x:c>
      <x:c r="I598" s="37"/>
      <x:c r="J598" s="37" t="str">
        <x:v>부문 간</x:v>
      </x:c>
    </x:row>
    <x:row r="599" ht="42" customHeight="1">
      <x:c r="A599" s="37" t="str">
        <x:v>DEP-0598</x:v>
      </x:c>
      <x:c r="B599" s="37" t="str">
        <x:v>QAR-008</x:v>
      </x:c>
      <x:c r="C599" s="37" t="str">
        <x:v>IGM-033</x:v>
      </x:c>
      <x:c r="D599" s="37" t="str">
        <x:v>인터페이스·협업</x:v>
      </x:c>
      <x:c r="E599" s="37" t="str">
        <x:v>QA·릴리스 관리</x:v>
      </x:c>
      <x:c r="F599" s="37" t="str">
        <x:v>미정</x:v>
      </x:c>
      <x:c r="G599" s="37" t="str">
        <x:v>미착수</x:v>
      </x:c>
      <x:c r="H599" s="40" t="str">
        <x:v>미정</x:v>
      </x:c>
      <x:c r="I599" s="37"/>
      <x:c r="J599" s="37" t="str">
        <x:v>부문 간</x:v>
      </x:c>
    </x:row>
    <x:row r="600" ht="42" customHeight="1">
      <x:c r="A600" s="37" t="str">
        <x:v>DEP-0599</x:v>
      </x:c>
      <x:c r="B600" s="37" t="str">
        <x:v>QAR-008</x:v>
      </x:c>
      <x:c r="C600" s="37" t="str">
        <x:v>ONL-017</x:v>
      </x:c>
      <x:c r="D600" s="37" t="str">
        <x:v>인터페이스·협업</x:v>
      </x:c>
      <x:c r="E600" s="37" t="str">
        <x:v>QA·릴리스 관리</x:v>
      </x:c>
      <x:c r="F600" s="37" t="str">
        <x:v>미정</x:v>
      </x:c>
      <x:c r="G600" s="37" t="str">
        <x:v>미착수</x:v>
      </x:c>
      <x:c r="H600" s="40" t="str">
        <x:v>미정</x:v>
      </x:c>
      <x:c r="I600" s="37"/>
      <x:c r="J600" s="37" t="str">
        <x:v>부문 간</x:v>
      </x:c>
    </x:row>
    <x:row r="601" ht="42" customHeight="1">
      <x:c r="A601" s="37" t="str">
        <x:v>DEP-0600</x:v>
      </x:c>
      <x:c r="B601" s="37" t="str">
        <x:v>QAR-008</x:v>
      </x:c>
      <x:c r="C601" s="37" t="str">
        <x:v>NET-019</x:v>
      </x:c>
      <x:c r="D601" s="37" t="str">
        <x:v>인터페이스·협업</x:v>
      </x:c>
      <x:c r="E601" s="37" t="str">
        <x:v>QA·릴리스 관리</x:v>
      </x:c>
      <x:c r="F601" s="37" t="str">
        <x:v>미정</x:v>
      </x:c>
      <x:c r="G601" s="37" t="str">
        <x:v>미착수</x:v>
      </x:c>
      <x:c r="H601" s="40" t="str">
        <x:v>미정</x:v>
      </x:c>
      <x:c r="I601" s="37"/>
      <x:c r="J601" s="37" t="str">
        <x:v>부문 간</x:v>
      </x:c>
    </x:row>
    <x:row r="602" ht="42" customHeight="1">
      <x:c r="A602" s="37" t="str">
        <x:v>DEP-0601</x:v>
      </x:c>
      <x:c r="B602" s="37" t="str">
        <x:v>QAR-009</x:v>
      </x:c>
      <x:c r="C602" s="37" t="str">
        <x:v>UIX-029</x:v>
      </x:c>
      <x:c r="D602" s="37" t="str">
        <x:v>인터페이스·협업</x:v>
      </x:c>
      <x:c r="E602" s="37" t="str">
        <x:v>QA·릴리스 관리</x:v>
      </x:c>
      <x:c r="F602" s="37" t="str">
        <x:v>미정</x:v>
      </x:c>
      <x:c r="G602" s="37" t="str">
        <x:v>미착수</x:v>
      </x:c>
      <x:c r="H602" s="40" t="str">
        <x:v>미정</x:v>
      </x:c>
      <x:c r="I602" s="37"/>
      <x:c r="J602" s="37" t="str">
        <x:v>부문 간</x:v>
      </x:c>
    </x:row>
    <x:row r="603" ht="42" customHeight="1">
      <x:c r="A603" s="37" t="str">
        <x:v>DEP-0602</x:v>
      </x:c>
      <x:c r="B603" s="37" t="str">
        <x:v>QAR-009</x:v>
      </x:c>
      <x:c r="C603" s="37" t="str">
        <x:v>SET-006</x:v>
      </x:c>
      <x:c r="D603" s="37" t="str">
        <x:v>인터페이스·협업</x:v>
      </x:c>
      <x:c r="E603" s="37" t="str">
        <x:v>QA·릴리스 관리</x:v>
      </x:c>
      <x:c r="F603" s="37" t="str">
        <x:v>미정</x:v>
      </x:c>
      <x:c r="G603" s="37" t="str">
        <x:v>미착수</x:v>
      </x:c>
      <x:c r="H603" s="40" t="str">
        <x:v>미정</x:v>
      </x:c>
      <x:c r="I603" s="37"/>
      <x:c r="J603" s="37" t="str">
        <x:v>부문 간</x:v>
      </x:c>
    </x:row>
    <x:row r="604" ht="42" customHeight="1">
      <x:c r="A604" s="37" t="str">
        <x:v>DEP-0603</x:v>
      </x:c>
      <x:c r="B604" s="37" t="str">
        <x:v>QAR-010</x:v>
      </x:c>
      <x:c r="C604" s="37" t="str">
        <x:v>SET-023</x:v>
      </x:c>
      <x:c r="D604" s="37" t="str">
        <x:v>인터페이스·협업</x:v>
      </x:c>
      <x:c r="E604" s="37" t="str">
        <x:v>QA·릴리스 관리</x:v>
      </x:c>
      <x:c r="F604" s="37" t="str">
        <x:v>미정</x:v>
      </x:c>
      <x:c r="G604" s="37" t="str">
        <x:v>미착수</x:v>
      </x:c>
      <x:c r="H604" s="40" t="str">
        <x:v>미정</x:v>
      </x:c>
      <x:c r="I604" s="37"/>
      <x:c r="J604" s="37" t="str">
        <x:v>부문 간</x:v>
      </x:c>
    </x:row>
    <x:row r="605" ht="42" customHeight="1">
      <x:c r="A605" s="37" t="str">
        <x:v>DEP-0604</x:v>
      </x:c>
      <x:c r="B605" s="37" t="str">
        <x:v>QAR-010</x:v>
      </x:c>
      <x:c r="C605" s="37" t="str">
        <x:v>SET-024</x:v>
      </x:c>
      <x:c r="D605" s="37" t="str">
        <x:v>인터페이스·협업</x:v>
      </x:c>
      <x:c r="E605" s="37" t="str">
        <x:v>QA·릴리스 관리</x:v>
      </x:c>
      <x:c r="F605" s="37" t="str">
        <x:v>미정</x:v>
      </x:c>
      <x:c r="G605" s="37" t="str">
        <x:v>미착수</x:v>
      </x:c>
      <x:c r="H605" s="40" t="str">
        <x:v>미정</x:v>
      </x:c>
      <x:c r="I605" s="37"/>
      <x:c r="J605" s="37" t="str">
        <x:v>부문 간</x:v>
      </x:c>
    </x:row>
    <x:row r="606" ht="42" customHeight="1">
      <x:c r="A606" s="37" t="str">
        <x:v>DEP-0605</x:v>
      </x:c>
      <x:c r="B606" s="37" t="str">
        <x:v>QAR-010</x:v>
      </x:c>
      <x:c r="C606" s="37" t="str">
        <x:v>SET-025</x:v>
      </x:c>
      <x:c r="D606" s="37" t="str">
        <x:v>인터페이스·협업</x:v>
      </x:c>
      <x:c r="E606" s="37" t="str">
        <x:v>QA·릴리스 관리</x:v>
      </x:c>
      <x:c r="F606" s="37" t="str">
        <x:v>미정</x:v>
      </x:c>
      <x:c r="G606" s="37" t="str">
        <x:v>미착수</x:v>
      </x:c>
      <x:c r="H606" s="40" t="str">
        <x:v>미정</x:v>
      </x:c>
      <x:c r="I606" s="37"/>
      <x:c r="J606" s="37" t="str">
        <x:v>부문 간</x:v>
      </x:c>
    </x:row>
    <x:row r="607" ht="42" customHeight="1">
      <x:c r="A607" s="37" t="str">
        <x:v>DEP-0606</x:v>
      </x:c>
      <x:c r="B607" s="37" t="str">
        <x:v>QAR-010</x:v>
      </x:c>
      <x:c r="C607" s="37" t="str">
        <x:v>UIX-028</x:v>
      </x:c>
      <x:c r="D607" s="37" t="str">
        <x:v>인터페이스·협업</x:v>
      </x:c>
      <x:c r="E607" s="37" t="str">
        <x:v>QA·릴리스 관리</x:v>
      </x:c>
      <x:c r="F607" s="37" t="str">
        <x:v>미정</x:v>
      </x:c>
      <x:c r="G607" s="37" t="str">
        <x:v>미착수</x:v>
      </x:c>
      <x:c r="H607" s="40" t="str">
        <x:v>미정</x:v>
      </x:c>
      <x:c r="I607" s="37"/>
      <x:c r="J607" s="37" t="str">
        <x:v>부문 간</x:v>
      </x:c>
    </x:row>
    <x:row r="608" ht="42" customHeight="1">
      <x:c r="A608" s="37" t="str">
        <x:v>DEP-0607</x:v>
      </x:c>
      <x:c r="B608" s="37" t="str">
        <x:v>QAR-010</x:v>
      </x:c>
      <x:c r="C608" s="37" t="str">
        <x:v>AUD-015</x:v>
      </x:c>
      <x:c r="D608" s="37" t="str">
        <x:v>인터페이스·협업</x:v>
      </x:c>
      <x:c r="E608" s="37" t="str">
        <x:v>QA·릴리스 관리</x:v>
      </x:c>
      <x:c r="F608" s="37" t="str">
        <x:v>미정</x:v>
      </x:c>
      <x:c r="G608" s="37" t="str">
        <x:v>미착수</x:v>
      </x:c>
      <x:c r="H608" s="40" t="str">
        <x:v>미정</x:v>
      </x:c>
      <x:c r="I608" s="37"/>
      <x:c r="J608" s="37" t="str">
        <x:v>부문 간</x:v>
      </x:c>
    </x:row>
    <x:row r="609" ht="42" customHeight="1">
      <x:c r="A609" s="37" t="str">
        <x:v>DEP-0608</x:v>
      </x:c>
      <x:c r="B609" s="37" t="str">
        <x:v>QAR-011</x:v>
      </x:c>
      <x:c r="C609" s="37" t="str">
        <x:v>SET-004</x:v>
      </x:c>
      <x:c r="D609" s="37" t="str">
        <x:v>인터페이스·협업</x:v>
      </x:c>
      <x:c r="E609" s="37" t="str">
        <x:v>QA·릴리스 관리</x:v>
      </x:c>
      <x:c r="F609" s="37" t="str">
        <x:v>미정</x:v>
      </x:c>
      <x:c r="G609" s="37" t="str">
        <x:v>미착수</x:v>
      </x:c>
      <x:c r="H609" s="40" t="str">
        <x:v>미정</x:v>
      </x:c>
      <x:c r="I609" s="37"/>
      <x:c r="J609" s="37" t="str">
        <x:v>부문 간</x:v>
      </x:c>
    </x:row>
    <x:row r="610" ht="42" customHeight="1">
      <x:c r="A610" s="37" t="str">
        <x:v>DEP-0609</x:v>
      </x:c>
      <x:c r="B610" s="37" t="str">
        <x:v>QAR-011</x:v>
      </x:c>
      <x:c r="C610" s="37" t="str">
        <x:v>UIX-029</x:v>
      </x:c>
      <x:c r="D610" s="37" t="str">
        <x:v>인터페이스·협업</x:v>
      </x:c>
      <x:c r="E610" s="37" t="str">
        <x:v>QA·릴리스 관리</x:v>
      </x:c>
      <x:c r="F610" s="37" t="str">
        <x:v>미정</x:v>
      </x:c>
      <x:c r="G610" s="37" t="str">
        <x:v>미착수</x:v>
      </x:c>
      <x:c r="H610" s="40" t="str">
        <x:v>미정</x:v>
      </x:c>
      <x:c r="I610" s="37"/>
      <x:c r="J610" s="37" t="str">
        <x:v>부문 간</x:v>
      </x:c>
    </x:row>
    <x:row r="611" ht="42" customHeight="1">
      <x:c r="A611" s="37" t="str">
        <x:v>DEP-0610</x:v>
      </x:c>
      <x:c r="B611" s="37" t="str">
        <x:v>QAR-011</x:v>
      </x:c>
      <x:c r="C611" s="37" t="str">
        <x:v>CNT-032</x:v>
      </x:c>
      <x:c r="D611" s="37" t="str">
        <x:v>인터페이스·협업</x:v>
      </x:c>
      <x:c r="E611" s="37" t="str">
        <x:v>QA·릴리스 관리</x:v>
      </x:c>
      <x:c r="F611" s="37" t="str">
        <x:v>미정</x:v>
      </x:c>
      <x:c r="G611" s="37" t="str">
        <x:v>미착수</x:v>
      </x:c>
      <x:c r="H611" s="40" t="str">
        <x:v>미정</x:v>
      </x:c>
      <x:c r="I611" s="37"/>
      <x:c r="J611" s="37" t="str">
        <x:v>부문 간</x:v>
      </x:c>
    </x:row>
    <x:row r="612" ht="42" customHeight="1">
      <x:c r="A612" s="37" t="str">
        <x:v>DEP-0611</x:v>
      </x:c>
      <x:c r="B612" s="37" t="str">
        <x:v>QAR-011</x:v>
      </x:c>
      <x:c r="C612" s="37" t="str">
        <x:v>AUD-021</x:v>
      </x:c>
      <x:c r="D612" s="37" t="str">
        <x:v>인터페이스·협업</x:v>
      </x:c>
      <x:c r="E612" s="37" t="str">
        <x:v>QA·릴리스 관리</x:v>
      </x:c>
      <x:c r="F612" s="37" t="str">
        <x:v>미정</x:v>
      </x:c>
      <x:c r="G612" s="37" t="str">
        <x:v>미착수</x:v>
      </x:c>
      <x:c r="H612" s="40" t="str">
        <x:v>미정</x:v>
      </x:c>
      <x:c r="I612" s="37"/>
      <x:c r="J612" s="37" t="str">
        <x:v>부문 간</x:v>
      </x:c>
    </x:row>
    <x:row r="613" ht="42" customHeight="1">
      <x:c r="A613" s="37" t="str">
        <x:v>DEP-0612</x:v>
      </x:c>
      <x:c r="B613" s="37" t="str">
        <x:v>QAR-012</x:v>
      </x:c>
      <x:c r="C613" s="37" t="str">
        <x:v>AUD-004</x:v>
      </x:c>
      <x:c r="D613" s="37" t="str">
        <x:v>인터페이스·협업</x:v>
      </x:c>
      <x:c r="E613" s="37" t="str">
        <x:v>QA·릴리스 관리</x:v>
      </x:c>
      <x:c r="F613" s="37" t="str">
        <x:v>미정</x:v>
      </x:c>
      <x:c r="G613" s="37" t="str">
        <x:v>미착수</x:v>
      </x:c>
      <x:c r="H613" s="40" t="str">
        <x:v>미정</x:v>
      </x:c>
      <x:c r="I613" s="37"/>
      <x:c r="J613" s="37" t="str">
        <x:v>부문 간</x:v>
      </x:c>
    </x:row>
    <x:row r="614" ht="42" customHeight="1">
      <x:c r="A614" s="37" t="str">
        <x:v>DEP-0613</x:v>
      </x:c>
      <x:c r="B614" s="37" t="str">
        <x:v>QAR-012</x:v>
      </x:c>
      <x:c r="C614" s="37" t="str">
        <x:v>AUD-006</x:v>
      </x:c>
      <x:c r="D614" s="37" t="str">
        <x:v>인터페이스·협업</x:v>
      </x:c>
      <x:c r="E614" s="37" t="str">
        <x:v>QA·릴리스 관리</x:v>
      </x:c>
      <x:c r="F614" s="37" t="str">
        <x:v>미정</x:v>
      </x:c>
      <x:c r="G614" s="37" t="str">
        <x:v>미착수</x:v>
      </x:c>
      <x:c r="H614" s="40" t="str">
        <x:v>미정</x:v>
      </x:c>
      <x:c r="I614" s="37"/>
      <x:c r="J614" s="37" t="str">
        <x:v>부문 간</x:v>
      </x:c>
    </x:row>
    <x:row r="615" ht="42" customHeight="1">
      <x:c r="A615" s="37" t="str">
        <x:v>DEP-0614</x:v>
      </x:c>
      <x:c r="B615" s="37" t="str">
        <x:v>QAR-012</x:v>
      </x:c>
      <x:c r="C615" s="37" t="str">
        <x:v>AUD-008</x:v>
      </x:c>
      <x:c r="D615" s="37" t="str">
        <x:v>인터페이스·협업</x:v>
      </x:c>
      <x:c r="E615" s="37" t="str">
        <x:v>QA·릴리스 관리</x:v>
      </x:c>
      <x:c r="F615" s="37" t="str">
        <x:v>미정</x:v>
      </x:c>
      <x:c r="G615" s="37" t="str">
        <x:v>미착수</x:v>
      </x:c>
      <x:c r="H615" s="40" t="str">
        <x:v>미정</x:v>
      </x:c>
      <x:c r="I615" s="37"/>
      <x:c r="J615" s="37" t="str">
        <x:v>부문 간</x:v>
      </x:c>
    </x:row>
    <x:row r="616" ht="42" customHeight="1">
      <x:c r="A616" s="37" t="str">
        <x:v>DEP-0615</x:v>
      </x:c>
      <x:c r="B616" s="37" t="str">
        <x:v>QAR-012</x:v>
      </x:c>
      <x:c r="C616" s="37" t="str">
        <x:v>AUD-023</x:v>
      </x:c>
      <x:c r="D616" s="37" t="str">
        <x:v>인터페이스·협업</x:v>
      </x:c>
      <x:c r="E616" s="37" t="str">
        <x:v>QA·릴리스 관리</x:v>
      </x:c>
      <x:c r="F616" s="37" t="str">
        <x:v>미정</x:v>
      </x:c>
      <x:c r="G616" s="37" t="str">
        <x:v>미착수</x:v>
      </x:c>
      <x:c r="H616" s="40" t="str">
        <x:v>미정</x:v>
      </x:c>
      <x:c r="I616" s="37"/>
      <x:c r="J616" s="37" t="str">
        <x:v>부문 간</x:v>
      </x:c>
    </x:row>
    <x:row r="617" ht="42" customHeight="1">
      <x:c r="A617" s="37" t="str">
        <x:v>DEP-0616</x:v>
      </x:c>
      <x:c r="B617" s="37" t="str">
        <x:v>QAR-013</x:v>
      </x:c>
      <x:c r="C617" s="37" t="str">
        <x:v>CHR-027</x:v>
      </x:c>
      <x:c r="D617" s="37" t="str">
        <x:v>인터페이스·협업</x:v>
      </x:c>
      <x:c r="E617" s="37" t="str">
        <x:v>QA·릴리스 관리</x:v>
      </x:c>
      <x:c r="F617" s="37" t="str">
        <x:v>미정</x:v>
      </x:c>
      <x:c r="G617" s="37" t="str">
        <x:v>미착수</x:v>
      </x:c>
      <x:c r="H617" s="40" t="str">
        <x:v>미정</x:v>
      </x:c>
      <x:c r="I617" s="37"/>
      <x:c r="J617" s="37" t="str">
        <x:v>부문 간</x:v>
      </x:c>
    </x:row>
    <x:row r="618" ht="42" customHeight="1">
      <x:c r="A618" s="37" t="str">
        <x:v>DEP-0617</x:v>
      </x:c>
      <x:c r="B618" s="37" t="str">
        <x:v>QAR-013</x:v>
      </x:c>
      <x:c r="C618" s="37" t="str">
        <x:v>CNT-014</x:v>
      </x:c>
      <x:c r="D618" s="37" t="str">
        <x:v>인터페이스·협업</x:v>
      </x:c>
      <x:c r="E618" s="37" t="str">
        <x:v>QA·릴리스 관리</x:v>
      </x:c>
      <x:c r="F618" s="37" t="str">
        <x:v>미정</x:v>
      </x:c>
      <x:c r="G618" s="37" t="str">
        <x:v>미착수</x:v>
      </x:c>
      <x:c r="H618" s="40" t="str">
        <x:v>미정</x:v>
      </x:c>
      <x:c r="I618" s="37"/>
      <x:c r="J618" s="37" t="str">
        <x:v>부문 간</x:v>
      </x:c>
    </x:row>
    <x:row r="619" ht="42" customHeight="1">
      <x:c r="A619" s="37" t="str">
        <x:v>DEP-0618</x:v>
      </x:c>
      <x:c r="B619" s="37" t="str">
        <x:v>QAR-013</x:v>
      </x:c>
      <x:c r="C619" s="37" t="str">
        <x:v>AUD-022</x:v>
      </x:c>
      <x:c r="D619" s="37" t="str">
        <x:v>인터페이스·협업</x:v>
      </x:c>
      <x:c r="E619" s="37" t="str">
        <x:v>QA·릴리스 관리</x:v>
      </x:c>
      <x:c r="F619" s="37" t="str">
        <x:v>미정</x:v>
      </x:c>
      <x:c r="G619" s="37" t="str">
        <x:v>미착수</x:v>
      </x:c>
      <x:c r="H619" s="40" t="str">
        <x:v>미정</x:v>
      </x:c>
      <x:c r="I619" s="37"/>
      <x:c r="J619" s="37" t="str">
        <x:v>부문 간</x:v>
      </x:c>
    </x:row>
    <x:row r="620" ht="42" customHeight="1">
      <x:c r="A620" s="37" t="str">
        <x:v>DEP-0619</x:v>
      </x:c>
      <x:c r="B620" s="37" t="str">
        <x:v>QAR-014</x:v>
      </x:c>
      <x:c r="C620" s="37" t="str">
        <x:v>NET-022</x:v>
      </x:c>
      <x:c r="D620" s="37" t="str">
        <x:v>인터페이스·협업</x:v>
      </x:c>
      <x:c r="E620" s="37" t="str">
        <x:v>QA·릴리스 관리</x:v>
      </x:c>
      <x:c r="F620" s="37" t="str">
        <x:v>미정</x:v>
      </x:c>
      <x:c r="G620" s="37" t="str">
        <x:v>미착수</x:v>
      </x:c>
      <x:c r="H620" s="40" t="str">
        <x:v>미정</x:v>
      </x:c>
      <x:c r="I620" s="37"/>
      <x:c r="J620" s="37" t="str">
        <x:v>부문 간</x:v>
      </x:c>
    </x:row>
    <x:row r="621" ht="42" customHeight="1">
      <x:c r="A621" s="37" t="str">
        <x:v>DEP-0620</x:v>
      </x:c>
      <x:c r="B621" s="37" t="str">
        <x:v>QAR-014</x:v>
      </x:c>
      <x:c r="C621" s="37" t="str">
        <x:v>NET-029</x:v>
      </x:c>
      <x:c r="D621" s="37" t="str">
        <x:v>인터페이스·협업</x:v>
      </x:c>
      <x:c r="E621" s="37" t="str">
        <x:v>QA·릴리스 관리</x:v>
      </x:c>
      <x:c r="F621" s="37" t="str">
        <x:v>미정</x:v>
      </x:c>
      <x:c r="G621" s="37" t="str">
        <x:v>미착수</x:v>
      </x:c>
      <x:c r="H621" s="40" t="str">
        <x:v>미정</x:v>
      </x:c>
      <x:c r="I621" s="37"/>
      <x:c r="J621" s="37" t="str">
        <x:v>부문 간</x:v>
      </x:c>
    </x:row>
    <x:row r="622" ht="42" customHeight="1">
      <x:c r="A622" s="37" t="str">
        <x:v>DEP-0621</x:v>
      </x:c>
      <x:c r="B622" s="37" t="str">
        <x:v>QAR-014</x:v>
      </x:c>
      <x:c r="C622" s="37" t="str">
        <x:v>BED-019</x:v>
      </x:c>
      <x:c r="D622" s="37" t="str">
        <x:v>인터페이스·협업</x:v>
      </x:c>
      <x:c r="E622" s="37" t="str">
        <x:v>QA·릴리스 관리</x:v>
      </x:c>
      <x:c r="F622" s="37" t="str">
        <x:v>미정</x:v>
      </x:c>
      <x:c r="G622" s="37" t="str">
        <x:v>미착수</x:v>
      </x:c>
      <x:c r="H622" s="40" t="str">
        <x:v>미정</x:v>
      </x:c>
      <x:c r="I622" s="37"/>
      <x:c r="J622" s="37" t="str">
        <x:v>부문 간</x:v>
      </x:c>
    </x:row>
    <x:row r="623" ht="42" customHeight="1">
      <x:c r="A623" s="37" t="str">
        <x:v>DEP-0622</x:v>
      </x:c>
      <x:c r="B623" s="37" t="str">
        <x:v>QAR-015</x:v>
      </x:c>
      <x:c r="C623" s="37" t="str">
        <x:v>QAR-009</x:v>
      </x:c>
      <x:c r="D623" s="37" t="str">
        <x:v>완료 후 시작</x:v>
      </x:c>
      <x:c r="E623" s="37" t="str">
        <x:v>QA·릴리스 관리</x:v>
      </x:c>
      <x:c r="F623" s="37" t="str">
        <x:v>미정</x:v>
      </x:c>
      <x:c r="G623" s="37" t="str">
        <x:v>미착수</x:v>
      </x:c>
      <x:c r="H623" s="40" t="str">
        <x:v>미정</x:v>
      </x:c>
      <x:c r="I623" s="37"/>
      <x:c r="J623" s="37" t="str">
        <x:v>부문 내</x:v>
      </x:c>
    </x:row>
    <x:row r="624" ht="42" customHeight="1">
      <x:c r="A624" s="37" t="str">
        <x:v>DEP-0623</x:v>
      </x:c>
      <x:c r="B624" s="37" t="str">
        <x:v>QAR-015</x:v>
      </x:c>
      <x:c r="C624" s="37" t="str">
        <x:v>QAR-012</x:v>
      </x:c>
      <x:c r="D624" s="37" t="str">
        <x:v>완료 후 시작</x:v>
      </x:c>
      <x:c r="E624" s="37" t="str">
        <x:v>QA·릴리스 관리</x:v>
      </x:c>
      <x:c r="F624" s="37" t="str">
        <x:v>미정</x:v>
      </x:c>
      <x:c r="G624" s="37" t="str">
        <x:v>미착수</x:v>
      </x:c>
      <x:c r="H624" s="40" t="str">
        <x:v>미정</x:v>
      </x:c>
      <x:c r="I624" s="37"/>
      <x:c r="J624" s="37" t="str">
        <x:v>부문 내</x:v>
      </x:c>
    </x:row>
    <x:row r="625" ht="42" customHeight="1">
      <x:c r="A625" s="37" t="str">
        <x:v>DEP-0624</x:v>
      </x:c>
      <x:c r="B625" s="37" t="str">
        <x:v>QAR-015</x:v>
      </x:c>
      <x:c r="C625" s="37" t="str">
        <x:v>QAR-013</x:v>
      </x:c>
      <x:c r="D625" s="37" t="str">
        <x:v>완료 후 시작</x:v>
      </x:c>
      <x:c r="E625" s="37" t="str">
        <x:v>QA·릴리스 관리</x:v>
      </x:c>
      <x:c r="F625" s="37" t="str">
        <x:v>미정</x:v>
      </x:c>
      <x:c r="G625" s="37" t="str">
        <x:v>미착수</x:v>
      </x:c>
      <x:c r="H625" s="40" t="str">
        <x:v>미정</x:v>
      </x:c>
      <x:c r="I625" s="37"/>
      <x:c r="J625" s="37" t="str">
        <x:v>부문 내</x:v>
      </x:c>
    </x:row>
    <x:row r="626" ht="42" customHeight="1">
      <x:c r="A626" s="37" t="str">
        <x:v>DEP-0625</x:v>
      </x:c>
      <x:c r="B626" s="37" t="str">
        <x:v>QAR-016</x:v>
      </x:c>
      <x:c r="C626" s="37" t="str">
        <x:v>QAR-003</x:v>
      </x:c>
      <x:c r="D626" s="37" t="str">
        <x:v>완료 후 시작</x:v>
      </x:c>
      <x:c r="E626" s="37" t="str">
        <x:v>QA·릴리스 관리</x:v>
      </x:c>
      <x:c r="F626" s="37" t="str">
        <x:v>미정</x:v>
      </x:c>
      <x:c r="G626" s="37" t="str">
        <x:v>미착수</x:v>
      </x:c>
      <x:c r="H626" s="40" t="str">
        <x:v>미정</x:v>
      </x:c>
      <x:c r="I626" s="37"/>
      <x:c r="J626" s="37" t="str">
        <x:v>부문 내</x:v>
      </x:c>
    </x:row>
    <x:row r="627" ht="42" customHeight="1">
      <x:c r="A627" s="37" t="str">
        <x:v>DEP-0626</x:v>
      </x:c>
      <x:c r="B627" s="37" t="str">
        <x:v>QAR-016</x:v>
      </x:c>
      <x:c r="C627" s="37" t="str">
        <x:v>NET-029</x:v>
      </x:c>
      <x:c r="D627" s="37" t="str">
        <x:v>인터페이스·협업</x:v>
      </x:c>
      <x:c r="E627" s="37" t="str">
        <x:v>QA·릴리스 관리</x:v>
      </x:c>
      <x:c r="F627" s="37" t="str">
        <x:v>미정</x:v>
      </x:c>
      <x:c r="G627" s="37" t="str">
        <x:v>미착수</x:v>
      </x:c>
      <x:c r="H627" s="40" t="str">
        <x:v>미정</x:v>
      </x:c>
      <x:c r="I627" s="37"/>
      <x:c r="J627" s="37" t="str">
        <x:v>부문 간</x:v>
      </x:c>
    </x:row>
    <x:row r="628" ht="42" customHeight="1">
      <x:c r="A628" s="37" t="str">
        <x:v>DEP-0627</x:v>
      </x:c>
      <x:c r="B628" s="37" t="str">
        <x:v>QAR-016</x:v>
      </x:c>
      <x:c r="C628" s="37" t="str">
        <x:v>BED-026</x:v>
      </x:c>
      <x:c r="D628" s="37" t="str">
        <x:v>인터페이스·협업</x:v>
      </x:c>
      <x:c r="E628" s="37" t="str">
        <x:v>QA·릴리스 관리</x:v>
      </x:c>
      <x:c r="F628" s="37" t="str">
        <x:v>미정</x:v>
      </x:c>
      <x:c r="G628" s="37" t="str">
        <x:v>미착수</x:v>
      </x:c>
      <x:c r="H628" s="40" t="str">
        <x:v>미정</x:v>
      </x:c>
      <x:c r="I628" s="37"/>
      <x:c r="J628" s="37" t="str">
        <x:v>부문 간</x:v>
      </x:c>
    </x:row>
    <x:row r="629" ht="42" customHeight="1">
      <x:c r="A629" s="37" t="str">
        <x:v>DEP-0628</x:v>
      </x:c>
      <x:c r="B629" s="37" t="str">
        <x:v>QAR-017</x:v>
      </x:c>
      <x:c r="C629" s="37" t="str">
        <x:v>BED-008</x:v>
      </x:c>
      <x:c r="D629" s="37" t="str">
        <x:v>인터페이스·협업</x:v>
      </x:c>
      <x:c r="E629" s="37" t="str">
        <x:v>QA·릴리스 관리</x:v>
      </x:c>
      <x:c r="F629" s="37" t="str">
        <x:v>미정</x:v>
      </x:c>
      <x:c r="G629" s="37" t="str">
        <x:v>미착수</x:v>
      </x:c>
      <x:c r="H629" s="40" t="str">
        <x:v>미정</x:v>
      </x:c>
      <x:c r="I629" s="37"/>
      <x:c r="J629" s="37" t="str">
        <x:v>부문 간</x:v>
      </x:c>
    </x:row>
    <x:row r="630" ht="42" customHeight="1">
      <x:c r="A630" s="37" t="str">
        <x:v>DEP-0629</x:v>
      </x:c>
      <x:c r="B630" s="37" t="str">
        <x:v>QAR-017</x:v>
      </x:c>
      <x:c r="C630" s="37" t="str">
        <x:v>CNT-031</x:v>
      </x:c>
      <x:c r="D630" s="37" t="str">
        <x:v>인터페이스·협업</x:v>
      </x:c>
      <x:c r="E630" s="37" t="str">
        <x:v>QA·릴리스 관리</x:v>
      </x:c>
      <x:c r="F630" s="37" t="str">
        <x:v>미정</x:v>
      </x:c>
      <x:c r="G630" s="37" t="str">
        <x:v>미착수</x:v>
      </x:c>
      <x:c r="H630" s="40" t="str">
        <x:v>미정</x:v>
      </x:c>
      <x:c r="I630" s="37"/>
      <x:c r="J630" s="37" t="str">
        <x:v>부문 간</x:v>
      </x:c>
    </x:row>
    <x:row r="631" ht="42" customHeight="1">
      <x:c r="A631" s="37" t="str">
        <x:v>DEP-0630</x:v>
      </x:c>
      <x:c r="B631" s="37" t="str">
        <x:v>QAR-018</x:v>
      </x:c>
      <x:c r="C631" s="37" t="str">
        <x:v>UIX-027</x:v>
      </x:c>
      <x:c r="D631" s="37" t="str">
        <x:v>인터페이스·협업</x:v>
      </x:c>
      <x:c r="E631" s="37" t="str">
        <x:v>QA·릴리스 관리</x:v>
      </x:c>
      <x:c r="F631" s="37" t="str">
        <x:v>미정</x:v>
      </x:c>
      <x:c r="G631" s="37" t="str">
        <x:v>미착수</x:v>
      </x:c>
      <x:c r="H631" s="40" t="str">
        <x:v>미정</x:v>
      </x:c>
      <x:c r="I631" s="37"/>
      <x:c r="J631" s="37" t="str">
        <x:v>부문 간</x:v>
      </x:c>
    </x:row>
    <x:row r="632" ht="42" customHeight="1">
      <x:c r="A632" s="37" t="str">
        <x:v>DEP-0631</x:v>
      </x:c>
      <x:c r="B632" s="37" t="str">
        <x:v>QAR-018</x:v>
      </x:c>
      <x:c r="C632" s="37" t="str">
        <x:v>CNT-033</x:v>
      </x:c>
      <x:c r="D632" s="37" t="str">
        <x:v>인터페이스·협업</x:v>
      </x:c>
      <x:c r="E632" s="37" t="str">
        <x:v>QA·릴리스 관리</x:v>
      </x:c>
      <x:c r="F632" s="37" t="str">
        <x:v>미정</x:v>
      </x:c>
      <x:c r="G632" s="37" t="str">
        <x:v>미착수</x:v>
      </x:c>
      <x:c r="H632" s="40" t="str">
        <x:v>미정</x:v>
      </x:c>
      <x:c r="I632" s="37"/>
      <x:c r="J632" s="37" t="str">
        <x:v>부문 간</x:v>
      </x:c>
    </x:row>
    <x:row r="633" ht="42" customHeight="1">
      <x:c r="A633" s="37" t="str">
        <x:v>DEP-0632</x:v>
      </x:c>
      <x:c r="B633" s="37" t="str">
        <x:v>QAR-019</x:v>
      </x:c>
      <x:c r="C633" s="37" t="str">
        <x:v>QAR-001</x:v>
      </x:c>
      <x:c r="D633" s="37" t="str">
        <x:v>완료 후 시작</x:v>
      </x:c>
      <x:c r="E633" s="37" t="str">
        <x:v>QA·릴리스 관리</x:v>
      </x:c>
      <x:c r="F633" s="37" t="str">
        <x:v>미정</x:v>
      </x:c>
      <x:c r="G633" s="37" t="str">
        <x:v>미착수</x:v>
      </x:c>
      <x:c r="H633" s="40" t="str">
        <x:v>미정</x:v>
      </x:c>
      <x:c r="I633" s="37"/>
      <x:c r="J633" s="37" t="str">
        <x:v>부문 내</x:v>
      </x:c>
    </x:row>
    <x:row r="634" ht="42" customHeight="1">
      <x:c r="A634" s="37" t="str">
        <x:v>DEP-0633</x:v>
      </x:c>
      <x:c r="B634" s="37" t="str">
        <x:v>QAR-020</x:v>
      </x:c>
      <x:c r="C634" s="37" t="str">
        <x:v>NET-024</x:v>
      </x:c>
      <x:c r="D634" s="37" t="str">
        <x:v>인터페이스·협업</x:v>
      </x:c>
      <x:c r="E634" s="37" t="str">
        <x:v>QA·릴리스 관리</x:v>
      </x:c>
      <x:c r="F634" s="37" t="str">
        <x:v>미정</x:v>
      </x:c>
      <x:c r="G634" s="37" t="str">
        <x:v>미착수</x:v>
      </x:c>
      <x:c r="H634" s="40" t="str">
        <x:v>미정</x:v>
      </x:c>
      <x:c r="I634" s="37"/>
      <x:c r="J634" s="37" t="str">
        <x:v>부문 간</x:v>
      </x:c>
    </x:row>
    <x:row r="635" ht="42" customHeight="1">
      <x:c r="A635" s="37" t="str">
        <x:v>DEP-0634</x:v>
      </x:c>
      <x:c r="B635" s="37" t="str">
        <x:v>QAR-020</x:v>
      </x:c>
      <x:c r="C635" s="37" t="str">
        <x:v>ONL-004</x:v>
      </x:c>
      <x:c r="D635" s="37" t="str">
        <x:v>인터페이스·협업</x:v>
      </x:c>
      <x:c r="E635" s="37" t="str">
        <x:v>QA·릴리스 관리</x:v>
      </x:c>
      <x:c r="F635" s="37" t="str">
        <x:v>미정</x:v>
      </x:c>
      <x:c r="G635" s="37" t="str">
        <x:v>미착수</x:v>
      </x:c>
      <x:c r="H635" s="40" t="str">
        <x:v>미정</x:v>
      </x:c>
      <x:c r="I635" s="37"/>
      <x:c r="J635" s="37" t="str">
        <x:v>부문 간</x:v>
      </x:c>
    </x:row>
    <x:row r="636" ht="42" customHeight="1">
      <x:c r="A636" s="37" t="str">
        <x:v>DEP-0635</x:v>
      </x:c>
      <x:c r="B636" s="37" t="str">
        <x:v>QAR-020</x:v>
      </x:c>
      <x:c r="C636" s="37" t="str">
        <x:v>IGM-001</x:v>
      </x:c>
      <x:c r="D636" s="37" t="str">
        <x:v>인터페이스·협업</x:v>
      </x:c>
      <x:c r="E636" s="37" t="str">
        <x:v>QA·릴리스 관리</x:v>
      </x:c>
      <x:c r="F636" s="37" t="str">
        <x:v>미정</x:v>
      </x:c>
      <x:c r="G636" s="37" t="str">
        <x:v>미착수</x:v>
      </x:c>
      <x:c r="H636" s="40" t="str">
        <x:v>미정</x:v>
      </x:c>
      <x:c r="I636" s="37"/>
      <x:c r="J636" s="37" t="str">
        <x:v>부문 간</x:v>
      </x:c>
    </x:row>
    <x:row r="637" ht="42" customHeight="1">
      <x:c r="A637" s="37" t="str">
        <x:v>DEP-0636</x:v>
      </x:c>
      <x:c r="B637" s="37" t="str">
        <x:v>QAR-021</x:v>
      </x:c>
      <x:c r="C637" s="37" t="str">
        <x:v>QAR-003</x:v>
      </x:c>
      <x:c r="D637" s="37" t="str">
        <x:v>완료 후 시작</x:v>
      </x:c>
      <x:c r="E637" s="37" t="str">
        <x:v>QA·릴리스 관리</x:v>
      </x:c>
      <x:c r="F637" s="37" t="str">
        <x:v>미정</x:v>
      </x:c>
      <x:c r="G637" s="37" t="str">
        <x:v>미착수</x:v>
      </x:c>
      <x:c r="H637" s="40" t="str">
        <x:v>미정</x:v>
      </x:c>
      <x:c r="I637" s="37"/>
      <x:c r="J637" s="37" t="str">
        <x:v>부문 내</x:v>
      </x:c>
    </x:row>
    <x:row r="638" ht="42" customHeight="1">
      <x:c r="A638" s="37" t="str">
        <x:v>DEP-0637</x:v>
      </x:c>
      <x:c r="B638" s="37" t="str">
        <x:v>QAR-021</x:v>
      </x:c>
      <x:c r="C638" s="37" t="str">
        <x:v>NET-012</x:v>
      </x:c>
      <x:c r="D638" s="37" t="str">
        <x:v>인터페이스·협업</x:v>
      </x:c>
      <x:c r="E638" s="37" t="str">
        <x:v>QA·릴리스 관리</x:v>
      </x:c>
      <x:c r="F638" s="37" t="str">
        <x:v>미정</x:v>
      </x:c>
      <x:c r="G638" s="37" t="str">
        <x:v>미착수</x:v>
      </x:c>
      <x:c r="H638" s="40" t="str">
        <x:v>미정</x:v>
      </x:c>
      <x:c r="I638" s="37"/>
      <x:c r="J638" s="37" t="str">
        <x:v>부문 간</x:v>
      </x:c>
    </x:row>
    <x:row r="639" ht="42" customHeight="1">
      <x:c r="A639" s="37" t="str">
        <x:v>DEP-0638</x:v>
      </x:c>
      <x:c r="B639" s="37" t="str">
        <x:v>QAR-021</x:v>
      </x:c>
      <x:c r="C639" s="37" t="str">
        <x:v>BED-018</x:v>
      </x:c>
      <x:c r="D639" s="37" t="str">
        <x:v>인터페이스·협업</x:v>
      </x:c>
      <x:c r="E639" s="37" t="str">
        <x:v>QA·릴리스 관리</x:v>
      </x:c>
      <x:c r="F639" s="37" t="str">
        <x:v>미정</x:v>
      </x:c>
      <x:c r="G639" s="37" t="str">
        <x:v>미착수</x:v>
      </x:c>
      <x:c r="H639" s="40" t="str">
        <x:v>미정</x:v>
      </x:c>
      <x:c r="I639" s="37"/>
      <x:c r="J639" s="37" t="str">
        <x:v>부문 간</x:v>
      </x:c>
    </x:row>
    <x:row r="640" ht="42" customHeight="1">
      <x:c r="A640" s="37" t="str">
        <x:v>DEP-0639</x:v>
      </x:c>
      <x:c r="B640" s="37" t="str">
        <x:v>QAR-022</x:v>
      </x:c>
      <x:c r="C640" s="37" t="str">
        <x:v>BED-002</x:v>
      </x:c>
      <x:c r="D640" s="37" t="str">
        <x:v>인터페이스·협업</x:v>
      </x:c>
      <x:c r="E640" s="37" t="str">
        <x:v>QA·릴리스 관리</x:v>
      </x:c>
      <x:c r="F640" s="37" t="str">
        <x:v>미정</x:v>
      </x:c>
      <x:c r="G640" s="37" t="str">
        <x:v>미착수</x:v>
      </x:c>
      <x:c r="H640" s="40" t="str">
        <x:v>미정</x:v>
      </x:c>
      <x:c r="I640" s="37"/>
      <x:c r="J640" s="37" t="str">
        <x:v>부문 간</x:v>
      </x:c>
    </x:row>
    <x:row r="641" ht="42" customHeight="1">
      <x:c r="A641" s="37" t="str">
        <x:v>DEP-0640</x:v>
      </x:c>
      <x:c r="B641" s="37" t="str">
        <x:v>QAR-022</x:v>
      </x:c>
      <x:c r="C641" s="37" t="str">
        <x:v>BED-003</x:v>
      </x:c>
      <x:c r="D641" s="37" t="str">
        <x:v>인터페이스·협업</x:v>
      </x:c>
      <x:c r="E641" s="37" t="str">
        <x:v>QA·릴리스 관리</x:v>
      </x:c>
      <x:c r="F641" s="37" t="str">
        <x:v>미정</x:v>
      </x:c>
      <x:c r="G641" s="37" t="str">
        <x:v>미착수</x:v>
      </x:c>
      <x:c r="H641" s="40" t="str">
        <x:v>미정</x:v>
      </x:c>
      <x:c r="I641" s="37"/>
      <x:c r="J641" s="37" t="str">
        <x:v>부문 간</x:v>
      </x:c>
    </x:row>
    <x:row r="642" ht="42" customHeight="1">
      <x:c r="A642" s="37" t="str">
        <x:v>DEP-0641</x:v>
      </x:c>
      <x:c r="B642" s="37" t="str">
        <x:v>QAR-022</x:v>
      </x:c>
      <x:c r="C642" s="37" t="str">
        <x:v>BED-009</x:v>
      </x:c>
      <x:c r="D642" s="37" t="str">
        <x:v>인터페이스·협업</x:v>
      </x:c>
      <x:c r="E642" s="37" t="str">
        <x:v>QA·릴리스 관리</x:v>
      </x:c>
      <x:c r="F642" s="37" t="str">
        <x:v>미정</x:v>
      </x:c>
      <x:c r="G642" s="37" t="str">
        <x:v>미착수</x:v>
      </x:c>
      <x:c r="H642" s="40" t="str">
        <x:v>미정</x:v>
      </x:c>
      <x:c r="I642" s="37"/>
      <x:c r="J642" s="37" t="str">
        <x:v>부문 간</x:v>
      </x:c>
    </x:row>
    <x:row r="643" ht="42" customHeight="1">
      <x:c r="A643" s="37" t="str">
        <x:v>DEP-0642</x:v>
      </x:c>
      <x:c r="B643" s="37" t="str">
        <x:v>QAR-023</x:v>
      </x:c>
      <x:c r="C643" s="37" t="str">
        <x:v>QAR-001</x:v>
      </x:c>
      <x:c r="D643" s="37" t="str">
        <x:v>완료 후 시작</x:v>
      </x:c>
      <x:c r="E643" s="37" t="str">
        <x:v>QA·릴리스 관리</x:v>
      </x:c>
      <x:c r="F643" s="37" t="str">
        <x:v>미정</x:v>
      </x:c>
      <x:c r="G643" s="37" t="str">
        <x:v>미착수</x:v>
      </x:c>
      <x:c r="H643" s="40" t="str">
        <x:v>미정</x:v>
      </x:c>
      <x:c r="I643" s="37"/>
      <x:c r="J643" s="37" t="str">
        <x:v>부문 내</x:v>
      </x:c>
    </x:row>
    <x:row r="644" ht="42" customHeight="1">
      <x:c r="A644" s="37" t="str">
        <x:v>DEP-0643</x:v>
      </x:c>
      <x:c r="B644" s="37" t="str">
        <x:v>QAR-023</x:v>
      </x:c>
      <x:c r="C644" s="37" t="str">
        <x:v>QAR-019</x:v>
      </x:c>
      <x:c r="D644" s="37" t="str">
        <x:v>완료 후 시작</x:v>
      </x:c>
      <x:c r="E644" s="37" t="str">
        <x:v>QA·릴리스 관리</x:v>
      </x:c>
      <x:c r="F644" s="37" t="str">
        <x:v>미정</x:v>
      </x:c>
      <x:c r="G644" s="37" t="str">
        <x:v>미착수</x:v>
      </x:c>
      <x:c r="H644" s="40" t="str">
        <x:v>미정</x:v>
      </x:c>
      <x:c r="I644" s="37"/>
      <x:c r="J644" s="37" t="str">
        <x:v>부문 내</x:v>
      </x:c>
    </x:row>
    <x:row r="645" ht="42" customHeight="1">
      <x:c r="A645" s="37" t="str">
        <x:v>DEP-0644</x:v>
      </x:c>
      <x:c r="B645" s="37" t="str">
        <x:v>QAR-024</x:v>
      </x:c>
      <x:c r="C645" s="37" t="str">
        <x:v>QAR-021</x:v>
      </x:c>
      <x:c r="D645" s="37" t="str">
        <x:v>완료 후 시작</x:v>
      </x:c>
      <x:c r="E645" s="37" t="str">
        <x:v>QA·릴리스 관리</x:v>
      </x:c>
      <x:c r="F645" s="37" t="str">
        <x:v>미정</x:v>
      </x:c>
      <x:c r="G645" s="37" t="str">
        <x:v>미착수</x:v>
      </x:c>
      <x:c r="H645" s="40" t="str">
        <x:v>미정</x:v>
      </x:c>
      <x:c r="I645" s="37"/>
      <x:c r="J645" s="37" t="str">
        <x:v>부문 내</x:v>
      </x:c>
    </x:row>
    <x:row r="646" ht="42" customHeight="1">
      <x:c r="A646" s="37" t="str">
        <x:v>DEP-0645</x:v>
      </x:c>
      <x:c r="B646" s="37" t="str">
        <x:v>QAR-024</x:v>
      </x:c>
      <x:c r="C646" s="37" t="str">
        <x:v>BED-028</x:v>
      </x:c>
      <x:c r="D646" s="37" t="str">
        <x:v>인터페이스·협업</x:v>
      </x:c>
      <x:c r="E646" s="37" t="str">
        <x:v>QA·릴리스 관리</x:v>
      </x:c>
      <x:c r="F646" s="37" t="str">
        <x:v>미정</x:v>
      </x:c>
      <x:c r="G646" s="37" t="str">
        <x:v>미착수</x:v>
      </x:c>
      <x:c r="H646" s="40" t="str">
        <x:v>미정</x:v>
      </x:c>
      <x:c r="I646" s="37"/>
      <x:c r="J646" s="37" t="str">
        <x:v>부문 간</x:v>
      </x:c>
    </x:row>
    <x:row r="647" ht="42" customHeight="1">
      <x:c r="A647" s="37" t="str">
        <x:v>DEP-0646</x:v>
      </x:c>
      <x:c r="B647" s="37" t="str">
        <x:v>QAR-025</x:v>
      </x:c>
      <x:c r="C647" s="37" t="str">
        <x:v>NET-002</x:v>
      </x:c>
      <x:c r="D647" s="37" t="str">
        <x:v>인터페이스·협업</x:v>
      </x:c>
      <x:c r="E647" s="37" t="str">
        <x:v>QA·릴리스 관리</x:v>
      </x:c>
      <x:c r="F647" s="37" t="str">
        <x:v>미정</x:v>
      </x:c>
      <x:c r="G647" s="37" t="str">
        <x:v>미착수</x:v>
      </x:c>
      <x:c r="H647" s="40" t="str">
        <x:v>미정</x:v>
      </x:c>
      <x:c r="I647" s="37"/>
      <x:c r="J647" s="37" t="str">
        <x:v>부문 간</x:v>
      </x:c>
    </x:row>
    <x:row r="648" ht="42" customHeight="1">
      <x:c r="A648" s="37" t="str">
        <x:v>DEP-0647</x:v>
      </x:c>
      <x:c r="B648" s="37" t="str">
        <x:v>QAR-025</x:v>
      </x:c>
      <x:c r="C648" s="37" t="str">
        <x:v>BED-015</x:v>
      </x:c>
      <x:c r="D648" s="37" t="str">
        <x:v>인터페이스·협업</x:v>
      </x:c>
      <x:c r="E648" s="37" t="str">
        <x:v>QA·릴리스 관리</x:v>
      </x:c>
      <x:c r="F648" s="37" t="str">
        <x:v>미정</x:v>
      </x:c>
      <x:c r="G648" s="37" t="str">
        <x:v>미착수</x:v>
      </x:c>
      <x:c r="H648" s="40" t="str">
        <x:v>미정</x:v>
      </x:c>
      <x:c r="I648" s="37"/>
      <x:c r="J648" s="37" t="str">
        <x:v>부문 간</x:v>
      </x:c>
    </x:row>
    <x:row r="649" ht="42" customHeight="1">
      <x:c r="A649" s="37" t="str">
        <x:v>DEP-0648</x:v>
      </x:c>
      <x:c r="B649" s="37" t="str">
        <x:v>QAR-025</x:v>
      </x:c>
      <x:c r="C649" s="37" t="str">
        <x:v>CNT-028</x:v>
      </x:c>
      <x:c r="D649" s="37" t="str">
        <x:v>인터페이스·협업</x:v>
      </x:c>
      <x:c r="E649" s="37" t="str">
        <x:v>QA·릴리스 관리</x:v>
      </x:c>
      <x:c r="F649" s="37" t="str">
        <x:v>미정</x:v>
      </x:c>
      <x:c r="G649" s="37" t="str">
        <x:v>미착수</x:v>
      </x:c>
      <x:c r="H649" s="40" t="str">
        <x:v>미정</x:v>
      </x:c>
      <x:c r="I649" s="37"/>
      <x:c r="J649" s="37" t="str">
        <x:v>부문 간</x:v>
      </x:c>
    </x:row>
    <x:row r="650" ht="42" customHeight="1">
      <x:c r="A650" s="37" t="str">
        <x:v>DEP-0649</x:v>
      </x:c>
      <x:c r="B650" s="37" t="str">
        <x:v>QAR-025</x:v>
      </x:c>
      <x:c r="C650" s="37" t="str">
        <x:v>QAR-024</x:v>
      </x:c>
      <x:c r="D650" s="37" t="str">
        <x:v>완료 후 시작</x:v>
      </x:c>
      <x:c r="E650" s="37" t="str">
        <x:v>QA·릴리스 관리</x:v>
      </x:c>
      <x:c r="F650" s="37" t="str">
        <x:v>미정</x:v>
      </x:c>
      <x:c r="G650" s="37" t="str">
        <x:v>미착수</x:v>
      </x:c>
      <x:c r="H650" s="40" t="str">
        <x:v>미정</x:v>
      </x:c>
      <x:c r="I650" s="37"/>
      <x:c r="J650" s="37" t="str">
        <x:v>부문 내</x:v>
      </x:c>
    </x:row>
    <x:row r="651" ht="42" customHeight="1">
      <x:c r="A651" s="37" t="str">
        <x:v>DEP-0650</x:v>
      </x:c>
      <x:c r="B651" s="37" t="str">
        <x:v>QAR-026</x:v>
      </x:c>
      <x:c r="C651" s="37" t="str">
        <x:v>BED-023</x:v>
      </x:c>
      <x:c r="D651" s="37" t="str">
        <x:v>인터페이스·협업</x:v>
      </x:c>
      <x:c r="E651" s="37" t="str">
        <x:v>QA·릴리스 관리</x:v>
      </x:c>
      <x:c r="F651" s="37" t="str">
        <x:v>미정</x:v>
      </x:c>
      <x:c r="G651" s="37" t="str">
        <x:v>미착수</x:v>
      </x:c>
      <x:c r="H651" s="40" t="str">
        <x:v>미정</x:v>
      </x:c>
      <x:c r="I651" s="37"/>
      <x:c r="J651" s="37" t="str">
        <x:v>부문 간</x:v>
      </x:c>
    </x:row>
    <x:row r="652" ht="42" customHeight="1">
      <x:c r="A652" s="37" t="str">
        <x:v>DEP-0651</x:v>
      </x:c>
      <x:c r="B652" s="37" t="str">
        <x:v>QAR-026</x:v>
      </x:c>
      <x:c r="C652" s="37" t="str">
        <x:v>QAR-013</x:v>
      </x:c>
      <x:c r="D652" s="37" t="str">
        <x:v>완료 후 시작</x:v>
      </x:c>
      <x:c r="E652" s="37" t="str">
        <x:v>QA·릴리스 관리</x:v>
      </x:c>
      <x:c r="F652" s="37" t="str">
        <x:v>미정</x:v>
      </x:c>
      <x:c r="G652" s="37" t="str">
        <x:v>미착수</x:v>
      </x:c>
      <x:c r="H652" s="40" t="str">
        <x:v>미정</x:v>
      </x:c>
      <x:c r="I652" s="37"/>
      <x:c r="J652" s="37" t="str">
        <x:v>부문 내</x:v>
      </x:c>
    </x:row>
    <x:row r="653" ht="42" customHeight="1">
      <x:c r="A653" s="37" t="str">
        <x:v>DEP-0652</x:v>
      </x:c>
      <x:c r="B653" s="37" t="str">
        <x:v>QAR-027</x:v>
      </x:c>
      <x:c r="C653" s="37" t="str">
        <x:v>BED-019</x:v>
      </x:c>
      <x:c r="D653" s="37" t="str">
        <x:v>인터페이스·협업</x:v>
      </x:c>
      <x:c r="E653" s="37" t="str">
        <x:v>QA·릴리스 관리</x:v>
      </x:c>
      <x:c r="F653" s="37" t="str">
        <x:v>미정</x:v>
      </x:c>
      <x:c r="G653" s="37" t="str">
        <x:v>미착수</x:v>
      </x:c>
      <x:c r="H653" s="40" t="str">
        <x:v>미정</x:v>
      </x:c>
      <x:c r="I653" s="37"/>
      <x:c r="J653" s="37" t="str">
        <x:v>부문 간</x:v>
      </x:c>
    </x:row>
    <x:row r="654" ht="42" customHeight="1">
      <x:c r="A654" s="37" t="str">
        <x:v>DEP-0653</x:v>
      </x:c>
      <x:c r="B654" s="37" t="str">
        <x:v>QAR-027</x:v>
      </x:c>
      <x:c r="C654" s="37" t="str">
        <x:v>ONL-024</x:v>
      </x:c>
      <x:c r="D654" s="37" t="str">
        <x:v>인터페이스·협업</x:v>
      </x:c>
      <x:c r="E654" s="37" t="str">
        <x:v>QA·릴리스 관리</x:v>
      </x:c>
      <x:c r="F654" s="37" t="str">
        <x:v>미정</x:v>
      </x:c>
      <x:c r="G654" s="37" t="str">
        <x:v>미착수</x:v>
      </x:c>
      <x:c r="H654" s="40" t="str">
        <x:v>미정</x:v>
      </x:c>
      <x:c r="I654" s="37"/>
      <x:c r="J654" s="37" t="str">
        <x:v>부문 간</x:v>
      </x:c>
    </x:row>
    <x:row r="655" ht="42" customHeight="1">
      <x:c r="A655" s="37" t="str">
        <x:v>DEP-0654</x:v>
      </x:c>
      <x:c r="B655" s="37" t="str">
        <x:v>QAR-028</x:v>
      </x:c>
      <x:c r="C655" s="37" t="str">
        <x:v>NET-026</x:v>
      </x:c>
      <x:c r="D655" s="37" t="str">
        <x:v>인터페이스·협업</x:v>
      </x:c>
      <x:c r="E655" s="37" t="str">
        <x:v>QA·릴리스 관리</x:v>
      </x:c>
      <x:c r="F655" s="37" t="str">
        <x:v>미정</x:v>
      </x:c>
      <x:c r="G655" s="37" t="str">
        <x:v>미착수</x:v>
      </x:c>
      <x:c r="H655" s="40" t="str">
        <x:v>미정</x:v>
      </x:c>
      <x:c r="I655" s="37"/>
      <x:c r="J655" s="37" t="str">
        <x:v>부문 간</x:v>
      </x:c>
    </x:row>
    <x:row r="656" ht="42" customHeight="1">
      <x:c r="A656" s="37" t="str">
        <x:v>DEP-0655</x:v>
      </x:c>
      <x:c r="B656" s="37" t="str">
        <x:v>QAR-028</x:v>
      </x:c>
      <x:c r="C656" s="37" t="str">
        <x:v>NET-027</x:v>
      </x:c>
      <x:c r="D656" s="37" t="str">
        <x:v>인터페이스·협업</x:v>
      </x:c>
      <x:c r="E656" s="37" t="str">
        <x:v>QA·릴리스 관리</x:v>
      </x:c>
      <x:c r="F656" s="37" t="str">
        <x:v>미정</x:v>
      </x:c>
      <x:c r="G656" s="37" t="str">
        <x:v>미착수</x:v>
      </x:c>
      <x:c r="H656" s="40" t="str">
        <x:v>미정</x:v>
      </x:c>
      <x:c r="I656" s="37"/>
      <x:c r="J656" s="37" t="str">
        <x:v>부문 간</x:v>
      </x:c>
    </x:row>
    <x:row r="657" ht="42" customHeight="1">
      <x:c r="A657" s="37" t="str">
        <x:v>DEP-0656</x:v>
      </x:c>
      <x:c r="B657" s="37" t="str">
        <x:v>QAR-028</x:v>
      </x:c>
      <x:c r="C657" s="37" t="str">
        <x:v>BED-012</x:v>
      </x:c>
      <x:c r="D657" s="37" t="str">
        <x:v>인터페이스·협업</x:v>
      </x:c>
      <x:c r="E657" s="37" t="str">
        <x:v>QA·릴리스 관리</x:v>
      </x:c>
      <x:c r="F657" s="37" t="str">
        <x:v>미정</x:v>
      </x:c>
      <x:c r="G657" s="37" t="str">
        <x:v>미착수</x:v>
      </x:c>
      <x:c r="H657" s="40" t="str">
        <x:v>미정</x:v>
      </x:c>
      <x:c r="I657" s="37"/>
      <x:c r="J657" s="37" t="str">
        <x:v>부문 간</x:v>
      </x:c>
    </x:row>
    <x:row r="658" ht="42" customHeight="1">
      <x:c r="A658" s="37" t="str">
        <x:v>DEP-0657</x:v>
      </x:c>
      <x:c r="B658" s="37" t="str">
        <x:v>QAR-028</x:v>
      </x:c>
      <x:c r="C658" s="37" t="str">
        <x:v>BED-014</x:v>
      </x:c>
      <x:c r="D658" s="37" t="str">
        <x:v>인터페이스·협업</x:v>
      </x:c>
      <x:c r="E658" s="37" t="str">
        <x:v>QA·릴리스 관리</x:v>
      </x:c>
      <x:c r="F658" s="37" t="str">
        <x:v>미정</x:v>
      </x:c>
      <x:c r="G658" s="37" t="str">
        <x:v>미착수</x:v>
      </x:c>
      <x:c r="H658" s="40" t="str">
        <x:v>미정</x:v>
      </x:c>
      <x:c r="I658" s="37"/>
      <x:c r="J658" s="37" t="str">
        <x:v>부문 간</x:v>
      </x:c>
    </x:row>
    <x:row r="659" ht="42" customHeight="1">
      <x:c r="A659" s="37" t="str">
        <x:v>DEP-0658</x:v>
      </x:c>
      <x:c r="B659" s="37" t="str">
        <x:v>QAR-028</x:v>
      </x:c>
      <x:c r="C659" s="37" t="str">
        <x:v>BED-027</x:v>
      </x:c>
      <x:c r="D659" s="37" t="str">
        <x:v>인터페이스·협업</x:v>
      </x:c>
      <x:c r="E659" s="37" t="str">
        <x:v>QA·릴리스 관리</x:v>
      </x:c>
      <x:c r="F659" s="37" t="str">
        <x:v>미정</x:v>
      </x:c>
      <x:c r="G659" s="37" t="str">
        <x:v>미착수</x:v>
      </x:c>
      <x:c r="H659" s="40" t="str">
        <x:v>미정</x:v>
      </x:c>
      <x:c r="I659" s="37"/>
      <x:c r="J659" s="37" t="str">
        <x:v>부문 간</x:v>
      </x:c>
    </x:row>
    <x:row r="660" ht="42" customHeight="1">
      <x:c r="A660" s="37" t="str">
        <x:v>DEP-0659</x:v>
      </x:c>
      <x:c r="B660" s="37" t="str">
        <x:v>QAR-029</x:v>
      </x:c>
      <x:c r="C660" s="37" t="str">
        <x:v>ONL-012</x:v>
      </x:c>
      <x:c r="D660" s="37" t="str">
        <x:v>인터페이스·협업</x:v>
      </x:c>
      <x:c r="E660" s="37" t="str">
        <x:v>QA·릴리스 관리</x:v>
      </x:c>
      <x:c r="F660" s="37" t="str">
        <x:v>미정</x:v>
      </x:c>
      <x:c r="G660" s="37" t="str">
        <x:v>미착수</x:v>
      </x:c>
      <x:c r="H660" s="40" t="str">
        <x:v>미정</x:v>
      </x:c>
      <x:c r="I660" s="37"/>
      <x:c r="J660" s="37" t="str">
        <x:v>부문 간</x:v>
      </x:c>
    </x:row>
    <x:row r="661" ht="42" customHeight="1">
      <x:c r="A661" s="37" t="str">
        <x:v>DEP-0660</x:v>
      </x:c>
      <x:c r="B661" s="37" t="str">
        <x:v>QAR-029</x:v>
      </x:c>
      <x:c r="C661" s="37" t="str">
        <x:v>AUD-023</x:v>
      </x:c>
      <x:c r="D661" s="37" t="str">
        <x:v>인터페이스·협업</x:v>
      </x:c>
      <x:c r="E661" s="37" t="str">
        <x:v>QA·릴리스 관리</x:v>
      </x:c>
      <x:c r="F661" s="37" t="str">
        <x:v>미정</x:v>
      </x:c>
      <x:c r="G661" s="37" t="str">
        <x:v>미착수</x:v>
      </x:c>
      <x:c r="H661" s="40" t="str">
        <x:v>미정</x:v>
      </x:c>
      <x:c r="I661" s="37"/>
      <x:c r="J661" s="37" t="str">
        <x:v>부문 간</x:v>
      </x:c>
    </x:row>
    <x:row r="662" ht="42" customHeight="1">
      <x:c r="A662" s="37" t="str">
        <x:v>DEP-0661</x:v>
      </x:c>
      <x:c r="B662" s="37" t="str">
        <x:v>QAR-029</x:v>
      </x:c>
      <x:c r="C662" s="37" t="str">
        <x:v>BED-005</x:v>
      </x:c>
      <x:c r="D662" s="37" t="str">
        <x:v>인터페이스·협업</x:v>
      </x:c>
      <x:c r="E662" s="37" t="str">
        <x:v>QA·릴리스 관리</x:v>
      </x:c>
      <x:c r="F662" s="37" t="str">
        <x:v>미정</x:v>
      </x:c>
      <x:c r="G662" s="37" t="str">
        <x:v>미착수</x:v>
      </x:c>
      <x:c r="H662" s="40" t="str">
        <x:v>미정</x:v>
      </x:c>
      <x:c r="I662" s="37"/>
      <x:c r="J662" s="37" t="str">
        <x:v>부문 간</x:v>
      </x:c>
    </x:row>
    <x:row r="663" ht="42" customHeight="1">
      <x:c r="A663" s="37" t="str">
        <x:v>DEP-0662</x:v>
      </x:c>
      <x:c r="B663" s="37" t="str">
        <x:v>QAR-029</x:v>
      </x:c>
      <x:c r="C663" s="37" t="str">
        <x:v>BED-013</x:v>
      </x:c>
      <x:c r="D663" s="37" t="str">
        <x:v>인터페이스·협업</x:v>
      </x:c>
      <x:c r="E663" s="37" t="str">
        <x:v>QA·릴리스 관리</x:v>
      </x:c>
      <x:c r="F663" s="37" t="str">
        <x:v>미정</x:v>
      </x:c>
      <x:c r="G663" s="37" t="str">
        <x:v>미착수</x:v>
      </x:c>
      <x:c r="H663" s="40" t="str">
        <x:v>미정</x:v>
      </x:c>
      <x:c r="I663" s="37"/>
      <x:c r="J663" s="37" t="str">
        <x:v>부문 간</x:v>
      </x:c>
    </x:row>
    <x:row r="664" ht="42" customHeight="1">
      <x:c r="A664" s="37" t="str">
        <x:v>DEP-0663</x:v>
      </x:c>
      <x:c r="B664" s="37" t="str">
        <x:v>QAR-030</x:v>
      </x:c>
      <x:c r="C664" s="37" t="str">
        <x:v>BED-019</x:v>
      </x:c>
      <x:c r="D664" s="37" t="str">
        <x:v>인터페이스·협업</x:v>
      </x:c>
      <x:c r="E664" s="37" t="str">
        <x:v>QA·릴리스 관리</x:v>
      </x:c>
      <x:c r="F664" s="37" t="str">
        <x:v>미정</x:v>
      </x:c>
      <x:c r="G664" s="37" t="str">
        <x:v>미착수</x:v>
      </x:c>
      <x:c r="H664" s="40" t="str">
        <x:v>미정</x:v>
      </x:c>
      <x:c r="I664" s="37"/>
      <x:c r="J664" s="37" t="str">
        <x:v>부문 간</x:v>
      </x:c>
    </x:row>
    <x:row r="665" ht="42" customHeight="1">
      <x:c r="A665" s="37" t="str">
        <x:v>DEP-0664</x:v>
      </x:c>
      <x:c r="B665" s="37" t="str">
        <x:v>QAR-030</x:v>
      </x:c>
      <x:c r="C665" s="37" t="str">
        <x:v>BED-021</x:v>
      </x:c>
      <x:c r="D665" s="37" t="str">
        <x:v>인터페이스·협업</x:v>
      </x:c>
      <x:c r="E665" s="37" t="str">
        <x:v>QA·릴리스 관리</x:v>
      </x:c>
      <x:c r="F665" s="37" t="str">
        <x:v>미정</x:v>
      </x:c>
      <x:c r="G665" s="37" t="str">
        <x:v>미착수</x:v>
      </x:c>
      <x:c r="H665" s="40" t="str">
        <x:v>미정</x:v>
      </x:c>
      <x:c r="I665" s="37"/>
      <x:c r="J665" s="37" t="str">
        <x:v>부문 간</x:v>
      </x:c>
    </x:row>
    <x:row r="666" ht="42" customHeight="1">
      <x:c r="A666" s="37" t="str">
        <x:v>DEP-0665</x:v>
      </x:c>
      <x:c r="B666" s="37" t="str">
        <x:v>QAR-030</x:v>
      </x:c>
      <x:c r="C666" s="37" t="str">
        <x:v>BED-028</x:v>
      </x:c>
      <x:c r="D666" s="37" t="str">
        <x:v>인터페이스·협업</x:v>
      </x:c>
      <x:c r="E666" s="37" t="str">
        <x:v>QA·릴리스 관리</x:v>
      </x:c>
      <x:c r="F666" s="37" t="str">
        <x:v>미정</x:v>
      </x:c>
      <x:c r="G666" s="37" t="str">
        <x:v>미착수</x:v>
      </x:c>
      <x:c r="H666" s="40" t="str">
        <x:v>미정</x:v>
      </x:c>
      <x:c r="I666" s="37"/>
      <x:c r="J666" s="37" t="str">
        <x:v>부문 간</x:v>
      </x:c>
    </x:row>
    <x:row r="667" ht="42" customHeight="1">
      <x:c r="A667" s="37" t="str">
        <x:v>DEP-0666</x:v>
      </x:c>
      <x:c r="B667" s="37" t="str">
        <x:v>QAR-030</x:v>
      </x:c>
      <x:c r="C667" s="37" t="str">
        <x:v>ONL-025</x:v>
      </x:c>
      <x:c r="D667" s="37" t="str">
        <x:v>인터페이스·협업</x:v>
      </x:c>
      <x:c r="E667" s="37" t="str">
        <x:v>QA·릴리스 관리</x:v>
      </x:c>
      <x:c r="F667" s="37" t="str">
        <x:v>미정</x:v>
      </x:c>
      <x:c r="G667" s="37" t="str">
        <x:v>미착수</x:v>
      </x:c>
      <x:c r="H667" s="40" t="str">
        <x:v>미정</x:v>
      </x:c>
      <x:c r="I667" s="37"/>
      <x:c r="J667" s="37" t="str">
        <x:v>부문 간</x:v>
      </x:c>
    </x:row>
    <x:row r="668" ht="42" customHeight="1">
      <x:c r="A668" s="37" t="str">
        <x:v>DEP-0667</x:v>
      </x:c>
      <x:c r="B668" s="37" t="str">
        <x:v>QAR-031</x:v>
      </x:c>
      <x:c r="C668" s="37" t="str">
        <x:v>BED-028</x:v>
      </x:c>
      <x:c r="D668" s="37" t="str">
        <x:v>인터페이스·협업</x:v>
      </x:c>
      <x:c r="E668" s="37" t="str">
        <x:v>QA·릴리스 관리</x:v>
      </x:c>
      <x:c r="F668" s="37" t="str">
        <x:v>미정</x:v>
      </x:c>
      <x:c r="G668" s="37" t="str">
        <x:v>미착수</x:v>
      </x:c>
      <x:c r="H668" s="40" t="str">
        <x:v>미정</x:v>
      </x:c>
      <x:c r="I668" s="37"/>
      <x:c r="J668" s="37" t="str">
        <x:v>부문 간</x:v>
      </x:c>
    </x:row>
    <x:row r="669" ht="42" customHeight="1">
      <x:c r="A669" s="37" t="str">
        <x:v>DEP-0668</x:v>
      </x:c>
      <x:c r="B669" s="37" t="str">
        <x:v>QAR-031</x:v>
      </x:c>
      <x:c r="C669" s="37" t="str">
        <x:v>QAR-024</x:v>
      </x:c>
      <x:c r="D669" s="37" t="str">
        <x:v>완료 후 시작</x:v>
      </x:c>
      <x:c r="E669" s="37" t="str">
        <x:v>QA·릴리스 관리</x:v>
      </x:c>
      <x:c r="F669" s="37" t="str">
        <x:v>미정</x:v>
      </x:c>
      <x:c r="G669" s="37" t="str">
        <x:v>미착수</x:v>
      </x:c>
      <x:c r="H669" s="40" t="str">
        <x:v>미정</x:v>
      </x:c>
      <x:c r="I669" s="37"/>
      <x:c r="J669" s="37" t="str">
        <x:v>부문 내</x:v>
      </x:c>
    </x:row>
    <x:row r="670" ht="42" customHeight="1">
      <x:c r="A670" s="37" t="str">
        <x:v>DEP-0669</x:v>
      </x:c>
      <x:c r="B670" s="37" t="str">
        <x:v>QAR-031</x:v>
      </x:c>
      <x:c r="C670" s="37" t="str">
        <x:v>QAR-025</x:v>
      </x:c>
      <x:c r="D670" s="37" t="str">
        <x:v>완료 후 시작</x:v>
      </x:c>
      <x:c r="E670" s="37" t="str">
        <x:v>QA·릴리스 관리</x:v>
      </x:c>
      <x:c r="F670" s="37" t="str">
        <x:v>미정</x:v>
      </x:c>
      <x:c r="G670" s="37" t="str">
        <x:v>미착수</x:v>
      </x:c>
      <x:c r="H670" s="40" t="str">
        <x:v>미정</x:v>
      </x:c>
      <x:c r="I670" s="37"/>
      <x:c r="J670" s="37" t="str">
        <x:v>부문 내</x:v>
      </x:c>
    </x:row>
    <x:row r="671" ht="42" customHeight="1">
      <x:c r="A671" s="37" t="str">
        <x:v>DEP-0670</x:v>
      </x:c>
      <x:c r="B671" s="37" t="str">
        <x:v>QAR-032</x:v>
      </x:c>
      <x:c r="C671" s="37" t="str">
        <x:v>QAR-023</x:v>
      </x:c>
      <x:c r="D671" s="37" t="str">
        <x:v>완료 후 시작</x:v>
      </x:c>
      <x:c r="E671" s="37" t="str">
        <x:v>QA·릴리스 관리</x:v>
      </x:c>
      <x:c r="F671" s="37" t="str">
        <x:v>미정</x:v>
      </x:c>
      <x:c r="G671" s="37" t="str">
        <x:v>미착수</x:v>
      </x:c>
      <x:c r="H671" s="40" t="str">
        <x:v>미정</x:v>
      </x:c>
      <x:c r="I671" s="37"/>
      <x:c r="J671" s="37" t="str">
        <x:v>부문 내</x:v>
      </x:c>
    </x:row>
    <x:row r="672" ht="42" customHeight="1">
      <x:c r="A672" s="37" t="str">
        <x:v>DEP-0671</x:v>
      </x:c>
      <x:c r="B672" s="37" t="str">
        <x:v>QAR-032</x:v>
      </x:c>
      <x:c r="C672" s="37" t="str">
        <x:v>QAR-026</x:v>
      </x:c>
      <x:c r="D672" s="37" t="str">
        <x:v>완료 후 시작</x:v>
      </x:c>
      <x:c r="E672" s="37" t="str">
        <x:v>QA·릴리스 관리</x:v>
      </x:c>
      <x:c r="F672" s="37" t="str">
        <x:v>미정</x:v>
      </x:c>
      <x:c r="G672" s="37" t="str">
        <x:v>미착수</x:v>
      </x:c>
      <x:c r="H672" s="40" t="str">
        <x:v>미정</x:v>
      </x:c>
      <x:c r="I672" s="37"/>
      <x:c r="J672" s="37" t="str">
        <x:v>부문 내</x:v>
      </x:c>
    </x:row>
    <x:row r="673" ht="42" customHeight="1">
      <x:c r="A673" s="37" t="str">
        <x:v>DEP-0672</x:v>
      </x:c>
      <x:c r="B673" s="37" t="str">
        <x:v>QAR-032</x:v>
      </x:c>
      <x:c r="C673" s="37" t="str">
        <x:v>QAR-027</x:v>
      </x:c>
      <x:c r="D673" s="37" t="str">
        <x:v>완료 후 시작</x:v>
      </x:c>
      <x:c r="E673" s="37" t="str">
        <x:v>QA·릴리스 관리</x:v>
      </x:c>
      <x:c r="F673" s="37" t="str">
        <x:v>미정</x:v>
      </x:c>
      <x:c r="G673" s="37" t="str">
        <x:v>미착수</x:v>
      </x:c>
      <x:c r="H673" s="40" t="str">
        <x:v>미정</x:v>
      </x:c>
      <x:c r="I673" s="37"/>
      <x:c r="J673" s="37" t="str">
        <x:v>부문 내</x:v>
      </x:c>
    </x:row>
    <x:row r="674" ht="42" customHeight="1">
      <x:c r="A674" s="37" t="str">
        <x:v>DEP-0673</x:v>
      </x:c>
      <x:c r="B674" s="37" t="str">
        <x:v>QAR-032</x:v>
      </x:c>
      <x:c r="C674" s="37" t="str">
        <x:v>QAR-028</x:v>
      </x:c>
      <x:c r="D674" s="37" t="str">
        <x:v>완료 후 시작</x:v>
      </x:c>
      <x:c r="E674" s="37" t="str">
        <x:v>QA·릴리스 관리</x:v>
      </x:c>
      <x:c r="F674" s="37" t="str">
        <x:v>미정</x:v>
      </x:c>
      <x:c r="G674" s="37" t="str">
        <x:v>미착수</x:v>
      </x:c>
      <x:c r="H674" s="40" t="str">
        <x:v>미정</x:v>
      </x:c>
      <x:c r="I674" s="37"/>
      <x:c r="J674" s="37" t="str">
        <x:v>부문 내</x:v>
      </x:c>
    </x:row>
    <x:row r="675" ht="42" customHeight="1">
      <x:c r="A675" s="37" t="str">
        <x:v>DEP-0674</x:v>
      </x:c>
      <x:c r="B675" s="37" t="str">
        <x:v>QAR-032</x:v>
      </x:c>
      <x:c r="C675" s="37" t="str">
        <x:v>QAR-029</x:v>
      </x:c>
      <x:c r="D675" s="37" t="str">
        <x:v>완료 후 시작</x:v>
      </x:c>
      <x:c r="E675" s="37" t="str">
        <x:v>QA·릴리스 관리</x:v>
      </x:c>
      <x:c r="F675" s="37" t="str">
        <x:v>미정</x:v>
      </x:c>
      <x:c r="G675" s="37" t="str">
        <x:v>미착수</x:v>
      </x:c>
      <x:c r="H675" s="40" t="str">
        <x:v>미정</x:v>
      </x:c>
      <x:c r="I675" s="37"/>
      <x:c r="J675" s="37" t="str">
        <x:v>부문 내</x:v>
      </x:c>
    </x:row>
    <x:row r="676" ht="42" customHeight="1">
      <x:c r="A676" s="37" t="str">
        <x:v>DEP-0675</x:v>
      </x:c>
      <x:c r="B676" s="37" t="str">
        <x:v>QAR-032</x:v>
      </x:c>
      <x:c r="C676" s="37" t="str">
        <x:v>QAR-030</x:v>
      </x:c>
      <x:c r="D676" s="37" t="str">
        <x:v>완료 후 시작</x:v>
      </x:c>
      <x:c r="E676" s="37" t="str">
        <x:v>QA·릴리스 관리</x:v>
      </x:c>
      <x:c r="F676" s="37" t="str">
        <x:v>미정</x:v>
      </x:c>
      <x:c r="G676" s="37" t="str">
        <x:v>미착수</x:v>
      </x:c>
      <x:c r="H676" s="40" t="str">
        <x:v>미정</x:v>
      </x:c>
      <x:c r="I676" s="37"/>
      <x:c r="J676" s="37" t="str">
        <x:v>부문 내</x:v>
      </x:c>
    </x:row>
    <x:row r="677" ht="42" customHeight="1">
      <x:c r="A677" s="37" t="str">
        <x:v>DEP-0676</x:v>
      </x:c>
      <x:c r="B677" s="37" t="str">
        <x:v>QAR-032</x:v>
      </x:c>
      <x:c r="C677" s="37" t="str">
        <x:v>QAR-031</x:v>
      </x:c>
      <x:c r="D677" s="37" t="str">
        <x:v>완료 후 시작</x:v>
      </x:c>
      <x:c r="E677" s="37" t="str">
        <x:v>QA·릴리스 관리</x:v>
      </x:c>
      <x:c r="F677" s="37" t="str">
        <x:v>미정</x:v>
      </x:c>
      <x:c r="G677" s="37" t="str">
        <x:v>미착수</x:v>
      </x:c>
      <x:c r="H677" s="40" t="str">
        <x:v>미정</x:v>
      </x:c>
      <x:c r="I677" s="37"/>
      <x:c r="J677" s="37" t="str">
        <x:v>부문 내</x:v>
      </x:c>
    </x:row>
    <x:row r="678" ht="42" customHeight="1">
      <x:c r="A678" s="37" t="str">
        <x:v>DEP-0677</x:v>
      </x:c>
      <x:c r="B678" s="37" t="str">
        <x:v>QAR-033</x:v>
      </x:c>
      <x:c r="C678" s="37" t="str">
        <x:v>QAR-017</x:v>
      </x:c>
      <x:c r="D678" s="37" t="str">
        <x:v>완료 후 시작</x:v>
      </x:c>
      <x:c r="E678" s="37" t="str">
        <x:v>QA·릴리스 관리</x:v>
      </x:c>
      <x:c r="F678" s="37" t="str">
        <x:v>미정</x:v>
      </x:c>
      <x:c r="G678" s="37" t="str">
        <x:v>미착수</x:v>
      </x:c>
      <x:c r="H678" s="40" t="str">
        <x:v>미정</x:v>
      </x:c>
      <x:c r="I678" s="37"/>
      <x:c r="J678" s="37" t="str">
        <x:v>부문 내</x:v>
      </x:c>
    </x:row>
    <x:row r="679" ht="42" customHeight="1">
      <x:c r="A679" s="37" t="str">
        <x:v>DEP-0678</x:v>
      </x:c>
      <x:c r="B679" s="37" t="str">
        <x:v>QAR-033</x:v>
      </x:c>
      <x:c r="C679" s="37" t="str">
        <x:v>QAR-018</x:v>
      </x:c>
      <x:c r="D679" s="37" t="str">
        <x:v>완료 후 시작</x:v>
      </x:c>
      <x:c r="E679" s="37" t="str">
        <x:v>QA·릴리스 관리</x:v>
      </x:c>
      <x:c r="F679" s="37" t="str">
        <x:v>미정</x:v>
      </x:c>
      <x:c r="G679" s="37" t="str">
        <x:v>미착수</x:v>
      </x:c>
      <x:c r="H679" s="40" t="str">
        <x:v>미정</x:v>
      </x:c>
      <x:c r="I679" s="37"/>
      <x:c r="J679" s="37" t="str">
        <x:v>부문 내</x:v>
      </x:c>
    </x:row>
    <x:row r="680" ht="42" customHeight="1">
      <x:c r="A680" s="37" t="str">
        <x:v>DEP-0679</x:v>
      </x:c>
      <x:c r="B680" s="37" t="str">
        <x:v>QAR-033</x:v>
      </x:c>
      <x:c r="C680" s="37" t="str">
        <x:v>BED-012</x:v>
      </x:c>
      <x:c r="D680" s="37" t="str">
        <x:v>인터페이스·협업</x:v>
      </x:c>
      <x:c r="E680" s="37" t="str">
        <x:v>QA·릴리스 관리</x:v>
      </x:c>
      <x:c r="F680" s="37" t="str">
        <x:v>미정</x:v>
      </x:c>
      <x:c r="G680" s="37" t="str">
        <x:v>미착수</x:v>
      </x:c>
      <x:c r="H680" s="40" t="str">
        <x:v>미정</x:v>
      </x:c>
      <x:c r="I680" s="37"/>
      <x:c r="J680" s="37" t="str">
        <x:v>부문 간</x:v>
      </x:c>
    </x:row>
    <x:row r="681" ht="42" customHeight="1">
      <x:c r="A681" s="37" t="str">
        <x:v>DEP-0680</x:v>
      </x:c>
      <x:c r="B681" s="37" t="str">
        <x:v>QAR-034</x:v>
      </x:c>
      <x:c r="C681" s="37" t="str">
        <x:v>BED-008</x:v>
      </x:c>
      <x:c r="D681" s="37" t="str">
        <x:v>인터페이스·협업</x:v>
      </x:c>
      <x:c r="E681" s="37" t="str">
        <x:v>QA·릴리스 관리</x:v>
      </x:c>
      <x:c r="F681" s="37" t="str">
        <x:v>미정</x:v>
      </x:c>
      <x:c r="G681" s="37" t="str">
        <x:v>미착수</x:v>
      </x:c>
      <x:c r="H681" s="40" t="str">
        <x:v>미정</x:v>
      </x:c>
      <x:c r="I681" s="37"/>
      <x:c r="J681" s="37" t="str">
        <x:v>부문 간</x:v>
      </x:c>
    </x:row>
    <x:row r="682" ht="42" customHeight="1">
      <x:c r="A682" s="37" t="str">
        <x:v>DEP-0681</x:v>
      </x:c>
      <x:c r="B682" s="37" t="str">
        <x:v>QAR-034</x:v>
      </x:c>
      <x:c r="C682" s="37" t="str">
        <x:v>BED-019</x:v>
      </x:c>
      <x:c r="D682" s="37" t="str">
        <x:v>인터페이스·협업</x:v>
      </x:c>
      <x:c r="E682" s="37" t="str">
        <x:v>QA·릴리스 관리</x:v>
      </x:c>
      <x:c r="F682" s="37" t="str">
        <x:v>미정</x:v>
      </x:c>
      <x:c r="G682" s="37" t="str">
        <x:v>미착수</x:v>
      </x:c>
      <x:c r="H682" s="40" t="str">
        <x:v>미정</x:v>
      </x:c>
      <x:c r="I682" s="37"/>
      <x:c r="J682" s="37" t="str">
        <x:v>부문 간</x:v>
      </x:c>
    </x:row>
    <x:row r="683" ht="42" customHeight="1">
      <x:c r="A683" s="37" t="str">
        <x:v>DEP-0682</x:v>
      </x:c>
      <x:c r="B683" s="37" t="str">
        <x:v>QAR-034</x:v>
      </x:c>
      <x:c r="C683" s="37" t="str">
        <x:v>QAR-026</x:v>
      </x:c>
      <x:c r="D683" s="37" t="str">
        <x:v>완료 후 시작</x:v>
      </x:c>
      <x:c r="E683" s="37" t="str">
        <x:v>QA·릴리스 관리</x:v>
      </x:c>
      <x:c r="F683" s="37" t="str">
        <x:v>미정</x:v>
      </x:c>
      <x:c r="G683" s="37" t="str">
        <x:v>미착수</x:v>
      </x:c>
      <x:c r="H683" s="40" t="str">
        <x:v>미정</x:v>
      </x:c>
      <x:c r="I683" s="37"/>
      <x:c r="J683" s="37" t="str">
        <x:v>부문 내</x:v>
      </x:c>
    </x:row>
    <x:row r="684" ht="42" customHeight="1">
      <x:c r="A684" s="37" t="str">
        <x:v>DEP-0683</x:v>
      </x:c>
      <x:c r="B684" s="37" t="str">
        <x:v>QAR-034</x:v>
      </x:c>
      <x:c r="C684" s="37" t="str">
        <x:v>QAR-027</x:v>
      </x:c>
      <x:c r="D684" s="37" t="str">
        <x:v>완료 후 시작</x:v>
      </x:c>
      <x:c r="E684" s="37" t="str">
        <x:v>QA·릴리스 관리</x:v>
      </x:c>
      <x:c r="F684" s="37" t="str">
        <x:v>미정</x:v>
      </x:c>
      <x:c r="G684" s="37" t="str">
        <x:v>미착수</x:v>
      </x:c>
      <x:c r="H684" s="40" t="str">
        <x:v>미정</x:v>
      </x:c>
      <x:c r="I684" s="37"/>
      <x:c r="J684" s="37" t="str">
        <x:v>부문 내</x:v>
      </x:c>
    </x:row>
    <x:row r="685" ht="42" customHeight="1">
      <x:c r="A685" s="37" t="str">
        <x:v>DEP-0684</x:v>
      </x:c>
      <x:c r="B685" s="37" t="str">
        <x:v>QAR-035</x:v>
      </x:c>
      <x:c r="C685" s="37" t="str">
        <x:v>QAR-030</x:v>
      </x:c>
      <x:c r="D685" s="37" t="str">
        <x:v>완료 후 시작</x:v>
      </x:c>
      <x:c r="E685" s="37" t="str">
        <x:v>QA·릴리스 관리</x:v>
      </x:c>
      <x:c r="F685" s="37" t="str">
        <x:v>미정</x:v>
      </x:c>
      <x:c r="G685" s="37" t="str">
        <x:v>미착수</x:v>
      </x:c>
      <x:c r="H685" s="40" t="str">
        <x:v>미정</x:v>
      </x:c>
      <x:c r="I685" s="37"/>
      <x:c r="J685" s="37" t="str">
        <x:v>부문 내</x:v>
      </x:c>
    </x:row>
    <x:row r="686" ht="42" customHeight="1">
      <x:c r="A686" s="37" t="str">
        <x:v>DEP-0685</x:v>
      </x:c>
      <x:c r="B686" s="37" t="str">
        <x:v>QAR-035</x:v>
      </x:c>
      <x:c r="C686" s="37" t="str">
        <x:v>QAR-034</x:v>
      </x:c>
      <x:c r="D686" s="37" t="str">
        <x:v>완료 후 시작</x:v>
      </x:c>
      <x:c r="E686" s="37" t="str">
        <x:v>QA·릴리스 관리</x:v>
      </x:c>
      <x:c r="F686" s="37" t="str">
        <x:v>미정</x:v>
      </x:c>
      <x:c r="G686" s="37" t="str">
        <x:v>미착수</x:v>
      </x:c>
      <x:c r="H686" s="40" t="str">
        <x:v>미정</x:v>
      </x:c>
      <x:c r="I686" s="37"/>
      <x:c r="J686" s="37" t="str">
        <x:v>부문 내</x:v>
      </x:c>
    </x:row>
    <x:row r="687" ht="42" customHeight="1">
      <x:c r="A687" s="37" t="str">
        <x:v>DEP-0686</x:v>
      </x:c>
      <x:c r="B687" s="37" t="str">
        <x:v>QAR-036</x:v>
      </x:c>
      <x:c r="C687" s="37" t="str">
        <x:v>QAR-023</x:v>
      </x:c>
      <x:c r="D687" s="37" t="str">
        <x:v>완료 후 시작</x:v>
      </x:c>
      <x:c r="E687" s="37" t="str">
        <x:v>QA·릴리스 관리</x:v>
      </x:c>
      <x:c r="F687" s="37" t="str">
        <x:v>미정</x:v>
      </x:c>
      <x:c r="G687" s="37" t="str">
        <x:v>미착수</x:v>
      </x:c>
      <x:c r="H687" s="40" t="str">
        <x:v>미정</x:v>
      </x:c>
      <x:c r="I687" s="37"/>
      <x:c r="J687" s="37" t="str">
        <x:v>부문 내</x:v>
      </x:c>
    </x:row>
    <x:row r="688" ht="42" customHeight="1">
      <x:c r="A688" s="37" t="str">
        <x:v>DEP-0687</x:v>
      </x:c>
      <x:c r="B688" s="37" t="str">
        <x:v>QAR-036</x:v>
      </x:c>
      <x:c r="C688" s="37" t="str">
        <x:v>QAR-024</x:v>
      </x:c>
      <x:c r="D688" s="37" t="str">
        <x:v>완료 후 시작</x:v>
      </x:c>
      <x:c r="E688" s="37" t="str">
        <x:v>QA·릴리스 관리</x:v>
      </x:c>
      <x:c r="F688" s="37" t="str">
        <x:v>미정</x:v>
      </x:c>
      <x:c r="G688" s="37" t="str">
        <x:v>미착수</x:v>
      </x:c>
      <x:c r="H688" s="40" t="str">
        <x:v>미정</x:v>
      </x:c>
      <x:c r="I688" s="37"/>
      <x:c r="J688" s="37" t="str">
        <x:v>부문 내</x:v>
      </x:c>
    </x:row>
    <x:row r="689" ht="42" customHeight="1">
      <x:c r="A689" s="37" t="str">
        <x:v>DEP-0688</x:v>
      </x:c>
      <x:c r="B689" s="37" t="str">
        <x:v>QAR-037</x:v>
      </x:c>
      <x:c r="C689" s="37" t="str">
        <x:v>QAR-011</x:v>
      </x:c>
      <x:c r="D689" s="37" t="str">
        <x:v>완료 후 시작</x:v>
      </x:c>
      <x:c r="E689" s="37" t="str">
        <x:v>QA·릴리스 관리</x:v>
      </x:c>
      <x:c r="F689" s="37" t="str">
        <x:v>미정</x:v>
      </x:c>
      <x:c r="G689" s="37" t="str">
        <x:v>미착수</x:v>
      </x:c>
      <x:c r="H689" s="40" t="str">
        <x:v>미정</x:v>
      </x:c>
      <x:c r="I689" s="37"/>
      <x:c r="J689" s="37" t="str">
        <x:v>부문 내</x:v>
      </x:c>
    </x:row>
    <x:row r="690" ht="42" customHeight="1">
      <x:c r="A690" s="37" t="str">
        <x:v>DEP-0689</x:v>
      </x:c>
      <x:c r="B690" s="37" t="str">
        <x:v>QAR-037</x:v>
      </x:c>
      <x:c r="C690" s="37" t="str">
        <x:v>QAR-029</x:v>
      </x:c>
      <x:c r="D690" s="37" t="str">
        <x:v>완료 후 시작</x:v>
      </x:c>
      <x:c r="E690" s="37" t="str">
        <x:v>QA·릴리스 관리</x:v>
      </x:c>
      <x:c r="F690" s="37" t="str">
        <x:v>미정</x:v>
      </x:c>
      <x:c r="G690" s="37" t="str">
        <x:v>미착수</x:v>
      </x:c>
      <x:c r="H690" s="40" t="str">
        <x:v>미정</x:v>
      </x:c>
      <x:c r="I690" s="37"/>
      <x:c r="J690" s="37" t="str">
        <x:v>부문 내</x:v>
      </x:c>
    </x:row>
    <x:row r="691" ht="42" customHeight="1">
      <x:c r="A691" s="37" t="str">
        <x:v>DEP-0690</x:v>
      </x:c>
      <x:c r="B691" s="37" t="str">
        <x:v>QAR-038</x:v>
      </x:c>
      <x:c r="C691" s="37" t="str">
        <x:v>QAR-032</x:v>
      </x:c>
      <x:c r="D691" s="37" t="str">
        <x:v>완료 후 시작</x:v>
      </x:c>
      <x:c r="E691" s="37" t="str">
        <x:v>QA·릴리스 관리</x:v>
      </x:c>
      <x:c r="F691" s="37" t="str">
        <x:v>미정</x:v>
      </x:c>
      <x:c r="G691" s="37" t="str">
        <x:v>미착수</x:v>
      </x:c>
      <x:c r="H691" s="40" t="str">
        <x:v>미정</x:v>
      </x:c>
      <x:c r="I691" s="37"/>
      <x:c r="J691" s="37" t="str">
        <x:v>부문 내</x:v>
      </x:c>
    </x:row>
    <x:row r="692" ht="42" customHeight="1">
      <x:c r="A692" s="37" t="str">
        <x:v>DEP-0691</x:v>
      </x:c>
      <x:c r="B692" s="37" t="str">
        <x:v>QAR-038</x:v>
      </x:c>
      <x:c r="C692" s="37" t="str">
        <x:v>QAR-034</x:v>
      </x:c>
      <x:c r="D692" s="37" t="str">
        <x:v>완료 후 시작</x:v>
      </x:c>
      <x:c r="E692" s="37" t="str">
        <x:v>QA·릴리스 관리</x:v>
      </x:c>
      <x:c r="F692" s="37" t="str">
        <x:v>미정</x:v>
      </x:c>
      <x:c r="G692" s="37" t="str">
        <x:v>미착수</x:v>
      </x:c>
      <x:c r="H692" s="40" t="str">
        <x:v>미정</x:v>
      </x:c>
      <x:c r="I692" s="37"/>
      <x:c r="J692" s="37" t="str">
        <x:v>부문 내</x:v>
      </x:c>
    </x:row>
    <x:row r="693" ht="42" customHeight="1">
      <x:c r="A693" s="37" t="str">
        <x:v>DEP-0692</x:v>
      </x:c>
      <x:c r="B693" s="37" t="str">
        <x:v>QAR-038</x:v>
      </x:c>
      <x:c r="C693" s="37" t="str">
        <x:v>QAR-036</x:v>
      </x:c>
      <x:c r="D693" s="37" t="str">
        <x:v>완료 후 시작</x:v>
      </x:c>
      <x:c r="E693" s="37" t="str">
        <x:v>QA·릴리스 관리</x:v>
      </x:c>
      <x:c r="F693" s="37" t="str">
        <x:v>미정</x:v>
      </x:c>
      <x:c r="G693" s="37" t="str">
        <x:v>미착수</x:v>
      </x:c>
      <x:c r="H693" s="40" t="str">
        <x:v>미정</x:v>
      </x:c>
      <x:c r="I693" s="37"/>
      <x:c r="J693" s="37" t="str">
        <x:v>부문 내</x:v>
      </x:c>
    </x:row>
    <x:row r="694" ht="42" customHeight="1">
      <x:c r="A694" s="37" t="str">
        <x:v>DEP-0693</x:v>
      </x:c>
      <x:c r="B694" s="37" t="str">
        <x:v>QAR-038</x:v>
      </x:c>
      <x:c r="C694" s="37" t="str">
        <x:v>QAR-037</x:v>
      </x:c>
      <x:c r="D694" s="37" t="str">
        <x:v>완료 후 시작</x:v>
      </x:c>
      <x:c r="E694" s="37" t="str">
        <x:v>QA·릴리스 관리</x:v>
      </x:c>
      <x:c r="F694" s="37" t="str">
        <x:v>미정</x:v>
      </x:c>
      <x:c r="G694" s="37" t="str">
        <x:v>미착수</x:v>
      </x:c>
      <x:c r="H694" s="40" t="str">
        <x:v>미정</x:v>
      </x:c>
      <x:c r="I694" s="37"/>
      <x:c r="J694" s="37" t="str">
        <x:v>부문 내</x:v>
      </x:c>
    </x:row>
  </x:sheetData>
  <x:conditionalFormatting sqref="G2:G694">
    <x:cfRule type="expression" dxfId="16" priority="1">
      <x:formula>G2="완료"</x:formula>
    </x:cfRule>
    <x:cfRule type="expression" dxfId="17" priority="2">
      <x:formula>G2="통과"</x:formula>
    </x:cfRule>
    <x:cfRule type="expression" dxfId="18" priority="3">
      <x:formula>G2="차단"</x:formula>
    </x:cfRule>
    <x:cfRule type="expression" dxfId="19" priority="4">
      <x:formula>G2="실패"</x:formula>
    </x:cfRule>
    <x:cfRule type="expression" dxfId="20" priority="5">
      <x:formula>G2="구현 중"</x:formula>
    </x:cfRule>
    <x:cfRule type="expression" dxfId="21" priority="6">
      <x:formula>G2="QA 진행 중"</x:formula>
    </x:cfRule>
  </x:conditionalFormatting>
  <x:dataValidations count="1">
    <x:dataValidation type="list" sqref="G2:G694">
      <x:formula1>"미착수,사양 확인 중,구현 중,코드 리뷰,QA 진행 중,차단,완료,보류"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4f3c18ace647d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4" hidden="0" customWidth="1"/>
    <x:col min="4" max="4" width="52" hidden="0" customWidth="1"/>
    <x:col min="5" max="5" width="32" hidden="0" customWidth="1"/>
    <x:col min="6" max="6" width="24" hidden="0" customWidth="1"/>
    <x:col min="7" max="7" width="32" hidden="0" customWidth="1"/>
    <x:col min="8" max="8" width="14" hidden="0" customWidth="1"/>
    <x:col min="9" max="9" width="18" hidden="0" customWidth="1"/>
    <x:col min="10" max="10" width="28" hidden="0" customWidth="1"/>
    <x:col min="11" max="11" width="34" hidden="0" customWidth="1"/>
    <x:col min="12" max="12" width="14" hidden="0" customWidth="1"/>
  </x:cols>
  <x:sheetData>
    <x:row r="1" ht="30" customHeight="1">
      <x:c r="A1" s="32" t="str">
        <x:v>게이트 ID</x:v>
      </x:c>
      <x:c r="B1" s="32" t="str">
        <x:v>마일스톤</x:v>
      </x:c>
      <x:c r="C1" s="32" t="str">
        <x:v>분류</x:v>
      </x:c>
      <x:c r="D1" s="32" t="str">
        <x:v>통과 기준</x:v>
      </x:c>
      <x:c r="E1" s="32" t="str">
        <x:v>지표·임계값</x:v>
      </x:c>
      <x:c r="F1" s="32" t="str">
        <x:v>담당자</x:v>
      </x:c>
      <x:c r="G1" s="32" t="str">
        <x:v>승인자</x:v>
      </x:c>
      <x:c r="H1" s="32" t="str">
        <x:v>상태</x:v>
      </x:c>
      <x:c r="I1" s="32" t="str">
        <x:v>예외 ID</x:v>
      </x:c>
      <x:c r="J1" s="32" t="str">
        <x:v>증빙</x:v>
      </x:c>
      <x:c r="K1" s="32" t="str">
        <x:v>관련 ID</x:v>
      </x:c>
      <x:c r="L1" s="32" t="str">
        <x:v>최종 검토일</x:v>
      </x:c>
    </x:row>
    <x:row r="2" ht="42" customHeight="1">
      <x:c r="A2" s="37" t="str">
        <x:v>G-MVP-CORE</x:v>
      </x:c>
      <x:c r="B2" s="37" t="str">
        <x:v>MVP</x:v>
      </x:c>
      <x:c r="C2" s="37" t="str">
        <x:v>핵심 루프</x:v>
      </x:c>
      <x:c r="D2" s="37" t="str">
        <x:v>4~6명이 진행 중단 없이 1개 매치를 완료한다.</x:v>
      </x:c>
      <x:c r="E2" s="37" t="str">
        <x:v>P0 핵심 케이스 전체 통과</x:v>
      </x:c>
      <x:c r="F2" s="37" t="str">
        <x:v>게임 디렉터</x:v>
      </x:c>
      <x:c r="G2" s="37" t="str">
        <x:v>제품·엔지니어링·QA</x:v>
      </x:c>
      <x:c r="H2" s="37" t="str">
        <x:v>미착수</x:v>
      </x:c>
      <x:c r="I2" s="37"/>
      <x:c r="J2" s="37"/>
      <x:c r="K2" s="37" t="str">
        <x:v>IGM-001,IGM-031,QAR-004</x:v>
      </x:c>
      <x:c r="L2" s="40" t="str">
        <x:v>2026-07-10</x:v>
      </x:c>
    </x:row>
    <x:row r="3" ht="42" customHeight="1">
      <x:c r="A3" s="37" t="str">
        <x:v>G-MVP-SECRET</x:v>
      </x:c>
      <x:c r="B3" s="37" t="str">
        <x:v>MVP</x:v>
      </x:c>
      <x:c r="C3" s="37" t="str">
        <x:v>정보 비공개</x:v>
      </x:c>
      <x:c r="D3" s="37" t="str">
        <x:v>본인 등 메모, 실제 작성자, 타인 역할, 중간 투표 정보가 유출되지 않는다.</x:v>
      </x:c>
      <x:c r="E3" s="37" t="str">
        <x:v>정보 유출 시험 100% 통과</x:v>
      </x:c>
      <x:c r="F3" s="37" t="str">
        <x:v>보안 리드</x:v>
      </x:c>
      <x:c r="G3" s="37" t="str">
        <x:v>네트워크·QA·제품</x:v>
      </x:c>
      <x:c r="H3" s="37" t="str">
        <x:v>미착수</x:v>
      </x:c>
      <x:c r="I3" s="37"/>
      <x:c r="J3" s="37"/>
      <x:c r="K3" s="37" t="str">
        <x:v>NET-017,NET-018,QAR-006</x:v>
      </x:c>
      <x:c r="L3" s="40" t="str">
        <x:v>2026-07-10</x:v>
      </x:c>
    </x:row>
    <x:row r="4" ht="42" customHeight="1">
      <x:c r="A4" s="37" t="str">
        <x:v>G-A-NET</x:v>
      </x:c>
      <x:c r="B4" s="37" t="str">
        <x:v>알파</x:v>
      </x:c>
      <x:c r="C4" s="37" t="str">
        <x:v>네트워크</x:v>
      </x:c>
      <x:c r="D4" s="37" t="str">
        <x:v>열화·재접속 환경에서 중복, 누락, 상태 분기가 발생하지 않는다.</x:v>
      </x:c>
      <x:c r="E4" s="37" t="str">
        <x:v>승인된 네트워크 매트릭스 통과</x:v>
      </x:c>
      <x:c r="F4" s="37" t="str">
        <x:v>네트워크 리드</x:v>
      </x:c>
      <x:c r="G4" s="37" t="str">
        <x:v>기술·QA</x:v>
      </x:c>
      <x:c r="H4" s="37" t="str">
        <x:v>미착수</x:v>
      </x:c>
      <x:c r="I4" s="37"/>
      <x:c r="J4" s="37"/>
      <x:c r="K4" s="37" t="str">
        <x:v>QAR-007,QAR-008</x:v>
      </x:c>
      <x:c r="L4" s="40" t="str">
        <x:v>2026-07-10</x:v>
      </x:c>
    </x:row>
    <x:row r="5" ht="42" customHeight="1">
      <x:c r="A5" s="37" t="str">
        <x:v>G-A-OBS</x:v>
      </x:c>
      <x:c r="B5" s="37" t="str">
        <x:v>알파</x:v>
      </x:c>
      <x:c r="C5" s="37" t="str">
        <x:v>관측성</x:v>
      </x:c>
      <x:c r="D5" s="37" t="str">
        <x:v>버전, 매치 ID, 상관관계 ID, 주요 로그와 지표를 조회할 수 있다.</x:v>
      </x:c>
      <x:c r="E5" s="37" t="str">
        <x:v>운영 절차서 모의훈련 통과</x:v>
      </x:c>
      <x:c r="F5" s="37" t="str">
        <x:v>백엔드 리드</x:v>
      </x:c>
      <x:c r="G5" s="37" t="str">
        <x:v>운영·QA</x:v>
      </x:c>
      <x:c r="H5" s="37" t="str">
        <x:v>미착수</x:v>
      </x:c>
      <x:c r="I5" s="37"/>
      <x:c r="J5" s="37"/>
      <x:c r="K5" s="37" t="str">
        <x:v>BED-018,BED-019,BED-023</x:v>
      </x:c>
      <x:c r="L5" s="40" t="str">
        <x:v>2026-07-10</x:v>
      </x:c>
    </x:row>
    <x:row r="6" ht="42" customHeight="1">
      <x:c r="A6" s="37" t="str">
        <x:v>G-B-UX</x:v>
      </x:c>
      <x:c r="B6" s="37" t="str">
        <x:v>베타</x:v>
      </x:c>
      <x:c r="C6" s="37" t="str">
        <x:v>UX·접근성</x:v>
      </x:c>
      <x:c r="D6" s="37" t="str">
        <x:v>초회 플레이에서 핵심 규칙과 주요 조작을 이해하고 치명적 접근성 문제가 없다.</x:v>
      </x:c>
      <x:c r="E6" s="37" t="str">
        <x:v>사용자 조사 목표 및 접근성 시험 통과</x:v>
      </x:c>
      <x:c r="F6" s="37" t="str">
        <x:v>UX 디렉터</x:v>
      </x:c>
      <x:c r="G6" s="37" t="str">
        <x:v>제품·QA</x:v>
      </x:c>
      <x:c r="H6" s="37" t="str">
        <x:v>미착수</x:v>
      </x:c>
      <x:c r="I6" s="37"/>
      <x:c r="J6" s="37"/>
      <x:c r="K6" s="37" t="str">
        <x:v>UIX-027,SET-023,SET-024,QAR-010,QAR-018</x:v>
      </x:c>
      <x:c r="L6" s="40" t="str">
        <x:v>2026-07-10</x:v>
      </x:c>
    </x:row>
    <x:row r="7" ht="42" customHeight="1">
      <x:c r="A7" s="37" t="str">
        <x:v>G-B-BAL</x:v>
      </x:c>
      <x:c r="B7" s="37" t="str">
        <x:v>베타</x:v>
      </x:c>
      <x:c r="C7" s="37" t="str">
        <x:v>밸런스</x:v>
      </x:c>
      <x:c r="D7" s="37" t="str">
        <x:v>승률, 매치 시간, 이탈률이 승인 범위에 있다.</x:v>
      </x:c>
      <x:c r="E7" s="37" t="str">
        <x:v>초기안: 마피아 승률 40~60%, 12~20분</x:v>
      </x:c>
      <x:c r="F7" s="37" t="str">
        <x:v>게임 디렉터</x:v>
      </x:c>
      <x:c r="G7" s="37" t="str">
        <x:v>제품·분석·QA</x:v>
      </x:c>
      <x:c r="H7" s="37" t="str">
        <x:v>미착수</x:v>
      </x:c>
      <x:c r="I7" s="37"/>
      <x:c r="J7" s="37"/>
      <x:c r="K7" s="37" t="str">
        <x:v>QAR-017,CNT-031</x:v>
      </x:c>
      <x:c r="L7" s="40" t="str">
        <x:v>2026-07-10</x:v>
      </x:c>
    </x:row>
    <x:row r="8" ht="42" customHeight="1">
      <x:c r="A8" s="37" t="str">
        <x:v>G-RC-PERF</x:v>
      </x:c>
      <x:c r="B8" s="37" t="str">
        <x:v>릴리스 후보</x:v>
      </x:c>
      <x:c r="C8" s="37" t="str">
        <x:v>성능·안정성</x:v>
      </x:c>
      <x:c r="D8" s="37" t="str">
        <x:v>실기기 성능, 서버 부하, 장시간 시험, 크래시·SLO 목표를 달성한다.</x:v>
      </x:c>
      <x:c r="E8" s="37" t="str">
        <x:v>승인된 성능·안정성 목표 달성</x:v>
      </x:c>
      <x:c r="F8" s="37" t="str">
        <x:v>기술 디렉터</x:v>
      </x:c>
      <x:c r="G8" s="37" t="str">
        <x:v>QA·운영</x:v>
      </x:c>
      <x:c r="H8" s="37" t="str">
        <x:v>미착수</x:v>
      </x:c>
      <x:c r="I8" s="37"/>
      <x:c r="J8" s="37"/>
      <x:c r="K8" s="37" t="str">
        <x:v>QAR-013,QAR-014,QAR-016,QAR-026,QAR-027</x:v>
      </x:c>
      <x:c r="L8" s="40" t="str">
        <x:v>2026-07-10</x:v>
      </x:c>
    </x:row>
    <x:row r="9" ht="42" customHeight="1">
      <x:c r="A9" s="37" t="str">
        <x:v>G-RC-SEC</x:v>
      </x:c>
      <x:c r="B9" s="37" t="str">
        <x:v>릴리스 후보</x:v>
      </x:c>
      <x:c r="C9" s="37" t="str">
        <x:v>보안·개인정보</x:v>
      </x:c>
      <x:c r="D9" s="37" t="str">
        <x:v>높음·치명 등급 지적 0건이며 보존·동의·음성 정책이 승인된다.</x:v>
      </x:c>
      <x:c r="E9" s="37" t="str">
        <x:v>보안 검토 통과</x:v>
      </x:c>
      <x:c r="F9" s="37" t="str">
        <x:v>보안·개인정보 담당</x:v>
      </x:c>
      <x:c r="G9" s="37" t="str">
        <x:v>법무·기술·QA</x:v>
      </x:c>
      <x:c r="H9" s="37" t="str">
        <x:v>미착수</x:v>
      </x:c>
      <x:c r="I9" s="37"/>
      <x:c r="J9" s="37"/>
      <x:c r="K9" s="37" t="str">
        <x:v>QAR-028,BED-012,BED-014</x:v>
      </x:c>
      <x:c r="L9" s="40" t="str">
        <x:v>2026-07-10</x:v>
      </x:c>
    </x:row>
    <x:row r="10" ht="42" customHeight="1">
      <x:c r="A10" s="37" t="str">
        <x:v>G-L-CERT</x:v>
      </x:c>
      <x:c r="B10" s="37" t="str">
        <x:v>출시</x:v>
      </x:c>
      <x:c r="C10" s="37" t="str">
        <x:v>플랫폼·스토어</x:v>
      </x:c>
      <x:c r="D10" s="37" t="str">
        <x:v>플랫폼 인증, 스토어, 법무, 현지화 승인이 완료된다.</x:v>
      </x:c>
      <x:c r="E10" s="37" t="str">
        <x:v>모든 제출 항목 승인</x:v>
      </x:c>
      <x:c r="F10" s="37" t="str">
        <x:v>퍼블리싱 리드</x:v>
      </x:c>
      <x:c r="G10" s="37" t="str">
        <x:v>법무·제품·QA</x:v>
      </x:c>
      <x:c r="H10" s="37" t="str">
        <x:v>미착수</x:v>
      </x:c>
      <x:c r="I10" s="37"/>
      <x:c r="J10" s="37"/>
      <x:c r="K10" s="37" t="str">
        <x:v>QAR-029,QAR-037</x:v>
      </x:c>
      <x:c r="L10" s="40" t="str">
        <x:v>2026-07-10</x:v>
      </x:c>
    </x:row>
    <x:row r="11" ht="42" customHeight="1">
      <x:c r="A11" s="37" t="str">
        <x:v>G-L-OPS</x:v>
      </x:c>
      <x:c r="B11" s="37" t="str">
        <x:v>출시</x:v>
      </x:c>
      <x:c r="C11" s="37" t="str">
        <x:v>운영</x:v>
      </x:c>
      <x:c r="D11" s="37" t="str">
        <x:v>모니터링, 운영 절차서, 롤백, 워룸이 실제 운영 가능한 상태다.</x:v>
      </x:c>
      <x:c r="E11" s="37" t="str">
        <x:v>운영 준비 검토 통과</x:v>
      </x:c>
      <x:c r="F11" s="37" t="str">
        <x:v>운영 리드</x:v>
      </x:c>
      <x:c r="G11" s="37" t="str">
        <x:v>경영·기술·QA</x:v>
      </x:c>
      <x:c r="H11" s="37" t="str">
        <x:v>미착수</x:v>
      </x:c>
      <x:c r="I11" s="37"/>
      <x:c r="J11" s="37"/>
      <x:c r="K11" s="37" t="str">
        <x:v>QAR-030,QAR-031,QAR-034,QAR-035</x:v>
      </x:c>
      <x:c r="L11" s="40" t="str">
        <x:v>2026-07-10</x:v>
      </x:c>
    </x:row>
    <x:row r="12" ht="42" customHeight="1">
      <x:c r="A12" s="37" t="str">
        <x:v>G-L-FINAL</x:v>
      </x:c>
      <x:c r="B12" s="37" t="str">
        <x:v>출시</x:v>
      </x:c>
      <x:c r="C12" s="37" t="str">
        <x:v>최종 승인</x:v>
      </x:c>
      <x:c r="D12" s="37" t="str">
        <x:v>미해결 P0가 0건이며 모든 예외에 기한, 담당자, 롤백 계획이 있다.</x:v>
      </x:c>
      <x:c r="E12" s="37" t="str">
        <x:v>전체 부문 리드 승인</x:v>
      </x:c>
      <x:c r="F12" s="37" t="str">
        <x:v>총괄 프로듀서</x:v>
      </x:c>
      <x:c r="G12" s="37" t="str">
        <x:v>전체 부문 리드</x:v>
      </x:c>
      <x:c r="H12" s="37" t="str">
        <x:v>미착수</x:v>
      </x:c>
      <x:c r="I12" s="37"/>
      <x:c r="J12" s="37"/>
      <x:c r="K12" s="37" t="str">
        <x:v>QAR-038</x:v>
      </x:c>
      <x:c r="L12" s="40" t="str">
        <x:v>2026-07-10</x:v>
      </x:c>
    </x:row>
  </x:sheetData>
  <x:conditionalFormatting sqref="H2:H12">
    <x:cfRule type="expression" dxfId="22" priority="1">
      <x:formula>H2="완료"</x:formula>
    </x:cfRule>
    <x:cfRule type="expression" dxfId="23" priority="2">
      <x:formula>H2="통과"</x:formula>
    </x:cfRule>
    <x:cfRule type="expression" dxfId="24" priority="3">
      <x:formula>H2="차단"</x:formula>
    </x:cfRule>
    <x:cfRule type="expression" dxfId="25" priority="4">
      <x:formula>H2="실패"</x:formula>
    </x:cfRule>
    <x:cfRule type="expression" dxfId="26" priority="5">
      <x:formula>H2="구현 중"</x:formula>
    </x:cfRule>
    <x:cfRule type="expression" dxfId="27" priority="6">
      <x:formula>H2="QA 진행 중"</x:formula>
    </x:cfRule>
  </x:conditionalFormatting>
  <x:dataValidations count="1">
    <x:dataValidation type="list" sqref="H2:H12">
      <x:formula1>"미착수,진행 중,검토 중,차단,통과,면제"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e7725774424df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0" customHeight="1">
      <x:c r="A1" s="32" t="str">
        <x:v>업무</x:v>
      </x:c>
      <x:c r="B1" s="32" t="str">
        <x:v>제품</x:v>
      </x:c>
      <x:c r="C1" s="32" t="str">
        <x:v>게임 디자인</x:v>
      </x:c>
      <x:c r="D1" s="32" t="str">
        <x:v>클라이언트</x:v>
      </x:c>
      <x:c r="E1" s="32" t="str">
        <x:v>서버</x:v>
      </x:c>
      <x:c r="F1" s="32" t="str">
        <x:v>네트워크</x:v>
      </x:c>
      <x:c r="G1" s="32" t="str">
        <x:v>UI·UX</x:v>
      </x:c>
      <x:c r="H1" s="32" t="str">
        <x:v>아트·테크 아트</x:v>
      </x:c>
      <x:c r="I1" s="32" t="str">
        <x:v>오디오</x:v>
      </x:c>
      <x:c r="J1" s="32" t="str">
        <x:v>백엔드·라이브 운영</x:v>
      </x:c>
      <x:c r="K1" s="32" t="str">
        <x:v>QA</x:v>
      </x:c>
      <x:c r="L1" s="32" t="str">
        <x:v>보안·개인정보</x:v>
      </x:c>
      <x:c r="M1" s="32" t="str">
        <x:v>운영</x:v>
      </x:c>
      <x:c r="N1" s="32" t="str">
        <x:v>퍼블리싱·법무</x:v>
      </x:c>
    </x:row>
    <x:row r="2" ht="42" customHeight="1">
      <x:c r="A2" s="37" t="str">
        <x:v>핵심 규칙·사양</x:v>
      </x:c>
      <x:c r="B2" s="37" t="str">
        <x:v>A</x:v>
      </x:c>
      <x:c r="C2" s="37" t="str">
        <x:v>R</x:v>
      </x:c>
      <x:c r="D2" s="37" t="str">
        <x:v>C</x:v>
      </x:c>
      <x:c r="E2" s="37" t="str">
        <x:v>C</x:v>
      </x:c>
      <x:c r="F2" s="37" t="str">
        <x:v>C</x:v>
      </x:c>
      <x:c r="G2" s="37" t="str">
        <x:v>C</x:v>
      </x:c>
      <x:c r="H2" s="37" t="str">
        <x:v>C</x:v>
      </x:c>
      <x:c r="I2" s="37" t="str">
        <x:v>C</x:v>
      </x:c>
      <x:c r="J2" s="37" t="str">
        <x:v>I</x:v>
      </x:c>
      <x:c r="K2" s="37" t="str">
        <x:v>C</x:v>
      </x:c>
      <x:c r="L2" s="37" t="str">
        <x:v>C</x:v>
      </x:c>
      <x:c r="M2" s="37" t="str">
        <x:v>I</x:v>
      </x:c>
      <x:c r="N2" s="37" t="str">
        <x:v>I</x:v>
      </x:c>
    </x:row>
    <x:row r="3" ht="42" customHeight="1">
      <x:c r="A3" s="37" t="str">
        <x:v>인게임 구현</x:v>
      </x:c>
      <x:c r="B3" s="37" t="str">
        <x:v>C</x:v>
      </x:c>
      <x:c r="C3" s="37" t="str">
        <x:v>A</x:v>
      </x:c>
      <x:c r="D3" s="37" t="str">
        <x:v>R</x:v>
      </x:c>
      <x:c r="E3" s="37" t="str">
        <x:v>R</x:v>
      </x:c>
      <x:c r="F3" s="37" t="str">
        <x:v>C</x:v>
      </x:c>
      <x:c r="G3" s="37" t="str">
        <x:v>C</x:v>
      </x:c>
      <x:c r="H3" s="37" t="str">
        <x:v>C</x:v>
      </x:c>
      <x:c r="I3" s="37" t="str">
        <x:v>C</x:v>
      </x:c>
      <x:c r="J3" s="37" t="str">
        <x:v>I</x:v>
      </x:c>
      <x:c r="K3" s="37" t="str">
        <x:v>C</x:v>
      </x:c>
      <x:c r="L3" s="37" t="str">
        <x:v>C</x:v>
      </x:c>
      <x:c r="M3" s="37" t="str">
        <x:v>I</x:v>
      </x:c>
      <x:c r="N3" s="37" t="str">
        <x:v>I</x:v>
      </x:c>
    </x:row>
    <x:row r="4" ht="42" customHeight="1">
      <x:c r="A4" s="37" t="str">
        <x:v>UI·UX 및 접근성</x:v>
      </x:c>
      <x:c r="B4" s="37" t="str">
        <x:v>C</x:v>
      </x:c>
      <x:c r="C4" s="37" t="str">
        <x:v>C</x:v>
      </x:c>
      <x:c r="D4" s="37" t="str">
        <x:v>C</x:v>
      </x:c>
      <x:c r="E4" s="37" t="str">
        <x:v>C</x:v>
      </x:c>
      <x:c r="F4" s="37" t="str">
        <x:v>I</x:v>
      </x:c>
      <x:c r="G4" s="37" t="str">
        <x:v>A/R</x:v>
      </x:c>
      <x:c r="H4" s="37" t="str">
        <x:v>C</x:v>
      </x:c>
      <x:c r="I4" s="37" t="str">
        <x:v>C</x:v>
      </x:c>
      <x:c r="J4" s="37" t="str">
        <x:v>I</x:v>
      </x:c>
      <x:c r="K4" s="37" t="str">
        <x:v>R</x:v>
      </x:c>
      <x:c r="L4" s="37" t="str">
        <x:v>C</x:v>
      </x:c>
      <x:c r="M4" s="37" t="str">
        <x:v>I</x:v>
      </x:c>
      <x:c r="N4" s="37" t="str">
        <x:v>I</x:v>
      </x:c>
    </x:row>
    <x:row r="5" ht="42" customHeight="1">
      <x:c r="A5" s="37" t="str">
        <x:v>온라인·로비</x:v>
      </x:c>
      <x:c r="B5" s="37" t="str">
        <x:v>C</x:v>
      </x:c>
      <x:c r="C5" s="37" t="str">
        <x:v>C</x:v>
      </x:c>
      <x:c r="D5" s="37" t="str">
        <x:v>C</x:v>
      </x:c>
      <x:c r="E5" s="37" t="str">
        <x:v>R</x:v>
      </x:c>
      <x:c r="F5" s="37" t="str">
        <x:v>A/R</x:v>
      </x:c>
      <x:c r="G5" s="37" t="str">
        <x:v>C</x:v>
      </x:c>
      <x:c r="H5" s="37" t="str">
        <x:v>I</x:v>
      </x:c>
      <x:c r="I5" s="37" t="str">
        <x:v>C</x:v>
      </x:c>
      <x:c r="J5" s="37" t="str">
        <x:v>C</x:v>
      </x:c>
      <x:c r="K5" s="37" t="str">
        <x:v>C</x:v>
      </x:c>
      <x:c r="L5" s="37" t="str">
        <x:v>C</x:v>
      </x:c>
      <x:c r="M5" s="37" t="str">
        <x:v>R</x:v>
      </x:c>
      <x:c r="N5" s="37" t="str">
        <x:v>I</x:v>
      </x:c>
    </x:row>
    <x:row r="6" ht="42" customHeight="1">
      <x:c r="A6" s="37" t="str">
        <x:v>보안·개인정보</x:v>
      </x:c>
      <x:c r="B6" s="37" t="str">
        <x:v>I</x:v>
      </x:c>
      <x:c r="C6" s="37" t="str">
        <x:v>I</x:v>
      </x:c>
      <x:c r="D6" s="37" t="str">
        <x:v>C</x:v>
      </x:c>
      <x:c r="E6" s="37" t="str">
        <x:v>C</x:v>
      </x:c>
      <x:c r="F6" s="37" t="str">
        <x:v>R</x:v>
      </x:c>
      <x:c r="G6" s="37" t="str">
        <x:v>C</x:v>
      </x:c>
      <x:c r="H6" s="37" t="str">
        <x:v>I</x:v>
      </x:c>
      <x:c r="I6" s="37" t="str">
        <x:v>C</x:v>
      </x:c>
      <x:c r="J6" s="37" t="str">
        <x:v>R</x:v>
      </x:c>
      <x:c r="K6" s="37" t="str">
        <x:v>C</x:v>
      </x:c>
      <x:c r="L6" s="37" t="str">
        <x:v>A/R</x:v>
      </x:c>
      <x:c r="M6" s="37" t="str">
        <x:v>C</x:v>
      </x:c>
      <x:c r="N6" s="37" t="str">
        <x:v>C</x:v>
      </x:c>
    </x:row>
    <x:row r="7" ht="42" customHeight="1">
      <x:c r="A7" s="37" t="str">
        <x:v>콘텐츠·맵·미니게임</x:v>
      </x:c>
      <x:c r="B7" s="37" t="str">
        <x:v>C</x:v>
      </x:c>
      <x:c r="C7" s="37" t="str">
        <x:v>A/R</x:v>
      </x:c>
      <x:c r="D7" s="37" t="str">
        <x:v>C</x:v>
      </x:c>
      <x:c r="E7" s="37" t="str">
        <x:v>C</x:v>
      </x:c>
      <x:c r="F7" s="37" t="str">
        <x:v>C</x:v>
      </x:c>
      <x:c r="G7" s="37" t="str">
        <x:v>C</x:v>
      </x:c>
      <x:c r="H7" s="37" t="str">
        <x:v>R</x:v>
      </x:c>
      <x:c r="I7" s="37" t="str">
        <x:v>C</x:v>
      </x:c>
      <x:c r="J7" s="37" t="str">
        <x:v>I</x:v>
      </x:c>
      <x:c r="K7" s="37" t="str">
        <x:v>C</x:v>
      </x:c>
      <x:c r="L7" s="37" t="str">
        <x:v>C</x:v>
      </x:c>
      <x:c r="M7" s="37" t="str">
        <x:v>I</x:v>
      </x:c>
      <x:c r="N7" s="37" t="str">
        <x:v>I</x:v>
      </x:c>
    </x:row>
    <x:row r="8" ht="42" customHeight="1">
      <x:c r="A8" s="37" t="str">
        <x:v>캐릭터·외형 아이템</x:v>
      </x:c>
      <x:c r="B8" s="37" t="str">
        <x:v>C</x:v>
      </x:c>
      <x:c r="C8" s="37" t="str">
        <x:v>C</x:v>
      </x:c>
      <x:c r="D8" s="37" t="str">
        <x:v>C</x:v>
      </x:c>
      <x:c r="E8" s="37" t="str">
        <x:v>I</x:v>
      </x:c>
      <x:c r="F8" s="37" t="str">
        <x:v>I</x:v>
      </x:c>
      <x:c r="G8" s="37" t="str">
        <x:v>C</x:v>
      </x:c>
      <x:c r="H8" s="37" t="str">
        <x:v>A/R</x:v>
      </x:c>
      <x:c r="I8" s="37" t="str">
        <x:v>I</x:v>
      </x:c>
      <x:c r="J8" s="37" t="str">
        <x:v>C</x:v>
      </x:c>
      <x:c r="K8" s="37" t="str">
        <x:v>C</x:v>
      </x:c>
      <x:c r="L8" s="37" t="str">
        <x:v>C</x:v>
      </x:c>
      <x:c r="M8" s="37" t="str">
        <x:v>I</x:v>
      </x:c>
      <x:c r="N8" s="37" t="str">
        <x:v>C</x:v>
      </x:c>
    </x:row>
    <x:row r="9" ht="42" customHeight="1">
      <x:c r="A9" s="37" t="str">
        <x:v>QA 및 릴리스 게이트</x:v>
      </x:c>
      <x:c r="B9" s="37" t="str">
        <x:v>C</x:v>
      </x:c>
      <x:c r="C9" s="37" t="str">
        <x:v>C</x:v>
      </x:c>
      <x:c r="D9" s="37" t="str">
        <x:v>C</x:v>
      </x:c>
      <x:c r="E9" s="37" t="str">
        <x:v>C</x:v>
      </x:c>
      <x:c r="F9" s="37" t="str">
        <x:v>C</x:v>
      </x:c>
      <x:c r="G9" s="37" t="str">
        <x:v>C</x:v>
      </x:c>
      <x:c r="H9" s="37" t="str">
        <x:v>C</x:v>
      </x:c>
      <x:c r="I9" s="37" t="str">
        <x:v>C</x:v>
      </x:c>
      <x:c r="J9" s="37" t="str">
        <x:v>C</x:v>
      </x:c>
      <x:c r="K9" s="37" t="str">
        <x:v>A/R</x:v>
      </x:c>
      <x:c r="L9" s="37" t="str">
        <x:v>C</x:v>
      </x:c>
      <x:c r="M9" s="37" t="str">
        <x:v>R</x:v>
      </x:c>
      <x:c r="N9" s="37" t="str">
        <x:v>C</x:v>
      </x:c>
    </x:row>
    <x:row r="10" ht="42" customHeight="1">
      <x:c r="A10" s="37" t="str">
        <x:v>출시 운영</x:v>
      </x:c>
      <x:c r="B10" s="37" t="str">
        <x:v>I</x:v>
      </x:c>
      <x:c r="C10" s="37" t="str">
        <x:v>I</x:v>
      </x:c>
      <x:c r="D10" s="37" t="str">
        <x:v>C</x:v>
      </x:c>
      <x:c r="E10" s="37" t="str">
        <x:v>C</x:v>
      </x:c>
      <x:c r="F10" s="37" t="str">
        <x:v>C</x:v>
      </x:c>
      <x:c r="G10" s="37" t="str">
        <x:v>I</x:v>
      </x:c>
      <x:c r="H10" s="37" t="str">
        <x:v>I</x:v>
      </x:c>
      <x:c r="I10" s="37" t="str">
        <x:v>I</x:v>
      </x:c>
      <x:c r="J10" s="37" t="str">
        <x:v>R</x:v>
      </x:c>
      <x:c r="K10" s="37" t="str">
        <x:v>C</x:v>
      </x:c>
      <x:c r="L10" s="37" t="str">
        <x:v>C</x:v>
      </x:c>
      <x:c r="M10" s="37" t="str">
        <x:v>A/R</x:v>
      </x:c>
      <x:c r="N10" s="37" t="str">
        <x:v>C</x:v>
      </x:c>
    </x:row>
    <x:row r="11" ht="42" customHeight="1">
      <x:c r="A11" s="37" t="str">
        <x:v>커머스·랜덤 상자</x:v>
      </x:c>
      <x:c r="B11" s="37" t="str">
        <x:v>A</x:v>
      </x:c>
      <x:c r="C11" s="37" t="str">
        <x:v>C</x:v>
      </x:c>
      <x:c r="D11" s="37" t="str">
        <x:v>I</x:v>
      </x:c>
      <x:c r="E11" s="37" t="str">
        <x:v>I</x:v>
      </x:c>
      <x:c r="F11" s="37" t="str">
        <x:v>I</x:v>
      </x:c>
      <x:c r="G11" s="37" t="str">
        <x:v>C</x:v>
      </x:c>
      <x:c r="H11" s="37" t="str">
        <x:v>R</x:v>
      </x:c>
      <x:c r="I11" s="37" t="str">
        <x:v>I</x:v>
      </x:c>
      <x:c r="J11" s="37" t="str">
        <x:v>R</x:v>
      </x:c>
      <x:c r="K11" s="37" t="str">
        <x:v>C</x:v>
      </x:c>
      <x:c r="L11" s="37" t="str">
        <x:v>R</x:v>
      </x:c>
      <x:c r="M11" s="37" t="str">
        <x:v>C</x:v>
      </x:c>
      <x:c r="N11" s="37" t="str">
        <x:v>A/R</x:v>
      </x:c>
    </x:row>
  </x:sheetData>
  <x:pageMargins left="0.7" right="0.7" top="0.75" bottom="0.75" header="0.3" footer="0.3"/>
  <x:tableParts count="1">
    <x:tablePart xmlns:r="http://schemas.openxmlformats.org/officeDocument/2006/relationships" r:id="Rd332db2bcc524f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48" hidden="0" customWidth="1"/>
    <x:col min="5" max="5" width="36" hidden="0" customWidth="1"/>
    <x:col min="6" max="6" width="36" hidden="0" customWidth="1"/>
    <x:col min="7" max="7" width="12" hidden="0" customWidth="1"/>
    <x:col min="8" max="8" width="12" hidden="0" customWidth="1"/>
    <x:col min="9" max="9" width="10" hidden="0" customWidth="1"/>
    <x:col min="10" max="10" width="20" hidden="0" customWidth="1"/>
    <x:col min="11" max="11" width="48" hidden="0" customWidth="1"/>
    <x:col min="12" max="12" width="48" hidden="0" customWidth="1"/>
    <x:col min="13" max="13" width="14" hidden="0" customWidth="1"/>
    <x:col min="14" max="14" width="24" hidden="0" customWidth="1"/>
    <x:col min="15" max="15" width="13" hidden="0" customWidth="1"/>
    <x:col min="16" max="16" width="28" hidden="0" customWidth="1"/>
  </x:cols>
  <x:sheetData>
    <x:row r="1" ht="30" customHeight="1">
      <x:c r="A1" s="32" t="str">
        <x:v>위험 ID</x:v>
      </x:c>
      <x:c r="B1" s="32" t="str">
        <x:v>부문</x:v>
      </x:c>
      <x:c r="C1" s="32" t="str">
        <x:v>분류</x:v>
      </x:c>
      <x:c r="D1" s="32" t="str">
        <x:v>위험 내용</x:v>
      </x:c>
      <x:c r="E1" s="32" t="str">
        <x:v>발생 조건</x:v>
      </x:c>
      <x:c r="F1" s="32" t="str">
        <x:v>영향</x:v>
      </x:c>
      <x:c r="G1" s="32" t="str">
        <x:v>발생 확률</x:v>
      </x:c>
      <x:c r="H1" s="32" t="str">
        <x:v>영향도</x:v>
      </x:c>
      <x:c r="I1" s="32" t="str">
        <x:v>점수</x:v>
      </x:c>
      <x:c r="J1" s="32" t="str">
        <x:v>담당자</x:v>
      </x:c>
      <x:c r="K1" s="32" t="str">
        <x:v>예방 조치</x:v>
      </x:c>
      <x:c r="L1" s="32" t="str">
        <x:v>비상 대책</x:v>
      </x:c>
      <x:c r="M1" s="32" t="str">
        <x:v>상태</x:v>
      </x:c>
      <x:c r="N1" s="32" t="str">
        <x:v>관련 ID</x:v>
      </x:c>
      <x:c r="O1" s="32" t="str">
        <x:v>검토일</x:v>
      </x:c>
      <x:c r="P1" s="32" t="str">
        <x:v>비고</x:v>
      </x:c>
    </x:row>
    <x:row r="2" ht="42" customHeight="1">
      <x:c r="A2" s="37" t="str">
        <x:v>R-IGM-01</x:v>
      </x:c>
      <x:c r="B2" s="37" t="str">
        <x:v>인게임·게임플레이</x:v>
      </x:c>
      <x:c r="C2" s="37" t="str">
        <x:v>규칙</x:v>
      </x:c>
      <x:c r="D2" s="37" t="str">
        <x:v>동률·미투표·연결 끊김 정책이 미확정되어 승패 구현이 분기될 수 있다.</x:v>
      </x:c>
      <x:c r="E2" s="37" t="str">
        <x:v>MVP 사양 동결 시점까지 결정이 완료되지 않음</x:v>
      </x:c>
      <x:c r="F2" s="37" t="str">
        <x:v>밤 투표와 최종 투표 재작업</x:v>
      </x:c>
      <x:c r="G2" s="37" t="str">
        <x:v>높음</x:v>
      </x:c>
      <x:c r="H2" s="37" t="str">
        <x:v>높음</x:v>
      </x:c>
      <x:c r="I2" s="37" t="n">
        <x:f>IF(G2="높음",3,IF(G2="중간",2,1))*IF(H2="높음",3,IF(H2="중간",2,1))</x:f>
        <x:v>9</x:v>
      </x:c>
      <x:c r="J2" s="37" t="str">
        <x:v>게임플레이 디렉터</x:v>
      </x:c>
      <x:c r="K2" s="37" t="str">
        <x:v>의사결정 기록을 기한 내 승인한다.</x:v>
      </x:c>
      <x:c r="L2" s="37" t="str">
        <x:v>임시 규칙을 기능 플래그로 고정한다.</x:v>
      </x:c>
      <x:c r="M2" s="37" t="str">
        <x:v>미대응</x:v>
      </x:c>
      <x:c r="N2" s="37" t="str">
        <x:v>IGM-023,IGM-024,SET-011</x:v>
      </x:c>
      <x:c r="O2" s="40" t="str">
        <x:v>미정</x:v>
      </x:c>
      <x:c r="P2" s="37"/>
    </x:row>
    <x:row r="3" ht="42" customHeight="1">
      <x:c r="A3" s="37" t="str">
        <x:v>R-IGM-02</x:v>
      </x:c>
      <x:c r="B3" s="37" t="str">
        <x:v>인게임·게임플레이</x:v>
      </x:c>
      <x:c r="C3" s="37" t="str">
        <x:v>정보 비공개</x:v>
      </x:c>
      <x:c r="D3" s="37" t="str">
        <x:v>본인 등 메모 또는 실제 작성자 정보가 클라이언트에 유출될 수 있다.</x:v>
      </x:c>
      <x:c r="E3" s="37" t="str">
        <x:v>수신자 구분 없는 공통 스냅샷 배포</x:v>
      </x:c>
      <x:c r="F3" s="37" t="str">
        <x:v>핵심 게임 규칙 훼손·치트 악용</x:v>
      </x:c>
      <x:c r="G3" s="37" t="str">
        <x:v>중간</x:v>
      </x:c>
      <x:c r="H3" s="37" t="str">
        <x:v>높음</x:v>
      </x:c>
      <x:c r="I3" s="37" t="n">
        <x:f>IF(G3="높음",3,IF(G3="중간",2,1))*IF(H3="높음",3,IF(H3="중간",2,1))</x:f>
        <x:v>6</x:v>
      </x:c>
      <x:c r="J3" s="37" t="str">
        <x:v>네트워크 리드</x:v>
      </x:c>
      <x:c r="K3" s="37" t="str">
        <x:v>수신자별 공개 모델과 정보 유출 시험을 적용한다.</x:v>
      </x:c>
      <x:c r="L3" s="37" t="str">
        <x:v>해당 빌드 배포를 중지하고 프로토콜을 수정한다.</x:v>
      </x:c>
      <x:c r="M3" s="37" t="str">
        <x:v>미대응</x:v>
      </x:c>
      <x:c r="N3" s="37" t="str">
        <x:v>IGM-019,IGM-029,NET-018</x:v>
      </x:c>
      <x:c r="O3" s="40" t="str">
        <x:v>미정</x:v>
      </x:c>
      <x:c r="P3" s="37"/>
    </x:row>
    <x:row r="4" ht="42" customHeight="1">
      <x:c r="A4" s="37" t="str">
        <x:v>R-IGM-03</x:v>
      </x:c>
      <x:c r="B4" s="37" t="str">
        <x:v>인게임·게임플레이</x:v>
      </x:c>
      <x:c r="C4" s="37" t="str">
        <x:v>밸런스</x:v>
      </x:c>
      <x:c r="D4" s="37" t="str">
        <x:v>색상 위조가 지나치게 강해 시민 추리가 운에 의존할 수 있다.</x:v>
      </x:c>
      <x:c r="E4" s="37" t="str">
        <x:v>위조 횟수와 검증 수단의 조정 부족</x:v>
      </x:c>
      <x:c r="F4" s="37" t="str">
        <x:v>재방문율·사용자 평가 하락</x:v>
      </x:c>
      <x:c r="G4" s="37" t="str">
        <x:v>중간</x:v>
      </x:c>
      <x:c r="H4" s="37" t="str">
        <x:v>높음</x:v>
      </x:c>
      <x:c r="I4" s="37" t="n">
        <x:f>IF(G4="높음",3,IF(G4="중간",2,1))*IF(H4="높음",3,IF(H4="중간",2,1))</x:f>
        <x:v>6</x:v>
      </x:c>
      <x:c r="J4" s="37" t="str">
        <x:v>게임 디자인</x:v>
      </x:c>
      <x:c r="K4" s="37" t="str">
        <x:v>위조 횟수, 부착 애니메이션, 순서 정보의 영향을 계측한다.</x:v>
      </x:c>
      <x:c r="L4" s="37" t="str">
        <x:v>원격 설정으로 위조 횟수를 조정한다.</x:v>
      </x:c>
      <x:c r="M4" s="37" t="str">
        <x:v>미대응</x:v>
      </x:c>
      <x:c r="N4" s="37" t="str">
        <x:v>IGM-014,IGM-015</x:v>
      </x:c>
      <x:c r="O4" s="40" t="str">
        <x:v>미정</x:v>
      </x:c>
      <x:c r="P4" s="37"/>
    </x:row>
    <x:row r="5" ht="42" customHeight="1">
      <x:c r="A5" s="37" t="str">
        <x:v>R-IGM-04</x:v>
      </x:c>
      <x:c r="B5" s="37" t="str">
        <x:v>인게임·게임플레이</x:v>
      </x:c>
      <x:c r="C5" s="37" t="str">
        <x:v>상태 관리</x:v>
      </x:c>
      <x:c r="D5" s="37" t="str">
        <x:v>페이즈 경계 입력으로 메모 또는 투표가 중복 반영될 수 있다.</x:v>
      </x:c>
      <x:c r="E5" s="37" t="str">
        <x:v>지연, 재전송, 동시 조작</x:v>
      </x:c>
      <x:c r="F5" s="37" t="str">
        <x:v>진행 중단·승패 불일치</x:v>
      </x:c>
      <x:c r="G5" s="37" t="str">
        <x:v>중간</x:v>
      </x:c>
      <x:c r="H5" s="37" t="str">
        <x:v>높음</x:v>
      </x:c>
      <x:c r="I5" s="37" t="n">
        <x:f>IF(G5="높음",3,IF(G5="중간",2,1))*IF(H5="높음",3,IF(H5="중간",2,1))</x:f>
        <x:v>6</x:v>
      </x:c>
      <x:c r="J5" s="37" t="str">
        <x:v>게임플레이 엔지니어링</x:v>
      </x:c>
      <x:c r="K5" s="37" t="str">
        <x:v>원자 처리, 멱등 ID, 경계 자동 시험을 적용한다.</x:v>
      </x:c>
      <x:c r="L5" s="37" t="str">
        <x:v>매치를 무효화하고 관련 로그를 회수한다.</x:v>
      </x:c>
      <x:c r="M5" s="37" t="str">
        <x:v>미대응</x:v>
      </x:c>
      <x:c r="N5" s="37" t="str">
        <x:v>IGM-018,IGM-023</x:v>
      </x:c>
      <x:c r="O5" s="40" t="str">
        <x:v>미정</x:v>
      </x:c>
      <x:c r="P5" s="37"/>
    </x:row>
    <x:row r="6" ht="42" customHeight="1">
      <x:c r="A6" s="37" t="str">
        <x:v>R-UIX-01</x:v>
      </x:c>
      <x:c r="B6" s="37" t="str">
        <x:v>UI·UX</x:v>
      </x:c>
      <x:c r="C6" s="37" t="str">
        <x:v>판독성</x:v>
      </x:c>
      <x:c r="D6" s="37" t="str">
        <x:v>해상도, FOV, 외형 조합에 따라 등 메모를 읽기 어려울 수 있다.</x:v>
      </x:c>
      <x:c r="E6" s="37" t="str">
        <x:v>표시 거리, LOD, 겹침 조정 부족</x:v>
      </x:c>
      <x:c r="F6" s="37" t="str">
        <x:v>추리 진행 불가</x:v>
      </x:c>
      <x:c r="G6" s="37" t="str">
        <x:v>중간</x:v>
      </x:c>
      <x:c r="H6" s="37" t="str">
        <x:v>높음</x:v>
      </x:c>
      <x:c r="I6" s="37" t="n">
        <x:f>IF(G6="높음",3,IF(G6="중간",2,1))*IF(H6="높음",3,IF(H6="중간",2,1))</x:f>
        <x:v>6</x:v>
      </x:c>
      <x:c r="J6" s="37" t="str">
        <x:v>UX 리드</x:v>
      </x:c>
      <x:c r="K6" s="37" t="str">
        <x:v>화면 조합표와 실제 기기 판독성 시험을 수행한다.</x:v>
      </x:c>
      <x:c r="L6" s="37" t="str">
        <x:v>문제 외형을 비활성화하고 표시 거리를 조정한다.</x:v>
      </x:c>
      <x:c r="M6" s="37" t="str">
        <x:v>미대응</x:v>
      </x:c>
      <x:c r="N6" s="37" t="str">
        <x:v>UIX-014,CHR-012</x:v>
      </x:c>
      <x:c r="O6" s="40" t="str">
        <x:v>미정</x:v>
      </x:c>
      <x:c r="P6" s="37"/>
    </x:row>
    <x:row r="7" ht="42" customHeight="1">
      <x:c r="A7" s="37" t="str">
        <x:v>R-UIX-02</x:v>
      </x:c>
      <x:c r="B7" s="37" t="str">
        <x:v>UI·UX</x:v>
      </x:c>
      <x:c r="C7" s="37" t="str">
        <x:v>정보 비공개</x:v>
      </x:c>
      <x:c r="D7" s="37" t="str">
        <x:v>HUD나 툴팁이 본인 등 메모 정보를 암시할 수 있다.</x:v>
      </x:c>
      <x:c r="E7" s="37" t="str">
        <x:v>공통 데이터 모델의 잘못된 사용</x:v>
      </x:c>
      <x:c r="F7" s="37" t="str">
        <x:v>핵심 규칙 훼손</x:v>
      </x:c>
      <x:c r="G7" s="37" t="str">
        <x:v>낮음</x:v>
      </x:c>
      <x:c r="H7" s="37" t="str">
        <x:v>높음</x:v>
      </x:c>
      <x:c r="I7" s="37" t="n">
        <x:f>IF(G7="높음",3,IF(G7="중간",2,1))*IF(H7="높음",3,IF(H7="중간",2,1))</x:f>
        <x:v>3</x:v>
      </x:c>
      <x:c r="J7" s="37" t="str">
        <x:v>UI 엔지니어링</x:v>
      </x:c>
      <x:c r="K7" s="37" t="str">
        <x:v>공개 DTO만 UI에 연결하고 정보 유출 QA를 수행한다.</x:v>
      </x:c>
      <x:c r="L7" s="37" t="str">
        <x:v>문제 UI를 원격으로 비활성화한다.</x:v>
      </x:c>
      <x:c r="M7" s="37" t="str">
        <x:v>미대응</x:v>
      </x:c>
      <x:c r="N7" s="37" t="str">
        <x:v>UIX-011,UIX-018,UIX-021</x:v>
      </x:c>
      <x:c r="O7" s="40" t="str">
        <x:v>미정</x:v>
      </x:c>
      <x:c r="P7" s="37"/>
    </x:row>
    <x:row r="8" ht="42" customHeight="1">
      <x:c r="A8" s="37" t="str">
        <x:v>R-UIX-03</x:v>
      </x:c>
      <x:c r="B8" s="37" t="str">
        <x:v>UI·UX</x:v>
      </x:c>
      <x:c r="C8" s="37" t="str">
        <x:v>사용성</x:v>
      </x:c>
      <x:c r="D8" s="37" t="str">
        <x:v>일반 투표와 최종 재판의 차이가 명확히 이해되지 않을 수 있다.</x:v>
      </x:c>
      <x:c r="E8" s="37" t="str">
        <x:v>유사한 표시 계층과 문구</x:v>
      </x:c>
      <x:c r="F8" s="37" t="str">
        <x:v>오투표·이탈 증가</x:v>
      </x:c>
      <x:c r="G8" s="37" t="str">
        <x:v>중간</x:v>
      </x:c>
      <x:c r="H8" s="37" t="str">
        <x:v>중간</x:v>
      </x:c>
      <x:c r="I8" s="37" t="n">
        <x:f>IF(G8="높음",3,IF(G8="중간",2,1))*IF(H8="높음",3,IF(H8="중간",2,1))</x:f>
        <x:v>4</x:v>
      </x:c>
      <x:c r="J8" s="37" t="str">
        <x:v>UX 리드</x:v>
      </x:c>
      <x:c r="K8" s="37" t="str">
        <x:v>사용성 시험과 색상 외 구분 요소를 적용한다.</x:v>
      </x:c>
      <x:c r="L8" s="37" t="str">
        <x:v>문구와 레이아웃을 즉시 조정한다.</x:v>
      </x:c>
      <x:c r="M8" s="37" t="str">
        <x:v>미대응</x:v>
      </x:c>
      <x:c r="N8" s="37" t="str">
        <x:v>UIX-019,UIX-023</x:v>
      </x:c>
      <x:c r="O8" s="40" t="str">
        <x:v>미정</x:v>
      </x:c>
      <x:c r="P8" s="37"/>
    </x:row>
    <x:row r="9" ht="42" customHeight="1">
      <x:c r="A9" s="37" t="str">
        <x:v>R-UIX-04</x:v>
      </x:c>
      <x:c r="B9" s="37" t="str">
        <x:v>UI·UX</x:v>
      </x:c>
      <x:c r="C9" s="37" t="str">
        <x:v>호환성</x:v>
      </x:c>
      <x:c r="D9" s="37" t="str">
        <x:v>가변 문자열, 세이프 영역, 입력 방식 때문에 조작할 수 없는 화면이 생길 수 있다.</x:v>
      </x:c>
      <x:c r="E9" s="37" t="str">
        <x:v>대상 기기 검증이 후반으로 지연됨</x:v>
      </x:c>
      <x:c r="F9" s="37" t="str">
        <x:v>플랫폼 인증 실패·중대 결함</x:v>
      </x:c>
      <x:c r="G9" s="37" t="str">
        <x:v>중간</x:v>
      </x:c>
      <x:c r="H9" s="37" t="str">
        <x:v>높음</x:v>
      </x:c>
      <x:c r="I9" s="37" t="n">
        <x:f>IF(G9="높음",3,IF(G9="중간",2,1))*IF(H9="높음",3,IF(H9="중간",2,1))</x:f>
        <x:v>6</x:v>
      </x:c>
      <x:c r="J9" s="37" t="str">
        <x:v>UI 엔지니어링</x:v>
      </x:c>
      <x:c r="K9" s="37" t="str">
        <x:v>초기부터 의사 현지화와 실제 기기 조합 시험을 수행한다.</x:v>
      </x:c>
      <x:c r="L9" s="37" t="str">
        <x:v>문제 해상도 또는 플랫폼 지원 범위를 임시 제한한다.</x:v>
      </x:c>
      <x:c r="M9" s="37" t="str">
        <x:v>미대응</x:v>
      </x:c>
      <x:c r="N9" s="37" t="str">
        <x:v>UIX-029</x:v>
      </x:c>
      <x:c r="O9" s="40" t="str">
        <x:v>미정</x:v>
      </x:c>
      <x:c r="P9" s="37"/>
    </x:row>
    <x:row r="10" ht="42" customHeight="1">
      <x:c r="A10" s="37" t="str">
        <x:v>R-SET-01</x:v>
      </x:c>
      <x:c r="B10" s="37" t="str">
        <x:v>게임 설정·접근성</x:v>
      </x:c>
      <x:c r="C10" s="37" t="str">
        <x:v>데이터 정합성</x:v>
      </x:c>
      <x:c r="D10" s="37" t="str">
        <x:v>클라이언트와 서버의 확정 설정값이 다를 수 있다.</x:v>
      </x:c>
      <x:c r="E10" s="37" t="str">
        <x:v>설정 버전과 수신 확인 부족</x:v>
      </x:c>
      <x:c r="F10" s="37" t="str">
        <x:v>승패·타이머 불일치</x:v>
      </x:c>
      <x:c r="G10" s="37" t="str">
        <x:v>중간</x:v>
      </x:c>
      <x:c r="H10" s="37" t="str">
        <x:v>높음</x:v>
      </x:c>
      <x:c r="I10" s="37" t="n">
        <x:f>IF(G10="높음",3,IF(G10="중간",2,1))*IF(H10="높음",3,IF(H10="중간",2,1))</x:f>
        <x:v>6</x:v>
      </x:c>
      <x:c r="J10" s="37" t="str">
        <x:v>시스템 리드</x:v>
      </x:c>
      <x:c r="K10" s="37" t="str">
        <x:v>서버 확정 버전과 시작 전 수신 확인을 적용한다.</x:v>
      </x:c>
      <x:c r="L10" s="37" t="str">
        <x:v>일치하지 않으면 매치 시작을 거부한다.</x:v>
      </x:c>
      <x:c r="M10" s="37" t="str">
        <x:v>미대응</x:v>
      </x:c>
      <x:c r="N10" s="37" t="str">
        <x:v>SET-020,SET-021</x:v>
      </x:c>
      <x:c r="O10" s="40" t="str">
        <x:v>미정</x:v>
      </x:c>
      <x:c r="P10" s="37"/>
    </x:row>
    <x:row r="11" ht="42" customHeight="1">
      <x:c r="A11" s="37" t="str">
        <x:v>R-SET-02</x:v>
      </x:c>
      <x:c r="B11" s="37" t="str">
        <x:v>게임 설정·접근성</x:v>
      </x:c>
      <x:c r="C11" s="37" t="str">
        <x:v>운영</x:v>
      </x:c>
      <x:c r="D11" s="37" t="str">
        <x:v>원격 설정이 진행 중인 매치에 적용될 수 있다.</x:v>
      </x:c>
      <x:c r="E11" s="37" t="str">
        <x:v>설정 적용 시점 설계 부족</x:v>
      </x:c>
      <x:c r="F11" s="37" t="str">
        <x:v>공정성·재현성 상실</x:v>
      </x:c>
      <x:c r="G11" s="37" t="str">
        <x:v>낮음</x:v>
      </x:c>
      <x:c r="H11" s="37" t="str">
        <x:v>높음</x:v>
      </x:c>
      <x:c r="I11" s="37" t="n">
        <x:f>IF(G11="높음",3,IF(G11="중간",2,1))*IF(H11="높음",3,IF(H11="중간",2,1))</x:f>
        <x:v>3</x:v>
      </x:c>
      <x:c r="J11" s="37" t="str">
        <x:v>라이브 운영 리드</x:v>
      </x:c>
      <x:c r="K11" s="37" t="str">
        <x:v>매치 시작 시 설정 버전을 고정한다.</x:v>
      </x:c>
      <x:c r="L11" s="37" t="str">
        <x:v>문제 설정 버전을 즉시 롤백한다.</x:v>
      </x:c>
      <x:c r="M11" s="37" t="str">
        <x:v>미대응</x:v>
      </x:c>
      <x:c r="N11" s="37" t="str">
        <x:v>SET-028,BED-015</x:v>
      </x:c>
      <x:c r="O11" s="40" t="str">
        <x:v>미정</x:v>
      </x:c>
      <x:c r="P11" s="37"/>
    </x:row>
    <x:row r="12" ht="42" customHeight="1">
      <x:c r="A12" s="37" t="str">
        <x:v>R-SET-03</x:v>
      </x:c>
      <x:c r="B12" s="37" t="str">
        <x:v>게임 설정·접근성</x:v>
      </x:c>
      <x:c r="C12" s="37" t="str">
        <x:v>접근성</x:v>
      </x:c>
      <x:c r="D12" s="37" t="str">
        <x:v>색각 보조가 UI에만 적용되고 게임 월드에는 반영되지 않을 수 있다.</x:v>
      </x:c>
      <x:c r="E12" s="37" t="str">
        <x:v>부문 간 색상 ID 불일치</x:v>
      </x:c>
      <x:c r="F12" s="37" t="str">
        <x:v>중요 정보 접근 불가</x:v>
      </x:c>
      <x:c r="G12" s="37" t="str">
        <x:v>중간</x:v>
      </x:c>
      <x:c r="H12" s="37" t="str">
        <x:v>높음</x:v>
      </x:c>
      <x:c r="I12" s="37" t="n">
        <x:f>IF(G12="높음",3,IF(G12="중간",2,1))*IF(H12="높음",3,IF(H12="중간",2,1))</x:f>
        <x:v>6</x:v>
      </x:c>
      <x:c r="J12" s="37" t="str">
        <x:v>접근성 담당</x:v>
      </x:c>
      <x:c r="K12" s="37" t="str">
        <x:v>공통 색상·패턴 ID와 부문 통합 QA를 적용한다.</x:v>
      </x:c>
      <x:c r="L12" s="37" t="str">
        <x:v>문제 에셋의 출시를 중단한다.</x:v>
      </x:c>
      <x:c r="M12" s="37" t="str">
        <x:v>미대응</x:v>
      </x:c>
      <x:c r="N12" s="37" t="str">
        <x:v>SET-024,UIX-028,CHR-015</x:v>
      </x:c>
      <x:c r="O12" s="40" t="str">
        <x:v>미정</x:v>
      </x:c>
      <x:c r="P12" s="37"/>
    </x:row>
    <x:row r="13" ht="42" customHeight="1">
      <x:c r="A13" s="37" t="str">
        <x:v>R-SET-04</x:v>
      </x:c>
      <x:c r="B13" s="37" t="str">
        <x:v>게임 설정·접근성</x:v>
      </x:c>
      <x:c r="C13" s="37" t="str">
        <x:v>사양</x:v>
      </x:c>
      <x:c r="D13" s="37" t="str">
        <x:v>미구현 확장 설정이 MVP에 노출되어 불완전한 구성을 만들 수 있다.</x:v>
      </x:c>
      <x:c r="E13" s="37" t="str">
        <x:v>기능 플래그와 UI 노출 조건 불일치</x:v>
      </x:c>
      <x:c r="F13" s="37" t="str">
        <x:v>매치 시작 실패·크래시</x:v>
      </x:c>
      <x:c r="G13" s="37" t="str">
        <x:v>중간</x:v>
      </x:c>
      <x:c r="H13" s="37" t="str">
        <x:v>중간</x:v>
      </x:c>
      <x:c r="I13" s="37" t="n">
        <x:f>IF(G13="높음",3,IF(G13="중간",2,1))*IF(H13="높음",3,IF(H13="중간",2,1))</x:f>
        <x:v>4</x:v>
      </x:c>
      <x:c r="J13" s="37" t="str">
        <x:v>제품 책임자</x:v>
      </x:c>
      <x:c r="K13" s="37" t="str">
        <x:v>서버에서 기능 가용성을 전달한다.</x:v>
      </x:c>
      <x:c r="L13" s="37" t="str">
        <x:v>해당 설정 항목을 원격으로 숨긴다.</x:v>
      </x:c>
      <x:c r="M13" s="37" t="str">
        <x:v>미대응</x:v>
      </x:c>
      <x:c r="N13" s="37" t="str">
        <x:v>SET-016,SET-017,SET-018</x:v>
      </x:c>
      <x:c r="O13" s="40" t="str">
        <x:v>미정</x:v>
      </x:c>
      <x:c r="P13" s="37"/>
    </x:row>
    <x:row r="14" ht="42" customHeight="1">
      <x:c r="A14" s="37" t="str">
        <x:v>R-ONL-01</x:v>
      </x:c>
      <x:c r="B14" s="37" t="str">
        <x:v>온라인·로비·매치메이킹</x:v>
      </x:c>
      <x:c r="C14" s="37" t="str">
        <x:v>수용량</x:v>
      </x:c>
      <x:c r="D14" s="37" t="str">
        <x:v>동시 참가 경쟁으로 정원 초과 또는 색상 중복이 발생할 수 있다.</x:v>
      </x:c>
      <x:c r="E14" s="37" t="str">
        <x:v>참가자 갱신을 비원자적으로 처리함</x:v>
      </x:c>
      <x:c r="F14" s="37" t="str">
        <x:v>매치 시작 불가</x:v>
      </x:c>
      <x:c r="G14" s="37" t="str">
        <x:v>중간</x:v>
      </x:c>
      <x:c r="H14" s="37" t="str">
        <x:v>높음</x:v>
      </x:c>
      <x:c r="I14" s="37" t="n">
        <x:f>IF(G14="높음",3,IF(G14="중간",2,1))*IF(H14="높음",3,IF(H14="중간",2,1))</x:f>
        <x:v>6</x:v>
      </x:c>
      <x:c r="J14" s="37" t="str">
        <x:v>온라인 리드</x:v>
      </x:c>
      <x:c r="K14" s="37" t="str">
        <x:v>서버 예약 트랜잭션을 사용한다.</x:v>
      </x:c>
      <x:c r="L14" s="37" t="str">
        <x:v>문제 룸을 종료하고 새 룸을 생성한다.</x:v>
      </x:c>
      <x:c r="M14" s="37" t="str">
        <x:v>미대응</x:v>
      </x:c>
      <x:c r="N14" s="37" t="str">
        <x:v>ONL-007,ONL-009</x:v>
      </x:c>
      <x:c r="O14" s="40" t="str">
        <x:v>미정</x:v>
      </x:c>
      <x:c r="P14" s="37"/>
    </x:row>
    <x:row r="15" ht="42" customHeight="1">
      <x:c r="A15" s="37" t="str">
        <x:v>R-ONL-02</x:v>
      </x:c>
      <x:c r="B15" s="37" t="str">
        <x:v>온라인·로비·매치메이킹</x:v>
      </x:c>
      <x:c r="C15" s="37" t="str">
        <x:v>호환성</x:v>
      </x:c>
      <x:c r="D15" s="37" t="str">
        <x:v>이전 버전 클라이언트가 새로운 프로토콜 룸에 참가할 수 있다.</x:v>
      </x:c>
      <x:c r="E15" s="37" t="str">
        <x:v>버전 검증 누락</x:v>
      </x:c>
      <x:c r="F15" s="37" t="str">
        <x:v>상태 손상·크래시</x:v>
      </x:c>
      <x:c r="G15" s="37" t="str">
        <x:v>중간</x:v>
      </x:c>
      <x:c r="H15" s="37" t="str">
        <x:v>높음</x:v>
      </x:c>
      <x:c r="I15" s="37" t="n">
        <x:f>IF(G15="높음",3,IF(G15="중간",2,1))*IF(H15="높음",3,IF(H15="중간",2,1))</x:f>
        <x:v>6</x:v>
      </x:c>
      <x:c r="J15" s="37" t="str">
        <x:v>온라인 리드</x:v>
      </x:c>
      <x:c r="K15" s="37" t="str">
        <x:v>다계층 버전 검증과 강제 갱신을 적용한다.</x:v>
      </x:c>
      <x:c r="L15" s="37" t="str">
        <x:v>비호환 룸 참가를 중지한다.</x:v>
      </x:c>
      <x:c r="M15" s="37" t="str">
        <x:v>미대응</x:v>
      </x:c>
      <x:c r="N15" s="37" t="str">
        <x:v>ONL-015,NET-002</x:v>
      </x:c>
      <x:c r="O15" s="40" t="str">
        <x:v>미정</x:v>
      </x:c>
      <x:c r="P15" s="37"/>
    </x:row>
    <x:row r="16" ht="42" customHeight="1">
      <x:c r="A16" s="37" t="str">
        <x:v>R-ONL-03</x:v>
      </x:c>
      <x:c r="B16" s="37" t="str">
        <x:v>온라인·로비·매치메이킹</x:v>
      </x:c>
      <x:c r="C16" s="37" t="str">
        <x:v>안정성</x:v>
      </x:c>
      <x:c r="D16" s="37" t="str">
        <x:v>재접속 예약 슬롯이 악용되어 만원 상태가 장시간 지속될 수 있다.</x:v>
      </x:c>
      <x:c r="E16" s="37" t="str">
        <x:v>유예 시간, 인증, 해제 조건 미비</x:v>
      </x:c>
      <x:c r="F16" s="37" t="str">
        <x:v>매치 성립률 저하</x:v>
      </x:c>
      <x:c r="G16" s="37" t="str">
        <x:v>중간</x:v>
      </x:c>
      <x:c r="H16" s="37" t="str">
        <x:v>중간</x:v>
      </x:c>
      <x:c r="I16" s="37" t="n">
        <x:f>IF(G16="높음",3,IF(G16="중간",2,1))*IF(H16="높음",3,IF(H16="중간",2,1))</x:f>
        <x:v>4</x:v>
      </x:c>
      <x:c r="J16" s="37" t="str">
        <x:v>온라인 리드</x:v>
      </x:c>
      <x:c r="K16" s="37" t="str">
        <x:v>짧은 유예, 동일 ID 검증, 명확한 해제 조건을 적용한다.</x:v>
      </x:c>
      <x:c r="L16" s="37" t="str">
        <x:v>관리 도구에서 예약 슬롯을 강제로 해제한다.</x:v>
      </x:c>
      <x:c r="M16" s="37" t="str">
        <x:v>미대응</x:v>
      </x:c>
      <x:c r="N16" s="37" t="str">
        <x:v>ONL-017</x:v>
      </x:c>
      <x:c r="O16" s="40" t="str">
        <x:v>미정</x:v>
      </x:c>
      <x:c r="P16" s="37"/>
    </x:row>
    <x:row r="17" ht="42" customHeight="1">
      <x:c r="A17" s="37" t="str">
        <x:v>R-ONL-04</x:v>
      </x:c>
      <x:c r="B17" s="37" t="str">
        <x:v>온라인·로비·매치메이킹</x:v>
      </x:c>
      <x:c r="C17" s="37" t="str">
        <x:v>서비스</x:v>
      </x:c>
      <x:c r="D17" s="37" t="str">
        <x:v>외부 서비스 장애로 모든 온라인 기능을 시작하지 못할 수 있다.</x:v>
      </x:c>
      <x:c r="E17" s="37" t="str">
        <x:v>의존 서비스의 강한 결합</x:v>
      </x:c>
      <x:c r="F17" s="37" t="str">
        <x:v>서비스 가용성 하락</x:v>
      </x:c>
      <x:c r="G17" s="37" t="str">
        <x:v>중간</x:v>
      </x:c>
      <x:c r="H17" s="37" t="str">
        <x:v>높음</x:v>
      </x:c>
      <x:c r="I17" s="37" t="n">
        <x:f>IF(G17="높음",3,IF(G17="중간",2,1))*IF(H17="높음",3,IF(H17="중간",2,1))</x:f>
        <x:v>6</x:v>
      </x:c>
      <x:c r="J17" s="37" t="str">
        <x:v>라이브 운영</x:v>
      </x:c>
      <x:c r="K17" s="37" t="str">
        <x:v>축소 운영과 점검 기능 플래그를 준비한다.</x:v>
      </x:c>
      <x:c r="L17" s="37" t="str">
        <x:v>신규 매치 시작을 중지하고 기존 매치를 보호한다.</x:v>
      </x:c>
      <x:c r="M17" s="37" t="str">
        <x:v>미대응</x:v>
      </x:c>
      <x:c r="N17" s="37" t="str">
        <x:v>ONL-001,ONL-025</x:v>
      </x:c>
      <x:c r="O17" s="40" t="str">
        <x:v>미정</x:v>
      </x:c>
      <x:c r="P17" s="37"/>
    </x:row>
    <x:row r="18" ht="42" customHeight="1">
      <x:c r="A18" s="37" t="str">
        <x:v>R-NET-01</x:v>
      </x:c>
      <x:c r="B18" s="37" t="str">
        <x:v>네트워크 동기화·보안</x:v>
      </x:c>
      <x:c r="C18" s="37" t="str">
        <x:v>정보 비공개</x:v>
      </x:c>
      <x:c r="D18" s="37" t="str">
        <x:v>공통 복제 데이터로 비공개 정보가 유출될 수 있다.</x:v>
      </x:c>
      <x:c r="E18" s="37" t="str">
        <x:v>공개 모델과 내부 모델 미분리</x:v>
      </x:c>
      <x:c r="F18" s="37" t="str">
        <x:v>치트·제품 가치 훼손</x:v>
      </x:c>
      <x:c r="G18" s="37" t="str">
        <x:v>중간</x:v>
      </x:c>
      <x:c r="H18" s="37" t="str">
        <x:v>높음</x:v>
      </x:c>
      <x:c r="I18" s="37" t="n">
        <x:f>IF(G18="높음",3,IF(G18="중간",2,1))*IF(H18="높음",3,IF(H18="중간",2,1))</x:f>
        <x:v>6</x:v>
      </x:c>
      <x:c r="J18" s="37" t="str">
        <x:v>네트워크 리드</x:v>
      </x:c>
      <x:c r="K18" s="37" t="str">
        <x:v>수신자별 필터와 패킷 검사를 적용한다.</x:v>
      </x:c>
      <x:c r="L18" s="37" t="str">
        <x:v>문제 프로토콜을 중지하고 긴급 갱신한다.</x:v>
      </x:c>
      <x:c r="M18" s="37" t="str">
        <x:v>미대응</x:v>
      </x:c>
      <x:c r="N18" s="37" t="str">
        <x:v>NET-017,NET-018</x:v>
      </x:c>
      <x:c r="O18" s="40" t="str">
        <x:v>미정</x:v>
      </x:c>
      <x:c r="P18" s="37"/>
    </x:row>
    <x:row r="19" ht="42" customHeight="1">
      <x:c r="A19" s="37" t="str">
        <x:v>R-NET-02</x:v>
      </x:c>
      <x:c r="B19" s="37" t="str">
        <x:v>네트워크 동기화·보안</x:v>
      </x:c>
      <x:c r="C19" s="37" t="str">
        <x:v>동기화</x:v>
      </x:c>
      <x:c r="D19" s="37" t="str">
        <x:v>페이즈 또는 시각 차이로 마감 이후 조작이 승인될 수 있다.</x:v>
      </x:c>
      <x:c r="E19" s="37" t="str">
        <x:v>시각 동기화와 서버 마감 검증 미비</x:v>
      </x:c>
      <x:c r="F19" s="37" t="str">
        <x:v>부정 투표·부정 메모 부착</x:v>
      </x:c>
      <x:c r="G19" s="37" t="str">
        <x:v>중간</x:v>
      </x:c>
      <x:c r="H19" s="37" t="str">
        <x:v>높음</x:v>
      </x:c>
      <x:c r="I19" s="37" t="n">
        <x:f>IF(G19="높음",3,IF(G19="중간",2,1))*IF(H19="높음",3,IF(H19="중간",2,1))</x:f>
        <x:v>6</x:v>
      </x:c>
      <x:c r="J19" s="37" t="str">
        <x:v>네트워크 리드</x:v>
      </x:c>
      <x:c r="K19" s="37" t="str">
        <x:v>절대 시각과 서버 권한 검증을 적용한다.</x:v>
      </x:c>
      <x:c r="L19" s="37" t="str">
        <x:v>요청을 무효화하고 상태를 재동기화한다.</x:v>
      </x:c>
      <x:c r="M19" s="37" t="str">
        <x:v>미대응</x:v>
      </x:c>
      <x:c r="N19" s="37" t="str">
        <x:v>NET-008,NET-010</x:v>
      </x:c>
      <x:c r="O19" s="40" t="str">
        <x:v>미정</x:v>
      </x:c>
      <x:c r="P19" s="37"/>
    </x:row>
    <x:row r="20" ht="42" customHeight="1">
      <x:c r="A20" s="37" t="str">
        <x:v>R-NET-03</x:v>
      </x:c>
      <x:c r="B20" s="37" t="str">
        <x:v>네트워크 동기화·보안</x:v>
      </x:c>
      <x:c r="C20" s="37" t="str">
        <x:v>성능</x:v>
      </x:c>
      <x:c r="D20" s="37" t="str">
        <x:v>메모, 음성, 이동 데이터가 대역폭 예산을 초과할 수 있다.</x:v>
      </x:c>
      <x:c r="E20" s="37" t="str">
        <x:v>공개 데이터와 갱신 빈도 과다</x:v>
      </x:c>
      <x:c r="F20" s="37" t="str">
        <x:v>지연·연결 종료 증가</x:v>
      </x:c>
      <x:c r="G20" s="37" t="str">
        <x:v>중간</x:v>
      </x:c>
      <x:c r="H20" s="37" t="str">
        <x:v>높음</x:v>
      </x:c>
      <x:c r="I20" s="37" t="n">
        <x:f>IF(G20="높음",3,IF(G20="중간",2,1))*IF(H20="높음",3,IF(H20="중간",2,1))</x:f>
        <x:v>6</x:v>
      </x:c>
      <x:c r="J20" s="37" t="str">
        <x:v>네트워크 리드</x:v>
      </x:c>
      <x:c r="K20" s="37" t="str">
        <x:v>대역폭 계측, 관심 영역, LOD를 적용한다.</x:v>
      </x:c>
      <x:c r="L20" s="37" t="str">
        <x:v>갱신 빈도와 문구 전송 범위를 축소한다.</x:v>
      </x:c>
      <x:c r="M20" s="37" t="str">
        <x:v>미대응</x:v>
      </x:c>
      <x:c r="N20" s="37" t="str">
        <x:v>NET-022,AUD-013</x:v>
      </x:c>
      <x:c r="O20" s="40" t="str">
        <x:v>미정</x:v>
      </x:c>
      <x:c r="P20" s="37"/>
    </x:row>
    <x:row r="21" ht="42" customHeight="1">
      <x:c r="A21" s="37" t="str">
        <x:v>R-NET-04</x:v>
      </x:c>
      <x:c r="B21" s="37" t="str">
        <x:v>네트워크 동기화·보안</x:v>
      </x:c>
      <x:c r="C21" s="37" t="str">
        <x:v>보안</x:v>
      </x:c>
      <x:c r="D21" s="37" t="str">
        <x:v>RPC 연속 전송과 재전송으로 작업이 중복 반영될 수 있다.</x:v>
      </x:c>
      <x:c r="E21" s="37" t="str">
        <x:v>멱등성과 요청 제한 부족</x:v>
      </x:c>
      <x:c r="F21" s="37" t="str">
        <x:v>보상·투표·메모 조작</x:v>
      </x:c>
      <x:c r="G21" s="37" t="str">
        <x:v>중간</x:v>
      </x:c>
      <x:c r="H21" s="37" t="str">
        <x:v>높음</x:v>
      </x:c>
      <x:c r="I21" s="37" t="n">
        <x:f>IF(G21="높음",3,IF(G21="중간",2,1))*IF(H21="높음",3,IF(H21="중간",2,1))</x:f>
        <x:v>6</x:v>
      </x:c>
      <x:c r="J21" s="37" t="str">
        <x:v>보안 리드</x:v>
      </x:c>
      <x:c r="K21" s="37" t="str">
        <x:v>Nonce, 작업 ID, 요청 제한을 적용한다.</x:v>
      </x:c>
      <x:c r="L21" s="37" t="str">
        <x:v>대상 계정을 격리하고 감사 조사한다.</x:v>
      </x:c>
      <x:c r="M21" s="37" t="str">
        <x:v>미대응</x:v>
      </x:c>
      <x:c r="N21" s="37" t="str">
        <x:v>NET-012,NET-014,NET-015,NET-016</x:v>
      </x:c>
      <x:c r="O21" s="40" t="str">
        <x:v>미정</x:v>
      </x:c>
      <x:c r="P21" s="37"/>
    </x:row>
    <x:row r="22" ht="42" customHeight="1">
      <x:c r="A22" s="37" t="str">
        <x:v>R-BED-01</x:v>
      </x:c>
      <x:c r="B22" s="37" t="str">
        <x:v>백엔드·데이터·모더레이션</x:v>
      </x:c>
      <x:c r="C22" s="37" t="str">
        <x:v>개인정보</x:v>
      </x:c>
      <x:c r="D22" s="37" t="str">
        <x:v>음성, 로그, 텔레메트리에 개인 정보가 남을 수 있다.</x:v>
      </x:c>
      <x:c r="E22" s="37" t="str">
        <x:v>수집 범위와 마스킹 부족</x:v>
      </x:c>
      <x:c r="F22" s="37" t="str">
        <x:v>법률·플랫폼 정책 위반</x:v>
      </x:c>
      <x:c r="G22" s="37" t="str">
        <x:v>중간</x:v>
      </x:c>
      <x:c r="H22" s="37" t="str">
        <x:v>높음</x:v>
      </x:c>
      <x:c r="I22" s="37" t="n">
        <x:f>IF(G22="높음",3,IF(G22="중간",2,1))*IF(H22="높음",3,IF(H22="중간",2,1))</x:f>
        <x:v>6</x:v>
      </x:c>
      <x:c r="J22" s="37" t="str">
        <x:v>개인정보 담당</x:v>
      </x:c>
      <x:c r="K22" s="37" t="str">
        <x:v>데이터 분류, 최소 수집, 보관 기한, 검토 절차를 적용한다.</x:v>
      </x:c>
      <x:c r="L22" s="37" t="str">
        <x:v>수집 중지, 데이터 삭제, 관련 보고를 수행한다.</x:v>
      </x:c>
      <x:c r="M22" s="37" t="str">
        <x:v>미대응</x:v>
      </x:c>
      <x:c r="N22" s="37" t="str">
        <x:v>BED-008,BED-011,BED-014,BED-023</x:v>
      </x:c>
      <x:c r="O22" s="40" t="str">
        <x:v>미정</x:v>
      </x:c>
      <x:c r="P22" s="37"/>
    </x:row>
    <x:row r="23" ht="42" customHeight="1">
      <x:c r="A23" s="37" t="str">
        <x:v>R-BED-02</x:v>
      </x:c>
      <x:c r="B23" s="37" t="str">
        <x:v>백엔드·데이터·모더레이션</x:v>
      </x:c>
      <x:c r="C23" s="37" t="str">
        <x:v>가용성</x:v>
      </x:c>
      <x:c r="D23" s="37" t="str">
        <x:v>인증 또는 로비 서비스 장애로 플레이할 수 없을 수 있다.</x:v>
      </x:c>
      <x:c r="E23" s="37" t="str">
        <x:v>단일 의존 구조와 모니터링 부족</x:v>
      </x:c>
      <x:c r="F23" s="37" t="str">
        <x:v>서비스 전면 중단</x:v>
      </x:c>
      <x:c r="G23" s="37" t="str">
        <x:v>중간</x:v>
      </x:c>
      <x:c r="H23" s="37" t="str">
        <x:v>높음</x:v>
      </x:c>
      <x:c r="I23" s="37" t="n">
        <x:f>IF(G23="높음",3,IF(G23="중간",2,1))*IF(H23="높음",3,IF(H23="중간",2,1))</x:f>
        <x:v>6</x:v>
      </x:c>
      <x:c r="J23" s="37" t="str">
        <x:v>백엔드 리드</x:v>
      </x:c>
      <x:c r="K23" s="37" t="str">
        <x:v>SLO, 이중화, 축소 운영을 준비한다.</x:v>
      </x:c>
      <x:c r="L23" s="37" t="str">
        <x:v>신규 매치 시작을 중지하고 상태를 공지한다.</x:v>
      </x:c>
      <x:c r="M23" s="37" t="str">
        <x:v>미대응</x:v>
      </x:c>
      <x:c r="N23" s="37" t="str">
        <x:v>BED-001,BED-019</x:v>
      </x:c>
      <x:c r="O23" s="40" t="str">
        <x:v>미정</x:v>
      </x:c>
      <x:c r="P23" s="37"/>
    </x:row>
    <x:row r="24" ht="42" customHeight="1">
      <x:c r="A24" s="37" t="str">
        <x:v>R-BED-03</x:v>
      </x:c>
      <x:c r="B24" s="37" t="str">
        <x:v>백엔드·데이터·모더레이션</x:v>
      </x:c>
      <x:c r="C24" s="37" t="str">
        <x:v>운영</x:v>
      </x:c>
      <x:c r="D24" s="37" t="str">
        <x:v>기능 플래그 오조작으로 불일치 구성이 배포될 수 있다.</x:v>
      </x:c>
      <x:c r="E24" s="37" t="str">
        <x:v>승인과 의존성 검증 부족</x:v>
      </x:c>
      <x:c r="F24" s="37" t="str">
        <x:v>광범위 장애</x:v>
      </x:c>
      <x:c r="G24" s="37" t="str">
        <x:v>낮음</x:v>
      </x:c>
      <x:c r="H24" s="37" t="str">
        <x:v>높음</x:v>
      </x:c>
      <x:c r="I24" s="37" t="n">
        <x:f>IF(G24="높음",3,IF(G24="중간",2,1))*IF(H24="높음",3,IF(H24="중간",2,1))</x:f>
        <x:v>3</x:v>
      </x:c>
      <x:c r="J24" s="37" t="str">
        <x:v>라이브 운영 리드</x:v>
      </x:c>
      <x:c r="K24" s="37" t="str">
        <x:v>2인 승인, 자동 검증, 단계 배포를 적용한다.</x:v>
      </x:c>
      <x:c r="L24" s="37" t="str">
        <x:v>문제 설정을 즉시 롤백한다.</x:v>
      </x:c>
      <x:c r="M24" s="37" t="str">
        <x:v>미대응</x:v>
      </x:c>
      <x:c r="N24" s="37" t="str">
        <x:v>BED-016</x:v>
      </x:c>
      <x:c r="O24" s="40" t="str">
        <x:v>미정</x:v>
      </x:c>
      <x:c r="P24" s="37"/>
    </x:row>
    <x:row r="25" ht="42" customHeight="1">
      <x:c r="A25" s="37" t="str">
        <x:v>R-BED-04</x:v>
      </x:c>
      <x:c r="B25" s="37" t="str">
        <x:v>백엔드·데이터·모더레이션</x:v>
      </x:c>
      <x:c r="C25" s="37" t="str">
        <x:v>상점 규정</x:v>
      </x:c>
      <x:c r="D25" s="37" t="str">
        <x:v>랜덤 상자가 지역별 규정을 위반할 수 있다.</x:v>
      </x:c>
      <x:c r="E25" s="37" t="str">
        <x:v>법무 검토, 연령 제한, 확률 표시 미비</x:v>
      </x:c>
      <x:c r="F25" s="37" t="str">
        <x:v>판매 중단·신뢰 하락</x:v>
      </x:c>
      <x:c r="G25" s="37" t="str">
        <x:v>중간</x:v>
      </x:c>
      <x:c r="H25" s="37" t="str">
        <x:v>높음</x:v>
      </x:c>
      <x:c r="I25" s="37" t="n">
        <x:f>IF(G25="높음",3,IF(G25="중간",2,1))*IF(H25="높음",3,IF(H25="중간",2,1))</x:f>
        <x:v>6</x:v>
      </x:c>
      <x:c r="J25" s="37" t="str">
        <x:v>제품·법무</x:v>
      </x:c>
      <x:c r="K25" s="37" t="str">
        <x:v>지역별 법무 승인을 출시 게이트로 관리한다.</x:v>
      </x:c>
      <x:c r="L25" s="37" t="str">
        <x:v>해당 지역에서 기능을 중지하고 필요 시 환불한다.</x:v>
      </x:c>
      <x:c r="M25" s="37" t="str">
        <x:v>미대응</x:v>
      </x:c>
      <x:c r="N25" s="37" t="str">
        <x:v>BED-029,BED-030</x:v>
      </x:c>
      <x:c r="O25" s="40" t="str">
        <x:v>미정</x:v>
      </x:c>
      <x:c r="P25" s="37"/>
    </x:row>
    <x:row r="26" ht="42" customHeight="1">
      <x:c r="A26" s="37" t="str">
        <x:v>R-CHR-01</x:v>
      </x:c>
      <x:c r="B26" s="37" t="str">
        <x:v>캐릭터·커스터마이징·커머스</x:v>
      </x:c>
      <x:c r="C26" s="37" t="str">
        <x:v>판독성</x:v>
      </x:c>
      <x:c r="D26" s="37" t="str">
        <x:v>외형 아이템이 등 메모 또는 본인 색상을 가릴 수 있다.</x:v>
      </x:c>
      <x:c r="E26" s="37" t="str">
        <x:v>에셋 증가와 검수 누락</x:v>
      </x:c>
      <x:c r="F26" s="37" t="str">
        <x:v>추리 불가·유료 우위 인식</x:v>
      </x:c>
      <x:c r="G26" s="37" t="str">
        <x:v>중간</x:v>
      </x:c>
      <x:c r="H26" s="37" t="str">
        <x:v>높음</x:v>
      </x:c>
      <x:c r="I26" s="37" t="n">
        <x:f>IF(G26="높음",3,IF(G26="중간",2,1))*IF(H26="높음",3,IF(H26="중간",2,1))</x:f>
        <x:v>6</x:v>
      </x:c>
      <x:c r="J26" s="37" t="str">
        <x:v>아트 디렉터</x:v>
      </x:c>
      <x:c r="K26" s="37" t="str">
        <x:v>금지 영역, 자동 검사, 판독성 리뷰 게이트를 적용한다.</x:v>
      </x:c>
      <x:c r="L26" s="37" t="str">
        <x:v>문제 상품을 상점과 장착 목록에서 숨긴다.</x:v>
      </x:c>
      <x:c r="M26" s="37" t="str">
        <x:v>미대응</x:v>
      </x:c>
      <x:c r="N26" s="37" t="str">
        <x:v>CHR-012,CHR-014,CHR-028</x:v>
      </x:c>
      <x:c r="O26" s="40" t="str">
        <x:v>미정</x:v>
      </x:c>
      <x:c r="P26" s="37"/>
    </x:row>
    <x:row r="27" ht="42" customHeight="1">
      <x:c r="A27" s="37" t="str">
        <x:v>R-CHR-02</x:v>
      </x:c>
      <x:c r="B27" s="37" t="str">
        <x:v>캐릭터·커스터마이징·커머스</x:v>
      </x:c>
      <x:c r="C27" s="37" t="str">
        <x:v>성능</x:v>
      </x:c>
      <x:c r="D27" s="37" t="str">
        <x:v>LED, 외형, 메모 조합으로 GPU 또는 메모리 예산을 초과할 수 있다.</x:v>
      </x:c>
      <x:c r="E27" s="37" t="str">
        <x:v>LOD와 에셋 예산 미준수</x:v>
      </x:c>
      <x:c r="F27" s="37" t="str">
        <x:v>프레임 저하</x:v>
      </x:c>
      <x:c r="G27" s="37" t="str">
        <x:v>중간</x:v>
      </x:c>
      <x:c r="H27" s="37" t="str">
        <x:v>높음</x:v>
      </x:c>
      <x:c r="I27" s="37" t="n">
        <x:f>IF(G27="높음",3,IF(G27="중간",2,1))*IF(H27="높음",3,IF(H27="중간",2,1))</x:f>
        <x:v>6</x:v>
      </x:c>
      <x:c r="J27" s="37" t="str">
        <x:v>테크 아트 리드</x:v>
      </x:c>
      <x:c r="K27" s="37" t="str">
        <x:v>에셋 예산, 자동 검증, 최악 조건 계측을 적용한다.</x:v>
      </x:c>
      <x:c r="L27" s="37" t="str">
        <x:v>효과와 LOD를 원격으로 제한한다.</x:v>
      </x:c>
      <x:c r="M27" s="37" t="str">
        <x:v>미대응</x:v>
      </x:c>
      <x:c r="N27" s="37" t="str">
        <x:v>CHR-027,CHR-029</x:v>
      </x:c>
      <x:c r="O27" s="40" t="str">
        <x:v>미정</x:v>
      </x:c>
      <x:c r="P27" s="37"/>
    </x:row>
    <x:row r="28" ht="42" customHeight="1">
      <x:c r="A28" s="37" t="str">
        <x:v>R-CHR-03</x:v>
      </x:c>
      <x:c r="B28" s="37" t="str">
        <x:v>캐릭터·커스터마이징·커머스</x:v>
      </x:c>
      <x:c r="C28" s="37" t="str">
        <x:v>접근성</x:v>
      </x:c>
      <x:c r="D28" s="37" t="str">
        <x:v>색상 팔레트가 특정 조명이나 색각 조건에서 구분되지 않을 수 있다.</x:v>
      </x:c>
      <x:c r="E28" s="37" t="str">
        <x:v>환경별 검증 부족</x:v>
      </x:c>
      <x:c r="F28" s="37" t="str">
        <x:v>잘못된 추리</x:v>
      </x:c>
      <x:c r="G28" s="37" t="str">
        <x:v>중간</x:v>
      </x:c>
      <x:c r="H28" s="37" t="str">
        <x:v>높음</x:v>
      </x:c>
      <x:c r="I28" s="37" t="n">
        <x:f>IF(G28="높음",3,IF(G28="중간",2,1))*IF(H28="높음",3,IF(H28="중간",2,1))</x:f>
        <x:v>6</x:v>
      </x:c>
      <x:c r="J28" s="37" t="str">
        <x:v>UX·아트</x:v>
      </x:c>
      <x:c r="K28" s="37" t="str">
        <x:v>공통 패턴과 실제 기기 시험을 적용한다.</x:v>
      </x:c>
      <x:c r="L28" s="37" t="str">
        <x:v>팔레트 또는 조명을 수정한다.</x:v>
      </x:c>
      <x:c r="M28" s="37" t="str">
        <x:v>미대응</x:v>
      </x:c>
      <x:c r="N28" s="37" t="str">
        <x:v>CHR-005,CHR-015,CNT-011</x:v>
      </x:c>
      <x:c r="O28" s="40" t="str">
        <x:v>미정</x:v>
      </x:c>
      <x:c r="P28" s="37"/>
    </x:row>
    <x:row r="29" ht="42" customHeight="1">
      <x:c r="A29" s="37" t="str">
        <x:v>R-CHR-04</x:v>
      </x:c>
      <x:c r="B29" s="37" t="str">
        <x:v>캐릭터·커스터마이징·커머스</x:v>
      </x:c>
      <x:c r="C29" s="37" t="str">
        <x:v>안전</x:v>
      </x:c>
      <x:c r="D29" s="37" t="str">
        <x:v>자유 LED 그리기가 부적절한 표현에 사용될 수 있다.</x:v>
      </x:c>
      <x:c r="E29" s="37" t="str">
        <x:v>사용자 생성 콘텐츠 안전 대책 부족</x:v>
      </x:c>
      <x:c r="F29" s="37" t="str">
        <x:v>신고 증가·정책 위반</x:v>
      </x:c>
      <x:c r="G29" s="37" t="str">
        <x:v>높음</x:v>
      </x:c>
      <x:c r="H29" s="37" t="str">
        <x:v>높음</x:v>
      </x:c>
      <x:c r="I29" s="37" t="n">
        <x:f>IF(G29="높음",3,IF(G29="중간",2,1))*IF(H29="높음",3,IF(H29="중간",2,1))</x:f>
        <x:v>9</x:v>
      </x:c>
      <x:c r="J29" s="37" t="str">
        <x:v>안전 운영 리드</x:v>
      </x:c>
      <x:c r="K29" s="37" t="str">
        <x:v>MVP는 프리셋만 제공하고 향후 신고·모더레이션을 필수화한다.</x:v>
      </x:c>
      <x:c r="L29" s="37" t="str">
        <x:v>자유 그리기 기능을 중지한다.</x:v>
      </x:c>
      <x:c r="M29" s="37" t="str">
        <x:v>미대응</x:v>
      </x:c>
      <x:c r="N29" s="37" t="str">
        <x:v>CHR-030</x:v>
      </x:c>
      <x:c r="O29" s="40" t="str">
        <x:v>미정</x:v>
      </x:c>
      <x:c r="P29" s="37"/>
    </x:row>
    <x:row r="30" ht="42" customHeight="1">
      <x:c r="A30" s="37" t="str">
        <x:v>R-AUD-01</x:v>
      </x:c>
      <x:c r="B30" s="37" t="str">
        <x:v>오디오·보이스 채팅</x:v>
      </x:c>
      <x:c r="C30" s="37" t="str">
        <x:v>핵심 규칙</x:v>
      </x:c>
      <x:c r="D30" s="37" t="str">
        <x:v>재접속이나 장치 전환으로 밤 음소거가 해제될 수 있다.</x:v>
      </x:c>
      <x:c r="E30" s="37" t="str">
        <x:v>클라이언트에서만 음성 권한을 제어함</x:v>
      </x:c>
      <x:c r="F30" s="37" t="str">
        <x:v>게임 규칙 훼손</x:v>
      </x:c>
      <x:c r="G30" s="37" t="str">
        <x:v>중간</x:v>
      </x:c>
      <x:c r="H30" s="37" t="str">
        <x:v>높음</x:v>
      </x:c>
      <x:c r="I30" s="37" t="n">
        <x:f>IF(G30="높음",3,IF(G30="중간",2,1))*IF(H30="높음",3,IF(H30="중간",2,1))</x:f>
        <x:v>6</x:v>
      </x:c>
      <x:c r="J30" s="37" t="str">
        <x:v>오디오·온라인 리드</x:v>
      </x:c>
      <x:c r="K30" s="37" t="str">
        <x:v>서버 발언권과 페이즈 경계 시험을 적용한다.</x:v>
      </x:c>
      <x:c r="L30" s="37" t="str">
        <x:v>음성 채널을 강제로 재연결한다.</x:v>
      </x:c>
      <x:c r="M30" s="37" t="str">
        <x:v>미대응</x:v>
      </x:c>
      <x:c r="N30" s="37" t="str">
        <x:v>AUD-006,AUD-007</x:v>
      </x:c>
      <x:c r="O30" s="40" t="str">
        <x:v>미정</x:v>
      </x:c>
      <x:c r="P30" s="37"/>
    </x:row>
    <x:row r="31" ht="42" customHeight="1">
      <x:c r="A31" s="37" t="str">
        <x:v>R-AUD-02</x:v>
      </x:c>
      <x:c r="B31" s="37" t="str">
        <x:v>오디오·보이스 채팅</x:v>
      </x:c>
      <x:c r="C31" s="37" t="str">
        <x:v>개인정보</x:v>
      </x:c>
      <x:c r="D31" s="37" t="str">
        <x:v>음성 동의 또는 녹음 표시가 지역 요건을 충족하지 못할 수 있다.</x:v>
      </x:c>
      <x:c r="E31" s="37" t="str">
        <x:v>법무 요구와 구현의 불일치</x:v>
      </x:c>
      <x:c r="F31" s="37" t="str">
        <x:v>출시 중단</x:v>
      </x:c>
      <x:c r="G31" s="37" t="str">
        <x:v>중간</x:v>
      </x:c>
      <x:c r="H31" s="37" t="str">
        <x:v>높음</x:v>
      </x:c>
      <x:c r="I31" s="37" t="n">
        <x:f>IF(G31="높음",3,IF(G31="중간",2,1))*IF(H31="높음",3,IF(H31="중간",2,1))</x:f>
        <x:v>6</x:v>
      </x:c>
      <x:c r="J31" s="37" t="str">
        <x:v>개인정보 담당</x:v>
      </x:c>
      <x:c r="K31" s="37" t="str">
        <x:v>지역별 요건표와 법무 승인을 적용한다.</x:v>
      </x:c>
      <x:c r="L31" s="37" t="str">
        <x:v>문제 지역의 음성 기능을 중지한다.</x:v>
      </x:c>
      <x:c r="M31" s="37" t="str">
        <x:v>미대응</x:v>
      </x:c>
      <x:c r="N31" s="37" t="str">
        <x:v>AUD-012,AUD-023</x:v>
      </x:c>
      <x:c r="O31" s="40" t="str">
        <x:v>미정</x:v>
      </x:c>
      <x:c r="P31" s="37"/>
    </x:row>
    <x:row r="32" ht="42" customHeight="1">
      <x:c r="A32" s="37" t="str">
        <x:v>R-AUD-03</x:v>
      </x:c>
      <x:c r="B32" s="37" t="str">
        <x:v>오디오·보이스 채팅</x:v>
      </x:c>
      <x:c r="C32" s="37" t="str">
        <x:v>품질</x:v>
      </x:c>
      <x:c r="D32" s="37" t="str">
        <x:v>근거리 음성 감쇠가 맵 설계와 맞지 않을 수 있다.</x:v>
      </x:c>
      <x:c r="E32" s="37" t="str">
        <x:v>음향 볼륨 조정 부족</x:v>
      </x:c>
      <x:c r="F32" s="37" t="str">
        <x:v>정보 전달 불균형</x:v>
      </x:c>
      <x:c r="G32" s="37" t="str">
        <x:v>중간</x:v>
      </x:c>
      <x:c r="H32" s="37" t="str">
        <x:v>중간</x:v>
      </x:c>
      <x:c r="I32" s="37" t="n">
        <x:f>IF(G32="높음",3,IF(G32="중간",2,1))*IF(H32="높음",3,IF(H32="중간",2,1))</x:f>
        <x:v>4</x:v>
      </x:c>
      <x:c r="J32" s="37" t="str">
        <x:v>오디오 리드</x:v>
      </x:c>
      <x:c r="K32" s="37" t="str">
        <x:v>맵별 음향 리뷰를 수행한다.</x:v>
      </x:c>
      <x:c r="L32" s="37" t="str">
        <x:v>감쇠 곡선을 원격 조정한다.</x:v>
      </x:c>
      <x:c r="M32" s="37" t="str">
        <x:v>미대응</x:v>
      </x:c>
      <x:c r="N32" s="37" t="str">
        <x:v>AUD-004,AUD-005,AUD-024</x:v>
      </x:c>
      <x:c r="O32" s="40" t="str">
        <x:v>미정</x:v>
      </x:c>
      <x:c r="P32" s="37"/>
    </x:row>
    <x:row r="33" ht="42" customHeight="1">
      <x:c r="A33" s="37" t="str">
        <x:v>R-AUD-04</x:v>
      </x:c>
      <x:c r="B33" s="37" t="str">
        <x:v>오디오·보이스 채팅</x:v>
      </x:c>
      <x:c r="C33" s="37" t="str">
        <x:v>성능</x:v>
      </x:c>
      <x:c r="D33" s="37" t="str">
        <x:v>전원이 발언할 때 음성 대역폭과 CPU가 게임 동기화를 압박할 수 있다.</x:v>
      </x:c>
      <x:c r="E33" s="37" t="str">
        <x:v>고정 음성 품질 설정</x:v>
      </x:c>
      <x:c r="F33" s="37" t="str">
        <x:v>연결 종료·음 끊김</x:v>
      </x:c>
      <x:c r="G33" s="37" t="str">
        <x:v>중간</x:v>
      </x:c>
      <x:c r="H33" s="37" t="str">
        <x:v>높음</x:v>
      </x:c>
      <x:c r="I33" s="37" t="n">
        <x:f>IF(G33="높음",3,IF(G33="중간",2,1))*IF(H33="높음",3,IF(H33="중간",2,1))</x:f>
        <x:v>6</x:v>
      </x:c>
      <x:c r="J33" s="37" t="str">
        <x:v>온라인 리드</x:v>
      </x:c>
      <x:c r="K33" s="37" t="str">
        <x:v>적응형 음질과 부하 시험을 적용한다.</x:v>
      </x:c>
      <x:c r="L33" s="37" t="str">
        <x:v>음질과 비트레이트를 낮춘다.</x:v>
      </x:c>
      <x:c r="M33" s="37" t="str">
        <x:v>미대응</x:v>
      </x:c>
      <x:c r="N33" s="37" t="str">
        <x:v>AUD-013,AUD-022</x:v>
      </x:c>
      <x:c r="O33" s="40" t="str">
        <x:v>미정</x:v>
      </x:c>
      <x:c r="P33" s="37"/>
    </x:row>
    <x:row r="34" ht="42" customHeight="1">
      <x:c r="A34" s="37" t="str">
        <x:v>R-CNT-01</x:v>
      </x:c>
      <x:c r="B34" s="37" t="str">
        <x:v>콘텐츠·맵·미니게임</x:v>
      </x:c>
      <x:c r="C34" s="37" t="str">
        <x:v>밸런스</x:v>
      </x:c>
      <x:c r="D34" s="37" t="str">
        <x:v>맵이 너무 좁거나 넓어 대화와 메모 부착이 단조로워질 수 있다.</x:v>
      </x:c>
      <x:c r="E34" s="37" t="str">
        <x:v>이동 시간 미계측</x:v>
      </x:c>
      <x:c r="F34" s="37" t="str">
        <x:v>반복 플레이 가치 하락</x:v>
      </x:c>
      <x:c r="G34" s="37" t="str">
        <x:v>중간</x:v>
      </x:c>
      <x:c r="H34" s="37" t="str">
        <x:v>높음</x:v>
      </x:c>
      <x:c r="I34" s="37" t="n">
        <x:f>IF(G34="높음",3,IF(G34="중간",2,1))*IF(H34="높음",3,IF(H34="중간",2,1))</x:f>
        <x:v>6</x:v>
      </x:c>
      <x:c r="J34" s="37" t="str">
        <x:v>레벨 디자인 리드</x:v>
      </x:c>
      <x:c r="K34" s="37" t="str">
        <x:v>플레이테스트와 이동 시간 기준을 적용한다.</x:v>
      </x:c>
      <x:c r="L34" s="37" t="str">
        <x:v>배치, 이동 속도, 페이즈 시간을 조정한다.</x:v>
      </x:c>
      <x:c r="M34" s="37" t="str">
        <x:v>미대응</x:v>
      </x:c>
      <x:c r="N34" s="37" t="str">
        <x:v>CNT-001,CNT-002</x:v>
      </x:c>
      <x:c r="O34" s="40" t="str">
        <x:v>미정</x:v>
      </x:c>
      <x:c r="P34" s="37"/>
    </x:row>
    <x:row r="35" ht="42" customHeight="1">
      <x:c r="A35" s="37" t="str">
        <x:v>R-CNT-02</x:v>
      </x:c>
      <x:c r="B35" s="37" t="str">
        <x:v>콘텐츠·맵·미니게임</x:v>
      </x:c>
      <x:c r="C35" s="37" t="str">
        <x:v>판독성</x:v>
      </x:c>
      <x:c r="D35" s="37" t="str">
        <x:v>조명 또는 카메라 때문에 메모 색상과 문구를 읽지 못할 수 있다.</x:v>
      </x:c>
      <x:c r="E35" s="37" t="str">
        <x:v>아트 우선 진행으로 판독성 검증 지연</x:v>
      </x:c>
      <x:c r="F35" s="37" t="str">
        <x:v>추리 불가</x:v>
      </x:c>
      <x:c r="G35" s="37" t="str">
        <x:v>중간</x:v>
      </x:c>
      <x:c r="H35" s="37" t="str">
        <x:v>높음</x:v>
      </x:c>
      <x:c r="I35" s="37" t="n">
        <x:f>IF(G35="높음",3,IF(G35="중간",2,1))*IF(H35="높음",3,IF(H35="중간",2,1))</x:f>
        <x:v>6</x:v>
      </x:c>
      <x:c r="J35" s="37" t="str">
        <x:v>아트·UX</x:v>
      </x:c>
      <x:c r="K35" s="37" t="str">
        <x:v>조명 게이트와 FOV 조합 시험을 적용한다.</x:v>
      </x:c>
      <x:c r="L35" s="37" t="str">
        <x:v>조명과 LOD를 수정한다.</x:v>
      </x:c>
      <x:c r="M35" s="37" t="str">
        <x:v>미대응</x:v>
      </x:c>
      <x:c r="N35" s="37" t="str">
        <x:v>CNT-011,CNT-013</x:v>
      </x:c>
      <x:c r="O35" s="40" t="str">
        <x:v>미정</x:v>
      </x:c>
      <x:c r="P35" s="37"/>
    </x:row>
    <x:row r="36" ht="42" customHeight="1">
      <x:c r="A36" s="37" t="str">
        <x:v>R-CNT-03</x:v>
      </x:c>
      <x:c r="B36" s="37" t="str">
        <x:v>콘텐츠·맵·미니게임</x:v>
      </x:c>
      <x:c r="C36" s="37" t="str">
        <x:v>콘텐츠</x:v>
      </x:c>
      <x:c r="D36" s="37" t="str">
        <x:v>미니게임 보상이 중복되거나 최종 재판이 잘못 발동할 수 있다.</x:v>
      </x:c>
      <x:c r="E36" s="37" t="str">
        <x:v>완료 이벤트 중복 전송</x:v>
      </x:c>
      <x:c r="F36" s="37" t="str">
        <x:v>승패 불일치</x:v>
      </x:c>
      <x:c r="G36" s="37" t="str">
        <x:v>중간</x:v>
      </x:c>
      <x:c r="H36" s="37" t="str">
        <x:v>높음</x:v>
      </x:c>
      <x:c r="I36" s="37" t="n">
        <x:f>IF(G36="높음",3,IF(G36="중간",2,1))*IF(H36="높음",3,IF(H36="중간",2,1))</x:f>
        <x:v>6</x:v>
      </x:c>
      <x:c r="J36" s="37" t="str">
        <x:v>게임플레이 리드</x:v>
      </x:c>
      <x:c r="K36" s="37" t="str">
        <x:v>완료 Nonce와 자동 회귀 시험을 적용한다.</x:v>
      </x:c>
      <x:c r="L36" s="37" t="str">
        <x:v>서버에서 진행도를 재계산한다.</x:v>
      </x:c>
      <x:c r="M36" s="37" t="str">
        <x:v>미대응</x:v>
      </x:c>
      <x:c r="N36" s="37" t="str">
        <x:v>CNT-020,CNT-022</x:v>
      </x:c>
      <x:c r="O36" s="40" t="str">
        <x:v>미정</x:v>
      </x:c>
      <x:c r="P36" s="37"/>
    </x:row>
    <x:row r="37" ht="42" customHeight="1">
      <x:c r="A37" s="37" t="str">
        <x:v>R-CNT-04</x:v>
      </x:c>
      <x:c r="B37" s="37" t="str">
        <x:v>콘텐츠·맵·미니게임</x:v>
      </x:c>
      <x:c r="C37" s="37" t="str">
        <x:v>이해도</x:v>
      </x:c>
      <x:c r="D37" s="37" t="str">
        <x:v>처음 플레이하는 사용자가 미니게임 조작을 이해하지 못할 수 있다.</x:v>
      </x:c>
      <x:c r="E37" s="37" t="str">
        <x:v>설명과 입력 설계 부족</x:v>
      </x:c>
      <x:c r="F37" s="37" t="str">
        <x:v>이탈 증가·게임 시간 증가</x:v>
      </x:c>
      <x:c r="G37" s="37" t="str">
        <x:v>중간</x:v>
      </x:c>
      <x:c r="H37" s="37" t="str">
        <x:v>중간</x:v>
      </x:c>
      <x:c r="I37" s="37" t="n">
        <x:f>IF(G37="높음",3,IF(G37="중간",2,1))*IF(H37="높음",3,IF(H37="중간",2,1))</x:f>
        <x:v>4</x:v>
      </x:c>
      <x:c r="J37" s="37" t="str">
        <x:v>게임 디자인</x:v>
      </x:c>
      <x:c r="K37" s="37" t="str">
        <x:v>3초 이해 시험과 공통 UI를 적용한다.</x:v>
      </x:c>
      <x:c r="L37" s="37" t="str">
        <x:v>난이도와 설명을 원격으로 조정한다.</x:v>
      </x:c>
      <x:c r="M37" s="37" t="str">
        <x:v>미대응</x:v>
      </x:c>
      <x:c r="N37" s="37" t="str">
        <x:v>CNT-021,CNT-023,CNT-024,CNT-025</x:v>
      </x:c>
      <x:c r="O37" s="40" t="str">
        <x:v>미정</x:v>
      </x:c>
      <x:c r="P37" s="37"/>
    </x:row>
    <x:row r="38" ht="42" customHeight="1">
      <x:c r="A38" s="37" t="str">
        <x:v>R-QAR-01</x:v>
      </x:c>
      <x:c r="B38" s="37" t="str">
        <x:v>QA·릴리스·운영</x:v>
      </x:c>
      <x:c r="C38" s="37" t="str">
        <x:v>일정</x:v>
      </x:c>
      <x:c r="D38" s="37" t="str">
        <x:v>네트워크, 음성, 플랫폼 인증 시험이 후반으로 밀릴 수 있다.</x:v>
      </x:c>
      <x:c r="E38" s="37" t="str">
        <x:v>시험 환경과 실제 기기 부족</x:v>
      </x:c>
      <x:c r="F38" s="37" t="str">
        <x:v>출시 후보 일정 지연</x:v>
      </x:c>
      <x:c r="G38" s="37" t="str">
        <x:v>높음</x:v>
      </x:c>
      <x:c r="H38" s="37" t="str">
        <x:v>높음</x:v>
      </x:c>
      <x:c r="I38" s="37" t="n">
        <x:f>IF(G38="높음",3,IF(G38="중간",2,1))*IF(H38="높음",3,IF(H38="중간",2,1))</x:f>
        <x:v>9</x:v>
      </x:c>
      <x:c r="J38" s="37" t="str">
        <x:v>QA 디렉터</x:v>
      </x:c>
      <x:c r="K38" s="37" t="str">
        <x:v>알파부터 조합 시험을 실행하고 필요한 장비를 확보한다.</x:v>
      </x:c>
      <x:c r="L38" s="37" t="str">
        <x:v>출시 범위와 우선순위를 재조정한다.</x:v>
      </x:c>
      <x:c r="M38" s="37" t="str">
        <x:v>미대응</x:v>
      </x:c>
      <x:c r="N38" s="37" t="str">
        <x:v>QAR-007,QAR-012,QAR-015</x:v>
      </x:c>
      <x:c r="O38" s="40" t="str">
        <x:v>미정</x:v>
      </x:c>
      <x:c r="P38" s="37"/>
    </x:row>
    <x:row r="39" ht="42" customHeight="1">
      <x:c r="A39" s="37" t="str">
        <x:v>R-QAR-02</x:v>
      </x:c>
      <x:c r="B39" s="37" t="str">
        <x:v>QA·릴리스·운영</x:v>
      </x:c>
      <x:c r="C39" s="37" t="str">
        <x:v>품질</x:v>
      </x:c>
      <x:c r="D39" s="37" t="str">
        <x:v>P0 결함이 예외 승인으로 출시까지 남을 수 있다.</x:v>
      </x:c>
      <x:c r="E39" s="37" t="str">
        <x:v>게이트 책임과 승인 기준 불명확</x:v>
      </x:c>
      <x:c r="F39" s="37" t="str">
        <x:v>출시 장애</x:v>
      </x:c>
      <x:c r="G39" s="37" t="str">
        <x:v>중간</x:v>
      </x:c>
      <x:c r="H39" s="37" t="str">
        <x:v>높음</x:v>
      </x:c>
      <x:c r="I39" s="37" t="n">
        <x:f>IF(G39="높음",3,IF(G39="중간",2,1))*IF(H39="높음",3,IF(H39="중간",2,1))</x:f>
        <x:v>6</x:v>
      </x:c>
      <x:c r="J39" s="37" t="str">
        <x:v>총괄 프로듀서</x:v>
      </x:c>
      <x:c r="K39" s="37" t="str">
        <x:v>예외 승인자, 기한, 롤백 계획을 필수화한다.</x:v>
      </x:c>
      <x:c r="L39" s="37" t="str">
        <x:v>출시를 연기한다.</x:v>
      </x:c>
      <x:c r="M39" s="37" t="str">
        <x:v>미대응</x:v>
      </x:c>
      <x:c r="N39" s="37" t="str">
        <x:v>QAR-023,QAR-032,QAR-038</x:v>
      </x:c>
      <x:c r="O39" s="40" t="str">
        <x:v>미정</x:v>
      </x:c>
      <x:c r="P39" s="37"/>
    </x:row>
    <x:row r="40" ht="42" customHeight="1">
      <x:c r="A40" s="37" t="str">
        <x:v>R-QAR-03</x:v>
      </x:c>
      <x:c r="B40" s="37" t="str">
        <x:v>QA·릴리스·운영</x:v>
      </x:c>
      <x:c r="C40" s="37" t="str">
        <x:v>관측성</x:v>
      </x:c>
      <x:c r="D40" s="37" t="str">
        <x:v>장애 발생 시 매치 ID와 상관관계 ID로 추적하지 못할 수 있다.</x:v>
      </x:c>
      <x:c r="E40" s="37" t="str">
        <x:v>로그와 버전 표시 부족</x:v>
      </x:c>
      <x:c r="F40" s="37" t="str">
        <x:v>복구 지연</x:v>
      </x:c>
      <x:c r="G40" s="37" t="str">
        <x:v>중간</x:v>
      </x:c>
      <x:c r="H40" s="37" t="str">
        <x:v>높음</x:v>
      </x:c>
      <x:c r="I40" s="37" t="n">
        <x:f>IF(G40="높음",3,IF(G40="중간",2,1))*IF(H40="높음",3,IF(H40="중간",2,1))</x:f>
        <x:v>6</x:v>
      </x:c>
      <x:c r="J40" s="37" t="str">
        <x:v>릴리스 관리자</x:v>
      </x:c>
      <x:c r="K40" s="37" t="str">
        <x:v>버전, ID, 로그를 출시 게이트로 관리한다.</x:v>
      </x:c>
      <x:c r="L40" s="37" t="str">
        <x:v>진단 빌드와 임시 모니터링을 추가한다.</x:v>
      </x:c>
      <x:c r="M40" s="37" t="str">
        <x:v>미대응</x:v>
      </x:c>
      <x:c r="N40" s="37" t="str">
        <x:v>QAR-025,BED-018,BED-023</x:v>
      </x:c>
      <x:c r="O40" s="40" t="str">
        <x:v>미정</x:v>
      </x:c>
      <x:c r="P40" s="37"/>
    </x:row>
    <x:row r="41" ht="42" customHeight="1">
      <x:c r="A41" s="37" t="str">
        <x:v>R-QAR-04</x:v>
      </x:c>
      <x:c r="B41" s="37" t="str">
        <x:v>QA·릴리스·운영</x:v>
      </x:c>
      <x:c r="C41" s="37" t="str">
        <x:v>밸런스</x:v>
      </x:c>
      <x:c r="D41" s="37" t="str">
        <x:v>표본 부족으로 승률과 게임 시간을 잘못 판단할 수 있다.</x:v>
      </x:c>
      <x:c r="E41" s="37" t="str">
        <x:v>플레이테스트 설계 부족</x:v>
      </x:c>
      <x:c r="F41" s="37" t="str">
        <x:v>제품 평가 하락</x:v>
      </x:c>
      <x:c r="G41" s="37" t="str">
        <x:v>중간</x:v>
      </x:c>
      <x:c r="H41" s="37" t="str">
        <x:v>중간</x:v>
      </x:c>
      <x:c r="I41" s="37" t="n">
        <x:f>IF(G41="높음",3,IF(G41="중간",2,1))*IF(H41="높음",3,IF(H41="중간",2,1))</x:f>
        <x:v>4</x:v>
      </x:c>
      <x:c r="J41" s="37" t="str">
        <x:v>게임 디렉터</x:v>
      </x:c>
      <x:c r="K41" s="37" t="str">
        <x:v>가설과 필요 표본 수를 사전에 정의한다.</x:v>
      </x:c>
      <x:c r="L41" s="37" t="str">
        <x:v>단계 배포와 원격 조정을 사용한다.</x:v>
      </x:c>
      <x:c r="M41" s="37" t="str">
        <x:v>미대응</x:v>
      </x:c>
      <x:c r="N41" s="37" t="str">
        <x:v>QAR-017,QAR-033</x:v>
      </x:c>
      <x:c r="O41" s="40" t="str">
        <x:v>미정</x:v>
      </x:c>
      <x:c r="P41" s="37"/>
    </x:row>
  </x:sheetData>
  <x:conditionalFormatting sqref="M2:M41">
    <x:cfRule type="expression" dxfId="28" priority="1">
      <x:formula>M2="완료"</x:formula>
    </x:cfRule>
    <x:cfRule type="expression" dxfId="29" priority="2">
      <x:formula>M2="통과"</x:formula>
    </x:cfRule>
    <x:cfRule type="expression" dxfId="30" priority="3">
      <x:formula>M2="차단"</x:formula>
    </x:cfRule>
    <x:cfRule type="expression" dxfId="31" priority="4">
      <x:formula>M2="실패"</x:formula>
    </x:cfRule>
    <x:cfRule type="expression" dxfId="32" priority="5">
      <x:formula>M2="구현 중"</x:formula>
    </x:cfRule>
    <x:cfRule type="expression" dxfId="33" priority="6">
      <x:formula>M2="QA 진행 중"</x:formula>
    </x:cfRule>
  </x:conditionalFormatting>
  <x:conditionalFormatting sqref="I2:I41">
    <x:cfRule type="colorScale" priority="7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dataValidations count="3">
    <x:dataValidation type="list" sqref="G2:G41">
      <x:formula1>"높음,중간,낮음"</x:formula1>
    </x:dataValidation>
    <x:dataValidation type="list" sqref="H2:H41">
      <x:formula1>"높음,중간,낮음"</x:formula1>
    </x:dataValidation>
    <x:dataValidation type="list" sqref="M2:M41">
      <x:formula1>"미대응,대응 중,모니터링 중,수용,해결,종료"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19764a470540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48" hidden="0" customWidth="1"/>
    <x:col min="5" max="5" width="54" hidden="0" customWidth="1"/>
    <x:col min="6" max="6" width="42" hidden="0" customWidth="1"/>
    <x:col min="7" max="7" width="42" hidden="0" customWidth="1"/>
    <x:col min="8" max="8" width="14" hidden="0" customWidth="1"/>
    <x:col min="9" max="9" width="20" hidden="0" customWidth="1"/>
    <x:col min="10" max="10" width="13" hidden="0" customWidth="1"/>
    <x:col min="11" max="11" width="24" hidden="0" customWidth="1"/>
    <x:col min="12" max="12" width="48" hidden="0" customWidth="1"/>
    <x:col min="13" max="13" width="13" hidden="0" customWidth="1"/>
  </x:cols>
  <x:sheetData>
    <x:row r="1" ht="30" customHeight="1">
      <x:c r="A1" s="32" t="str">
        <x:v>의사결정 ID</x:v>
      </x:c>
      <x:c r="B1" s="32" t="str">
        <x:v>부문</x:v>
      </x:c>
      <x:c r="C1" s="32" t="str">
        <x:v>논점</x:v>
      </x:c>
      <x:c r="D1" s="32" t="str">
        <x:v>결정 질문</x:v>
      </x:c>
      <x:c r="E1" s="32" t="str">
        <x:v>선택지</x:v>
      </x:c>
      <x:c r="F1" s="32" t="str">
        <x:v>권고안</x:v>
      </x:c>
      <x:c r="G1" s="32" t="str">
        <x:v>최종 결정</x:v>
      </x:c>
      <x:c r="H1" s="32" t="str">
        <x:v>상태</x:v>
      </x:c>
      <x:c r="I1" s="32" t="str">
        <x:v>결정권자</x:v>
      </x:c>
      <x:c r="J1" s="32" t="str">
        <x:v>기한</x:v>
      </x:c>
      <x:c r="K1" s="32" t="str">
        <x:v>관련 ID</x:v>
      </x:c>
      <x:c r="L1" s="32" t="str">
        <x:v>판단 근거·증빙</x:v>
      </x:c>
      <x:c r="M1" s="32" t="str">
        <x:v>최종 갱신일</x:v>
      </x:c>
    </x:row>
    <x:row r="2" ht="42" customHeight="1">
      <x:c r="A2" s="37" t="str">
        <x:v>D-IGM-01</x:v>
      </x:c>
      <x:c r="B2" s="37" t="str">
        <x:v>인게임·게임플레이</x:v>
      </x:c>
      <x:c r="C2" s="37" t="str">
        <x:v>투표 동률</x:v>
      </x:c>
      <x:c r="D2" s="37" t="str">
        <x:v>밤 투표와 최종 투표가 동률일 때 어떻게 처리할 것인가?</x:v>
      </x:c>
      <x:c r="E2" s="37" t="str">
        <x:v>A: 재투표 / B: 추방 없음 / C: 무작위</x:v>
      </x:c>
      <x:c r="F2" s="37" t="str">
        <x:v>MVP는 짧은 재투표 1회를 실시하고 다시 동률이면 추방하지 않는다.</x:v>
      </x:c>
      <x:c r="G2" s="37" t="str">
        <x:v>미정</x:v>
      </x:c>
      <x:c r="H2" s="37" t="str">
        <x:v>미정</x:v>
      </x:c>
      <x:c r="I2" s="37" t="str">
        <x:v>게임 디렉터</x:v>
      </x:c>
      <x:c r="J2" s="40" t="str">
        <x:v>2026-07-24</x:v>
      </x:c>
      <x:c r="K2" s="37" t="str">
        <x:v>IGM-024,SET-011</x:v>
      </x:c>
      <x:c r="L2" s="37" t="str">
        <x:v>게임 시간과 결과 수용성을 플레이테스트로 비교한다.</x:v>
      </x:c>
      <x:c r="M2" s="40" t="str">
        <x:v>2026-07-10</x:v>
      </x:c>
    </x:row>
    <x:row r="3" ht="42" customHeight="1">
      <x:c r="A3" s="37" t="str">
        <x:v>D-IGM-02</x:v>
      </x:c>
      <x:c r="B3" s="37" t="str">
        <x:v>인게임·게임플레이</x:v>
      </x:c>
      <x:c r="C3" s="37" t="str">
        <x:v>추방 시 역할 공개</x:v>
      </x:c>
      <x:c r="D3" s="37" t="str">
        <x:v>일반 추방 시 역할을 공개할 것인가?</x:v>
      </x:c>
      <x:c r="E3" s="37" t="str">
        <x:v>A: 공개 / B: 비공개 / C: 룸 설정</x:v>
      </x:c>
      <x:c r="F3" s="37" t="str">
        <x:v>MVP는 비공개로 두어 추리를 계속한다.</x:v>
      </x:c>
      <x:c r="G3" s="37" t="str">
        <x:v>미정</x:v>
      </x:c>
      <x:c r="H3" s="37" t="str">
        <x:v>미정</x:v>
      </x:c>
      <x:c r="I3" s="37" t="str">
        <x:v>게임 디렉터</x:v>
      </x:c>
      <x:c r="J3" s="40" t="str">
        <x:v>2026-07-24</x:v>
      </x:c>
      <x:c r="K3" s="37" t="str">
        <x:v>IGM-025,UIX-020</x:v>
      </x:c>
      <x:c r="L3" s="37" t="str">
        <x:v>최종 재판의 가치와 초보자 이해도를 비교한다.</x:v>
      </x:c>
      <x:c r="M3" s="40" t="str">
        <x:v>2026-07-10</x:v>
      </x:c>
    </x:row>
    <x:row r="4" ht="42" customHeight="1">
      <x:c r="A4" s="37" t="str">
        <x:v>D-IGM-03</x:v>
      </x:c>
      <x:c r="B4" s="37" t="str">
        <x:v>인게임·게임플레이</x:v>
      </x:c>
      <x:c r="C4" s="37" t="str">
        <x:v>등 메모 상한</x:v>
      </x:c>
      <x:c r="D4" s="37" t="str">
        <x:v>7장째 이후 메모를 거부, 교체, 보관 중 어떻게 처리할 것인가?</x:v>
      </x:c>
      <x:c r="E4" s="37" t="str">
        <x:v>A: 거부 / B: 가장 오래된 메모 교체 / C: 축소 표시</x:v>
      </x:c>
      <x:c r="F4" s="37" t="str">
        <x:v>MVP는 최대 6장으로 제한하고 신규 부착을 거부한다.</x:v>
      </x:c>
      <x:c r="G4" s="37" t="str">
        <x:v>미정</x:v>
      </x:c>
      <x:c r="H4" s="37" t="str">
        <x:v>미정</x:v>
      </x:c>
      <x:c r="I4" s="37" t="str">
        <x:v>제품 책임자</x:v>
      </x:c>
      <x:c r="J4" s="40" t="str">
        <x:v>2026-07-31</x:v>
      </x:c>
      <x:c r="K4" s="37" t="str">
        <x:v>IGM-022,CHR-010</x:v>
      </x:c>
      <x:c r="L4" s="37" t="str">
        <x:v>판독성과 메모 자원의 가치를 우선한다.</x:v>
      </x:c>
      <x:c r="M4" s="40" t="str">
        <x:v>2026-07-10</x:v>
      </x:c>
    </x:row>
    <x:row r="5" ht="42" customHeight="1">
      <x:c r="A5" s="37" t="str">
        <x:v>D-UIX-01</x:v>
      </x:c>
      <x:c r="B5" s="37" t="str">
        <x:v>UI·UX</x:v>
      </x:c>
      <x:c r="C5" s="37" t="str">
        <x:v>본인 정보 표시</x:v>
      </x:c>
      <x:c r="D5" s="37" t="str">
        <x:v>보유 수량 외에 본인에게 어떤 정보를 표시할 것인가?</x:v>
      </x:c>
      <x:c r="E5" s="37" t="str">
        <x:v>A: 보유 수량만 / B: 등 메모 수량 포함 / C: 알림만</x:v>
      </x:c>
      <x:c r="F5" s="37" t="str">
        <x:v>보유 수량과 능력 잔여 횟수만 표시하고 등 메모 관련 정보는 모두 숨긴다.</x:v>
      </x:c>
      <x:c r="G5" s="37" t="str">
        <x:v>미정</x:v>
      </x:c>
      <x:c r="H5" s="37" t="str">
        <x:v>미정</x:v>
      </x:c>
      <x:c r="I5" s="37" t="str">
        <x:v>UX 디렉터</x:v>
      </x:c>
      <x:c r="J5" s="40" t="str">
        <x:v>2026-07-24</x:v>
      </x:c>
      <x:c r="K5" s="37" t="str">
        <x:v>UIX-011,IGM-019</x:v>
      </x:c>
      <x:c r="L5" s="37" t="str">
        <x:v>핵심 규칙의 정보 비대칭을 유지한다.</x:v>
      </x:c>
      <x:c r="M5" s="40" t="str">
        <x:v>2026-07-10</x:v>
      </x:c>
    </x:row>
    <x:row r="6" ht="42" customHeight="1">
      <x:c r="A6" s="37" t="str">
        <x:v>D-UIX-02</x:v>
      </x:c>
      <x:c r="B6" s="37" t="str">
        <x:v>UI·UX</x:v>
      </x:c>
      <x:c r="C6" s="37" t="str">
        <x:v>투표 확인 단계</x:v>
      </x:c>
      <x:c r="D6" s="37" t="str">
        <x:v>투표 확정 전에 2단계 확인을 적용할 것인가?</x:v>
      </x:c>
      <x:c r="E6" s="37" t="str">
        <x:v>A: 항상 / B: 최초 1회 / C: 없음</x:v>
      </x:c>
      <x:c r="F6" s="37" t="str">
        <x:v>항상 확인하되 남은 3초에는 길게 눌러 확정하도록 단축한다.</x:v>
      </x:c>
      <x:c r="G6" s="37" t="str">
        <x:v>미정</x:v>
      </x:c>
      <x:c r="H6" s="37" t="str">
        <x:v>미정</x:v>
      </x:c>
      <x:c r="I6" s="37" t="str">
        <x:v>UX 디렉터</x:v>
      </x:c>
      <x:c r="J6" s="40" t="str">
        <x:v>2026-07-31</x:v>
      </x:c>
      <x:c r="K6" s="37" t="str">
        <x:v>UIX-019,UIX-023</x:v>
      </x:c>
      <x:c r="L6" s="37" t="str">
        <x:v>오투표 방지와 진행 속도의 균형을 맞춘다.</x:v>
      </x:c>
      <x:c r="M6" s="40" t="str">
        <x:v>2026-07-10</x:v>
      </x:c>
    </x:row>
    <x:row r="7" ht="42" customHeight="1">
      <x:c r="A7" s="37" t="str">
        <x:v>D-SET-01</x:v>
      </x:c>
      <x:c r="B7" s="37" t="str">
        <x:v>게임 설정·접근성</x:v>
      </x:c>
      <x:c r="C7" s="37" t="str">
        <x:v>룸 설정 공개 범위</x:v>
      </x:c>
      <x:c r="D7" s="37" t="str">
        <x:v>MVP에서 호스트에게 어떤 설정 항목을 공개할 것인가?</x:v>
      </x:c>
      <x:c r="E7" s="37" t="str">
        <x:v>A: 전체 / B: 기본 항목 / C: 프리셋만</x:v>
      </x:c>
      <x:c r="F7" s="37" t="str">
        <x:v>인원과 기본 타이머만 공개하고 나머지는 고급 설정에 둔다.</x:v>
      </x:c>
      <x:c r="G7" s="37" t="str">
        <x:v>미정</x:v>
      </x:c>
      <x:c r="H7" s="37" t="str">
        <x:v>미정</x:v>
      </x:c>
      <x:c r="I7" s="37" t="str">
        <x:v>제품 책임자</x:v>
      </x:c>
      <x:c r="J7" s="40" t="str">
        <x:v>2026-07-24</x:v>
      </x:c>
      <x:c r="K7" s="37" t="str">
        <x:v>SET-009,SET-012,SET-014</x:v>
      </x:c>
      <x:c r="L7" s="37" t="str">
        <x:v>초보자가 정상 동작하지 않는 조합을 만들지 않도록 한다.</x:v>
      </x:c>
      <x:c r="M7" s="40" t="str">
        <x:v>2026-07-10</x:v>
      </x:c>
    </x:row>
    <x:row r="8" ht="42" customHeight="1">
      <x:c r="A8" s="37" t="str">
        <x:v>D-SET-02</x:v>
      </x:c>
      <x:c r="B8" s="37" t="str">
        <x:v>게임 설정·접근성</x:v>
      </x:c>
      <x:c r="C8" s="37" t="str">
        <x:v>확장 기능 표시</x:v>
      </x:c>
      <x:c r="D8" s="37" t="str">
        <x:v>미구현 또는 잠긴 기능을 설정 UI에 표시할 것인가?</x:v>
      </x:c>
      <x:c r="E8" s="37" t="str">
        <x:v>A: 잠금 상태로 표시 / B: 숨김</x:v>
      </x:c>
      <x:c r="F8" s="37" t="str">
        <x:v>지원될 때까지 숨긴다.</x:v>
      </x:c>
      <x:c r="G8" s="37" t="str">
        <x:v>미정</x:v>
      </x:c>
      <x:c r="H8" s="37" t="str">
        <x:v>미정</x:v>
      </x:c>
      <x:c r="I8" s="37" t="str">
        <x:v>제품 책임자</x:v>
      </x:c>
      <x:c r="J8" s="40" t="str">
        <x:v>2026-07-31</x:v>
      </x:c>
      <x:c r="K8" s="37" t="str">
        <x:v>SET-017,SET-018</x:v>
      </x:c>
      <x:c r="L8" s="37" t="str">
        <x:v>기대치 관리와 버전 호환성을 우선한다.</x:v>
      </x:c>
      <x:c r="M8" s="40" t="str">
        <x:v>2026-07-10</x:v>
      </x:c>
    </x:row>
    <x:row r="9" ht="42" customHeight="1">
      <x:c r="A9" s="37" t="str">
        <x:v>D-ONL-01</x:v>
      </x:c>
      <x:c r="B9" s="37" t="str">
        <x:v>온라인·로비·매치메이킹</x:v>
      </x:c>
      <x:c r="C9" s="37" t="str">
        <x:v>호스팅 방식</x:v>
      </x:c>
      <x:c r="D9" s="37" t="str">
        <x:v>전용 서버, 호스트 서버, P2P 중 어떤 방식을 사용할 것인가?</x:v>
      </x:c>
      <x:c r="E9" s="37" t="str">
        <x:v>A: 전용 서버 / B: 호스트 서버 / C: P2P</x:v>
      </x:c>
      <x:c r="F9" s="37" t="str">
        <x:v>전용 서버 권한 방식을 사용한다.</x:v>
      </x:c>
      <x:c r="G9" s="37" t="str">
        <x:v>미정</x:v>
      </x:c>
      <x:c r="H9" s="37" t="str">
        <x:v>미정</x:v>
      </x:c>
      <x:c r="I9" s="37" t="str">
        <x:v>기술 디렉터</x:v>
      </x:c>
      <x:c r="J9" s="40" t="str">
        <x:v>2026-07-17</x:v>
      </x:c>
      <x:c r="K9" s="37" t="str">
        <x:v>ONL-021,NET-001</x:v>
      </x:c>
      <x:c r="L9" s="37" t="str">
        <x:v>비공개 정보 보호와 권한 검증에 유리하다.</x:v>
      </x:c>
      <x:c r="M9" s="40" t="str">
        <x:v>2026-07-10</x:v>
      </x:c>
    </x:row>
    <x:row r="10" ht="42" customHeight="1">
      <x:c r="A10" s="37" t="str">
        <x:v>D-ONL-02</x:v>
      </x:c>
      <x:c r="B10" s="37" t="str">
        <x:v>온라인·로비·매치메이킹</x:v>
      </x:c>
      <x:c r="C10" s="37" t="str">
        <x:v>중도 참가</x:v>
      </x:c>
      <x:c r="D10" s="37" t="str">
        <x:v>매치 시작 후 새 플레이어의 백필을 허용할 것인가?</x:v>
      </x:c>
      <x:c r="E10" s="37" t="str">
        <x:v>A: 허용 / B: 재접속만 허용</x:v>
      </x:c>
      <x:c r="F10" s="37" t="str">
        <x:v>MVP는 재접속만 허용한다.</x:v>
      </x:c>
      <x:c r="G10" s="37" t="str">
        <x:v>미정</x:v>
      </x:c>
      <x:c r="H10" s="37" t="str">
        <x:v>미정</x:v>
      </x:c>
      <x:c r="I10" s="37" t="str">
        <x:v>제품 책임자</x:v>
      </x:c>
      <x:c r="J10" s="40" t="str">
        <x:v>2026-07-24</x:v>
      </x:c>
      <x:c r="K10" s="37" t="str">
        <x:v>ONL-016</x:v>
      </x:c>
      <x:c r="L10" s="37" t="str">
        <x:v>역할 비공개와 공정성을 보호한다.</x:v>
      </x:c>
      <x:c r="M10" s="40" t="str">
        <x:v>2026-07-10</x:v>
      </x:c>
    </x:row>
    <x:row r="11" ht="42" customHeight="1">
      <x:c r="A11" s="37" t="str">
        <x:v>D-NET-01</x:v>
      </x:c>
      <x:c r="B11" s="37" t="str">
        <x:v>네트워크 동기화·보안</x:v>
      </x:c>
      <x:c r="C11" s="37" t="str">
        <x:v>서버 틱·이동 갱신 빈도</x:v>
      </x:c>
      <x:c r="D11" s="37" t="str">
        <x:v>서버 틱과 이동 갱신 빈도를 얼마로 설정할 것인가?</x:v>
      </x:c>
      <x:c r="E11" s="37" t="str">
        <x:v>A: 20Hz / B: 30Hz / C: 60Hz</x:v>
      </x:c>
      <x:c r="F11" s="37" t="str">
        <x:v>20Hz와 30Hz 비교 프로파일을 계측한 뒤 결정한다.</x:v>
      </x:c>
      <x:c r="G11" s="37" t="str">
        <x:v>미정</x:v>
      </x:c>
      <x:c r="H11" s="37" t="str">
        <x:v>미정</x:v>
      </x:c>
      <x:c r="I11" s="37" t="str">
        <x:v>네트워크 리드</x:v>
      </x:c>
      <x:c r="J11" s="40" t="str">
        <x:v>2026-07-31</x:v>
      </x:c>
      <x:c r="K11" s="37" t="str">
        <x:v>NET-003,NET-009,NET-022</x:v>
      </x:c>
      <x:c r="L11" s="37" t="str">
        <x:v>6인 규모라도 음성 및 메모 대역폭을 포함한 실측이 필요하다.</x:v>
      </x:c>
      <x:c r="M11" s="40" t="str">
        <x:v>2026-07-10</x:v>
      </x:c>
    </x:row>
    <x:row r="12" ht="42" customHeight="1">
      <x:c r="A12" s="37" t="str">
        <x:v>D-NET-02</x:v>
      </x:c>
      <x:c r="B12" s="37" t="str">
        <x:v>네트워크 동기화·보안</x:v>
      </x:c>
      <x:c r="C12" s="37" t="str">
        <x:v>클라이언트 데이터 모델</x:v>
      </x:c>
      <x:c r="D12" s="37" t="str">
        <x:v>내부 데이터 모델 일부를 클라이언트에 배포할 것인가?</x:v>
      </x:c>
      <x:c r="E12" s="37" t="str">
        <x:v>A: 공통 모델 / B: 공개 DTO만</x:v>
      </x:c>
      <x:c r="F12" s="37" t="str">
        <x:v>수신자별 공개 DTO만 배포한다.</x:v>
      </x:c>
      <x:c r="G12" s="37" t="str">
        <x:v>미정</x:v>
      </x:c>
      <x:c r="H12" s="37" t="str">
        <x:v>미정</x:v>
      </x:c>
      <x:c r="I12" s="37" t="str">
        <x:v>보안 리드</x:v>
      </x:c>
      <x:c r="J12" s="40" t="str">
        <x:v>2026-07-17</x:v>
      </x:c>
      <x:c r="K12" s="37" t="str">
        <x:v>NET-018</x:v>
      </x:c>
      <x:c r="L12" s="37" t="str">
        <x:v>메모리 분석 치트 저항성을 우선한다.</x:v>
      </x:c>
      <x:c r="M12" s="40" t="str">
        <x:v>2026-07-10</x:v>
      </x:c>
    </x:row>
    <x:row r="13" ht="42" customHeight="1">
      <x:c r="A13" s="37" t="str">
        <x:v>D-BED-01</x:v>
      </x:c>
      <x:c r="B13" s="37" t="str">
        <x:v>백엔드·데이터·모더레이션</x:v>
      </x:c>
      <x:c r="C13" s="37" t="str">
        <x:v>계정 정책</x:v>
      </x:c>
      <x:c r="D13" s="37" t="str">
        <x:v>게스트 플레이를 허용할 것인가?</x:v>
      </x:c>
      <x:c r="E13" s="37" t="str">
        <x:v>A: 허용 / B: 플랫폼 ID 필수</x:v>
      </x:c>
      <x:c r="F13" s="37" t="str">
        <x:v>플랫폼 ID를 필수로 하되 최초 진입 절차는 단순화한다.</x:v>
      </x:c>
      <x:c r="G13" s="37" t="str">
        <x:v>미정</x:v>
      </x:c>
      <x:c r="H13" s="37" t="str">
        <x:v>미정</x:v>
      </x:c>
      <x:c r="I13" s="37" t="str">
        <x:v>제품 책임자</x:v>
      </x:c>
      <x:c r="J13" s="40" t="str">
        <x:v>2026-07-31</x:v>
      </x:c>
      <x:c r="K13" s="37" t="str">
        <x:v>BED-001,BED-002</x:v>
      </x:c>
      <x:c r="L13" s="37" t="str">
        <x:v>신고, 차단, 재접속에 안정적인 식별자가 필요하다.</x:v>
      </x:c>
      <x:c r="M13" s="40" t="str">
        <x:v>2026-07-10</x:v>
      </x:c>
    </x:row>
    <x:row r="14" ht="42" customHeight="1">
      <x:c r="A14" s="37" t="str">
        <x:v>D-BED-02</x:v>
      </x:c>
      <x:c r="B14" s="37" t="str">
        <x:v>백엔드·데이터·모더레이션</x:v>
      </x:c>
      <x:c r="C14" s="37" t="str">
        <x:v>음성 신고 증거</x:v>
      </x:c>
      <x:c r="D14" s="37" t="str">
        <x:v>음성 신고를 위해 짧은 구간을 녹음할 것인가?</x:v>
      </x:c>
      <x:c r="E14" s="37" t="str">
        <x:v>A: 녹음 / B: 메타데이터만 / C: 지역별 적용</x:v>
      </x:c>
      <x:c r="F14" s="37" t="str">
        <x:v>법무와 플랫폼 심사를 마친 뒤 지역별로 적용한다.</x:v>
      </x:c>
      <x:c r="G14" s="37" t="str">
        <x:v>미정</x:v>
      </x:c>
      <x:c r="H14" s="37" t="str">
        <x:v>미정</x:v>
      </x:c>
      <x:c r="I14" s="37" t="str">
        <x:v>개인정보·법무</x:v>
      </x:c>
      <x:c r="J14" s="40" t="str">
        <x:v>2026-08-14</x:v>
      </x:c>
      <x:c r="K14" s="37" t="str">
        <x:v>BED-011,AUD-012</x:v>
      </x:c>
      <x:c r="L14" s="37" t="str">
        <x:v>법적 위험과 운영 비용이 높다.</x:v>
      </x:c>
      <x:c r="M14" s="40" t="str">
        <x:v>2026-07-10</x:v>
      </x:c>
    </x:row>
    <x:row r="15" ht="42" customHeight="1">
      <x:c r="A15" s="37" t="str">
        <x:v>D-CHR-01</x:v>
      </x:c>
      <x:c r="B15" s="37" t="str">
        <x:v>캐릭터·커스터마이징·커머스</x:v>
      </x:c>
      <x:c r="C15" s="37" t="str">
        <x:v>MVP 헤드 종류</x:v>
      </x:c>
      <x:c r="D15" s="37" t="str">
        <x:v>MVP에 몇 종류의 헤드 형태를 포함할 것인가?</x:v>
      </x:c>
      <x:c r="E15" s="37" t="str">
        <x:v>A: 1종 / B: 3종</x:v>
      </x:c>
      <x:c r="F15" s="37" t="str">
        <x:v>판독성 검증을 우선해 기본 1종만 포함한다.</x:v>
      </x:c>
      <x:c r="G15" s="37" t="str">
        <x:v>미정</x:v>
      </x:c>
      <x:c r="H15" s="37" t="str">
        <x:v>미정</x:v>
      </x:c>
      <x:c r="I15" s="37" t="str">
        <x:v>아트 디렉터</x:v>
      </x:c>
      <x:c r="J15" s="40" t="str">
        <x:v>2026-07-24</x:v>
      </x:c>
      <x:c r="K15" s="37" t="str">
        <x:v>CHR-002,CHR-013</x:v>
      </x:c>
      <x:c r="L15" s="37" t="str">
        <x:v>핵심 게임 검증 전에 아트 제작 부담을 줄인다.</x:v>
      </x:c>
      <x:c r="M15" s="40" t="str">
        <x:v>2026-07-10</x:v>
      </x:c>
    </x:row>
    <x:row r="16" ht="42" customHeight="1">
      <x:c r="A16" s="37" t="str">
        <x:v>D-CHR-02</x:v>
      </x:c>
      <x:c r="B16" s="37" t="str">
        <x:v>캐릭터·커스터마이징·커머스</x:v>
      </x:c>
      <x:c r="C16" s="37" t="str">
        <x:v>랜덤 상자 판매</x:v>
      </x:c>
      <x:c r="D16" s="37" t="str">
        <x:v>랜덤 상자 판매 방식을 적용할 것인가?</x:v>
      </x:c>
      <x:c r="E16" s="37" t="str">
        <x:v>A: 적용 / B: 직접 판매만</x:v>
      </x:c>
      <x:c r="F16" s="37" t="str">
        <x:v>법무와 지역 심사가 끝날 때까지 직접 판매만 제공한다.</x:v>
      </x:c>
      <x:c r="G16" s="37" t="str">
        <x:v>미정</x:v>
      </x:c>
      <x:c r="H16" s="37" t="str">
        <x:v>미정</x:v>
      </x:c>
      <x:c r="I16" s="37" t="str">
        <x:v>총괄 프로듀서</x:v>
      </x:c>
      <x:c r="J16" s="40" t="str">
        <x:v>2026-09-30</x:v>
      </x:c>
      <x:c r="K16" s="37" t="str">
        <x:v>CHR-024,BED-029,BED-030</x:v>
      </x:c>
      <x:c r="L16" s="37" t="str">
        <x:v>규제, 사용자 신뢰, 운영 비용을 비교해야 한다.</x:v>
      </x:c>
      <x:c r="M16" s="40" t="str">
        <x:v>2026-07-10</x:v>
      </x:c>
    </x:row>
    <x:row r="17" ht="42" customHeight="1">
      <x:c r="A17" s="37" t="str">
        <x:v>D-AUD-01</x:v>
      </x:c>
      <x:c r="B17" s="37" t="str">
        <x:v>오디오·보이스 채팅</x:v>
      </x:c>
      <x:c r="C17" s="37" t="str">
        <x:v>음성 필수 여부</x:v>
      </x:c>
      <x:c r="D17" s="37" t="str">
        <x:v>음성 권한을 허용하지 않은 사용자도 온라인 매치에 참가할 수 있는가?</x:v>
      </x:c>
      <x:c r="E17" s="37" t="str">
        <x:v>A: 참가 가능 / B: 참가 불가</x:v>
      </x:c>
      <x:c r="F17" s="37" t="str">
        <x:v>참가를 허용하되 룸 조건과 경고를 표시한다.</x:v>
      </x:c>
      <x:c r="G17" s="37" t="str">
        <x:v>미정</x:v>
      </x:c>
      <x:c r="H17" s="37" t="str">
        <x:v>미정</x:v>
      </x:c>
      <x:c r="I17" s="37" t="str">
        <x:v>제품 책임자</x:v>
      </x:c>
      <x:c r="J17" s="40" t="str">
        <x:v>2026-07-31</x:v>
      </x:c>
      <x:c r="K17" s="37" t="str">
        <x:v>AUD-002,AUD-003</x:v>
      </x:c>
      <x:c r="L17" s="37" t="str">
        <x:v>접근성과 개인정보 선택권을 고려한다.</x:v>
      </x:c>
      <x:c r="M17" s="40" t="str">
        <x:v>2026-07-10</x:v>
      </x:c>
    </x:row>
    <x:row r="18" ht="42" customHeight="1">
      <x:c r="A18" s="37" t="str">
        <x:v>D-AUD-02</x:v>
      </x:c>
      <x:c r="B18" s="37" t="str">
        <x:v>오디오·보이스 채팅</x:v>
      </x:c>
      <x:c r="C18" s="37" t="str">
        <x:v>밤 음성 수신</x:v>
      </x:c>
      <x:c r="D18" s="37" t="str">
        <x:v>밤에는 송신만 막을지 송수신을 모두 막을지 결정한다.</x:v>
      </x:c>
      <x:c r="E18" s="37" t="str">
        <x:v>A: 송수신 모두 중지 / B: 송신만 중지</x:v>
      </x:c>
      <x:c r="F18" s="37" t="str">
        <x:v>송수신을 모두 중지한다.</x:v>
      </x:c>
      <x:c r="G18" s="37" t="str">
        <x:v>미정</x:v>
      </x:c>
      <x:c r="H18" s="37" t="str">
        <x:v>미정</x:v>
      </x:c>
      <x:c r="I18" s="37" t="str">
        <x:v>게임 디렉터</x:v>
      </x:c>
      <x:c r="J18" s="40" t="str">
        <x:v>2026-07-17</x:v>
      </x:c>
      <x:c r="K18" s="37" t="str">
        <x:v>AUD-006</x:v>
      </x:c>
      <x:c r="L18" s="37" t="str">
        <x:v>호흡과 반응 소리도 게임 정보가 될 수 있다.</x:v>
      </x:c>
      <x:c r="M18" s="40" t="str">
        <x:v>2026-07-10</x:v>
      </x:c>
    </x:row>
    <x:row r="19" ht="42" customHeight="1">
      <x:c r="A19" s="37" t="str">
        <x:v>D-CNT-01</x:v>
      </x:c>
      <x:c r="B19" s="37" t="str">
        <x:v>콘텐츠·맵·미니게임</x:v>
      </x:c>
      <x:c r="C19" s="37" t="str">
        <x:v>MVP 맵 수</x:v>
      </x:c>
      <x:c r="D19" s="37" t="str">
        <x:v>MVP에 몇 개의 맵을 제공할 것인가?</x:v>
      </x:c>
      <x:c r="E19" s="37" t="str">
        <x:v>A: 1개 / B: 2개</x:v>
      </x:c>
      <x:c r="F19" s="37" t="str">
        <x:v>1개 맵을 높은 품질로 완성한다.</x:v>
      </x:c>
      <x:c r="G19" s="37" t="str">
        <x:v>미정</x:v>
      </x:c>
      <x:c r="H19" s="37" t="str">
        <x:v>미정</x:v>
      </x:c>
      <x:c r="I19" s="37" t="str">
        <x:v>게임 디렉터</x:v>
      </x:c>
      <x:c r="J19" s="40" t="str">
        <x:v>2026-07-24</x:v>
      </x:c>
      <x:c r="K19" s="37" t="str">
        <x:v>CNT-001,CNT-035</x:v>
      </x:c>
      <x:c r="L19" s="37" t="str">
        <x:v>핵심 게임 루프 검증을 우선한다.</x:v>
      </x:c>
      <x:c r="M19" s="40" t="str">
        <x:v>2026-07-10</x:v>
      </x:c>
    </x:row>
    <x:row r="20" ht="42" customHeight="1">
      <x:c r="A20" s="37" t="str">
        <x:v>D-CNT-02</x:v>
      </x:c>
      <x:c r="B20" s="37" t="str">
        <x:v>콘텐츠·맵·미니게임</x:v>
      </x:c>
      <x:c r="C20" s="37" t="str">
        <x:v>MVP 미니게임 수</x:v>
      </x:c>
      <x:c r="D20" s="37" t="str">
        <x:v>MVP에 몇 종류와 몇 개의 미니게임 단말을 제공할 것인가?</x:v>
      </x:c>
      <x:c r="E20" s="37" t="str">
        <x:v>A: 3종·5단말 / B: 5종·8단말</x:v>
      </x:c>
      <x:c r="F20" s="37" t="str">
        <x:v>3종을 제공하고 룸당 5~6회 완료를 요구한다.</x:v>
      </x:c>
      <x:c r="G20" s="37" t="str">
        <x:v>미정</x:v>
      </x:c>
      <x:c r="H20" s="37" t="str">
        <x:v>미정</x:v>
      </x:c>
      <x:c r="I20" s="37" t="str">
        <x:v>게임 디렉터</x:v>
      </x:c>
      <x:c r="J20" s="40" t="str">
        <x:v>2026-07-24</x:v>
      </x:c>
      <x:c r="K20" s="37" t="str">
        <x:v>CNT-023,CNT-024,CNT-025,CNT-027</x:v>
      </x:c>
      <x:c r="L20" s="37" t="str">
        <x:v>제작 부담과 반복감을 플레이테스트로 확인한다.</x:v>
      </x:c>
      <x:c r="M20" s="40" t="str">
        <x:v>2026-07-10</x:v>
      </x:c>
    </x:row>
    <x:row r="21" ht="42" customHeight="1">
      <x:c r="A21" s="37" t="str">
        <x:v>D-QAR-01</x:v>
      </x:c>
      <x:c r="B21" s="37" t="str">
        <x:v>QA·릴리스·운영</x:v>
      </x:c>
      <x:c r="C21" s="37" t="str">
        <x:v>품질 수치 목표</x:v>
      </x:c>
      <x:c r="D21" s="37" t="str">
        <x:v>크래시 프리 비율과 서비스 SLO를 어떤 수치로 설정할 것인가?</x:v>
      </x:c>
      <x:c r="E21" s="37" t="str">
        <x:v>A: 사내 공통 기준 / B: 플랫폼별 기준</x:v>
      </x:c>
      <x:c r="F21" s="37" t="str">
        <x:v>출시 후보 시작 전에 최소 목표와 출시 중단 임계값을 승인한다.</x:v>
      </x:c>
      <x:c r="G21" s="37" t="str">
        <x:v>미정</x:v>
      </x:c>
      <x:c r="H21" s="37" t="str">
        <x:v>미정</x:v>
      </x:c>
      <x:c r="I21" s="37" t="str">
        <x:v>총괄 프로듀서</x:v>
      </x:c>
      <x:c r="J21" s="40" t="str">
        <x:v>2026-08-14</x:v>
      </x:c>
      <x:c r="K21" s="37" t="str">
        <x:v>QAR-026,QAR-027</x:v>
      </x:c>
      <x:c r="L21" s="37" t="str">
        <x:v>측정 가능한 출시 게이트로 운영한다.</x:v>
      </x:c>
      <x:c r="M21" s="40" t="str">
        <x:v>2026-07-10</x:v>
      </x:c>
    </x:row>
    <x:row r="22" ht="42" customHeight="1">
      <x:c r="A22" s="37" t="str">
        <x:v>D-QAR-02</x:v>
      </x:c>
      <x:c r="B22" s="37" t="str">
        <x:v>QA·릴리스·운영</x:v>
      </x:c>
      <x:c r="C22" s="37" t="str">
        <x:v>외부 베타 범위</x:v>
      </x:c>
      <x:c r="D22" s="37" t="str">
        <x:v>외부 시험의 규모와 지역을 어떻게 운영할 것인가?</x:v>
      </x:c>
      <x:c r="E22" s="37" t="str">
        <x:v>A: 비공개 베타 / B: 공개 베타</x:v>
      </x:c>
      <x:c r="F22" s="37" t="str">
        <x:v>비공개 베타부터 시작하고 안정화 후 확대한다.</x:v>
      </x:c>
      <x:c r="G22" s="37" t="str">
        <x:v>미정</x:v>
      </x:c>
      <x:c r="H22" s="37" t="str">
        <x:v>미정</x:v>
      </x:c>
      <x:c r="I22" s="37" t="str">
        <x:v>퍼블리싱 리드</x:v>
      </x:c>
      <x:c r="J22" s="40" t="str">
        <x:v>2026-08-28</x:v>
      </x:c>
      <x:c r="K22" s="37" t="str">
        <x:v>QAR-033</x:v>
      </x:c>
      <x:c r="L22" s="37" t="str">
        <x:v>음성, 신고, 고객 지원 부하를 단계적으로 검증한다.</x:v>
      </x:c>
      <x:c r="M22" s="40" t="str">
        <x:v>2026-07-10</x:v>
      </x:c>
    </x:row>
  </x:sheetData>
  <x:conditionalFormatting sqref="H2:H22">
    <x:cfRule type="expression" dxfId="34" priority="1">
      <x:formula>H2="완료"</x:formula>
    </x:cfRule>
    <x:cfRule type="expression" dxfId="35" priority="2">
      <x:formula>H2="통과"</x:formula>
    </x:cfRule>
    <x:cfRule type="expression" dxfId="36" priority="3">
      <x:formula>H2="차단"</x:formula>
    </x:cfRule>
    <x:cfRule type="expression" dxfId="37" priority="4">
      <x:formula>H2="실패"</x:formula>
    </x:cfRule>
    <x:cfRule type="expression" dxfId="38" priority="5">
      <x:formula>H2="구현 중"</x:formula>
    </x:cfRule>
    <x:cfRule type="expression" dxfId="39" priority="6">
      <x:formula>H2="QA 진행 중"</x:formula>
    </x:cfRule>
  </x:conditionalFormatting>
  <x:dataValidations count="1">
    <x:dataValidation type="list" sqref="H2:H22">
      <x:formula1>"미정,검토 중,승인,기각,보류"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3aba63512946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44" hidden="0" customWidth="1"/>
    <x:col min="5" max="5" width="24" hidden="0" customWidth="1"/>
    <x:col min="6" max="6" width="42" hidden="0" customWidth="1"/>
    <x:col min="7" max="7" width="32" hidden="0" customWidth="1"/>
    <x:col min="8" max="8" width="34" hidden="0" customWidth="1"/>
    <x:col min="9" max="9" width="30" hidden="0" customWidth="1"/>
    <x:col min="10" max="10" width="24" hidden="0" customWidth="1"/>
    <x:col min="11" max="11" width="24" hidden="0" customWidth="1"/>
    <x:col min="12" max="12" width="14" hidden="0" customWidth="1"/>
    <x:col min="13" max="13" width="18" hidden="0" customWidth="1"/>
    <x:col min="14" max="14" width="14" hidden="0" customWidth="1"/>
    <x:col min="15" max="15" width="44" hidden="0" customWidth="1"/>
    <x:col min="16" max="16" width="28" hidden="0" customWidth="1"/>
  </x:cols>
  <x:sheetData>
    <x:row r="1" ht="30" customHeight="1">
      <x:c r="A1" s="32" t="str">
        <x:v>변경 요청 ID</x:v>
      </x:c>
      <x:c r="B1" s="32" t="str">
        <x:v>제출일</x:v>
      </x:c>
      <x:c r="C1" s="32" t="str">
        <x:v>제출자</x:v>
      </x:c>
      <x:c r="D1" s="32" t="str">
        <x:v>변경 개요</x:v>
      </x:c>
      <x:c r="E1" s="32" t="str">
        <x:v>대상 ID</x:v>
      </x:c>
      <x:c r="F1" s="32" t="str">
        <x:v>변경 이유</x:v>
      </x:c>
      <x:c r="G1" s="32" t="str">
        <x:v>범위·비용 영향</x:v>
      </x:c>
      <x:c r="H1" s="32" t="str">
        <x:v>품질·위험 영향</x:v>
      </x:c>
      <x:c r="I1" s="32" t="str">
        <x:v>의존관계 영향</x:v>
      </x:c>
      <x:c r="J1" s="32" t="str">
        <x:v>권고안</x:v>
      </x:c>
      <x:c r="K1" s="32" t="str">
        <x:v>결정</x:v>
      </x:c>
      <x:c r="L1" s="32" t="str">
        <x:v>상태</x:v>
      </x:c>
      <x:c r="M1" s="32" t="str">
        <x:v>결정권자</x:v>
      </x:c>
      <x:c r="N1" s="32" t="str">
        <x:v>결정일</x:v>
      </x:c>
      <x:c r="O1" s="32" t="str">
        <x:v>구현·롤백 계획</x:v>
      </x:c>
      <x:c r="P1" s="32" t="str">
        <x:v>증빙</x:v>
      </x:c>
    </x:row>
    <x:row r="2" ht="42" customHeight="1">
      <x:c r="A2" s="37" t="str">
        <x:v>CR-0001</x:v>
      </x:c>
      <x:c r="B2" s="40" t="str">
        <x:v>2026-07-10</x:v>
      </x:c>
      <x:c r="C2" s="37" t="str">
        <x:v>템플릿</x:v>
      </x:c>
      <x:c r="D2" s="37" t="str">
        <x:v>예시: 밤 투표 동률 규칙 변경</x:v>
      </x:c>
      <x:c r="E2" s="37" t="str">
        <x:v>IGM-024,SET-011</x:v>
      </x:c>
      <x:c r="F2" s="37" t="str">
        <x:v>플레이테스트 결과 반영</x:v>
      </x:c>
      <x:c r="G2" s="37" t="str">
        <x:v>미정</x:v>
      </x:c>
      <x:c r="H2" s="37" t="str">
        <x:v>미정</x:v>
      </x:c>
      <x:c r="I2" s="37" t="str">
        <x:v>UI·서버·튜토리얼</x:v>
      </x:c>
      <x:c r="J2" s="37" t="str">
        <x:v>미정</x:v>
      </x:c>
      <x:c r="K2" s="37" t="str">
        <x:v>미정</x:v>
      </x:c>
      <x:c r="L2" s="37" t="str">
        <x:v>미기안</x:v>
      </x:c>
      <x:c r="M2" s="37" t="str">
        <x:v>미정</x:v>
      </x:c>
      <x:c r="N2" s="40" t="str">
        <x:v>미정</x:v>
      </x:c>
      <x:c r="O2" s="37"/>
      <x:c r="P2" s="37"/>
    </x:row>
  </x:sheetData>
  <x:conditionalFormatting sqref="L2:L2">
    <x:cfRule type="expression" dxfId="40" priority="1">
      <x:formula>L2="완료"</x:formula>
    </x:cfRule>
    <x:cfRule type="expression" dxfId="41" priority="2">
      <x:formula>L2="통과"</x:formula>
    </x:cfRule>
    <x:cfRule type="expression" dxfId="42" priority="3">
      <x:formula>L2="차단"</x:formula>
    </x:cfRule>
    <x:cfRule type="expression" dxfId="43" priority="4">
      <x:formula>L2="실패"</x:formula>
    </x:cfRule>
    <x:cfRule type="expression" dxfId="44" priority="5">
      <x:formula>L2="구현 중"</x:formula>
    </x:cfRule>
    <x:cfRule type="expression" dxfId="45" priority="6">
      <x:formula>L2="QA 진행 중"</x:formula>
    </x:cfRule>
  </x:conditionalFormatting>
  <x:dataValidations count="1">
    <x:dataValidation type="list" sqref="L2">
      <x:formula1>"미기안,분석 중,검토 중,승인,기각,구현 중,완료"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ea38d0646c4f9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32" hidden="0" customWidth="1"/>
    <x:col min="4" max="4" width="28" hidden="0" customWidth="1"/>
    <x:col min="5" max="5" width="42" hidden="0" customWidth="1"/>
    <x:col min="6" max="6" width="22" hidden="0" customWidth="1"/>
    <x:col min="7" max="7" width="32" hidden="0" customWidth="1"/>
    <x:col min="8" max="8" width="18" hidden="0" customWidth="1"/>
    <x:col min="9" max="9" width="26" hidden="0" customWidth="1"/>
  </x:cols>
  <x:sheetData>
    <x:row r="1" ht="30" customHeight="1">
      <x:c r="A1" s="32" t="str">
        <x:v>번호</x:v>
      </x:c>
      <x:c r="B1" s="32" t="str">
        <x:v>파일</x:v>
      </x:c>
      <x:c r="C1" s="32" t="str">
        <x:v>부문</x:v>
      </x:c>
      <x:c r="D1" s="32" t="str">
        <x:v>담당 부문</x:v>
      </x:c>
      <x:c r="E1" s="32" t="str">
        <x:v>주요 용도</x:v>
      </x:c>
      <x:c r="F1" s="32" t="str">
        <x:v>갱신 주기</x:v>
      </x:c>
      <x:c r="G1" s="32" t="str">
        <x:v>기준 원본</x:v>
      </x:c>
      <x:c r="H1" s="32" t="str">
        <x:v>통합 문서 링크</x:v>
      </x:c>
      <x:c r="I1" s="32" t="str">
        <x:v>비고</x:v>
      </x:c>
    </x:row>
    <x:row r="2" ht="42" customHeight="1">
      <x:c r="A2" s="37" t="n">
        <x:v>0</x:v>
      </x:c>
      <x:c r="B2" s="37" t="str">
        <x:v>00_통합_프로젝트_관리.xlsx</x:v>
      </x:c>
      <x:c r="C2" s="37" t="str">
        <x:v>전체</x:v>
      </x:c>
      <x:c r="D2" s="37" t="str">
        <x:v>PMO·프로덕션</x:v>
      </x:c>
      <x:c r="E2" s="37" t="str">
        <x:v>포트폴리오·게이트·의존관계·RACI·변경관리</x:v>
      </x:c>
      <x:c r="F2" s="37" t="str">
        <x:v>주 2회 / 게이트 전 매일</x:v>
      </x:c>
      <x:c r="G2" s="37" t="str">
        <x:v>외부 이슈 추적 도구 이전 후 해당 도구</x:v>
      </x:c>
      <x:c r="H2" s="37" t="e">
        <x:f>HYPERLINK(B2,"열기")</x:f>
      </x:c>
      <x:c r="I2" s="37" t="str">
        <x:v>전체 스냅샷</x:v>
      </x:c>
    </x:row>
    <x:row r="3" ht="42" customHeight="1">
      <x:c r="A3" s="37" t="n">
        <x:v>1</x:v>
      </x:c>
      <x:c r="B3" s="37" t="str">
        <x:v>01_인게임_게임플레이.xlsx</x:v>
      </x:c>
      <x:c r="C3" s="37" t="str">
        <x:v>인게임·게임플레이</x:v>
      </x:c>
      <x:c r="D3" s="37" t="str">
        <x:v>게임플레이 엔지니어링</x:v>
      </x:c>
      <x:c r="E3" s="37" t="str">
        <x:v>부문 백로그·사양·QA·위험·의사결정</x:v>
      </x:c>
      <x:c r="F3" s="37" t="str">
        <x:v>주 2회 / 게이트 전 매일</x:v>
      </x:c>
      <x:c r="G3" s="37" t="str">
        <x:v>외부 이슈 추적 도구 이전 후 해당 도구</x:v>
      </x:c>
      <x:c r="H3" s="37" t="e">
        <x:f>HYPERLINK(B3,"열기")</x:f>
      </x:c>
      <x:c r="I3" s="37" t="str">
        <x:v>ID 접두사: IGM</x:v>
      </x:c>
    </x:row>
    <x:row r="4" ht="42" customHeight="1">
      <x:c r="A4" s="37" t="n">
        <x:v>2</x:v>
      </x:c>
      <x:c r="B4" s="37" t="str">
        <x:v>02_UI_UX.xlsx</x:v>
      </x:c>
      <x:c r="C4" s="37" t="str">
        <x:v>UI·UX</x:v>
      </x:c>
      <x:c r="D4" s="37" t="str">
        <x:v>UI·UX 팀</x:v>
      </x:c>
      <x:c r="E4" s="37" t="str">
        <x:v>부문 백로그·사양·QA·위험·의사결정</x:v>
      </x:c>
      <x:c r="F4" s="37" t="str">
        <x:v>주 2회 / 게이트 전 매일</x:v>
      </x:c>
      <x:c r="G4" s="37" t="str">
        <x:v>외부 이슈 추적 도구 이전 후 해당 도구</x:v>
      </x:c>
      <x:c r="H4" s="37" t="e">
        <x:f>HYPERLINK(B4,"열기")</x:f>
      </x:c>
      <x:c r="I4" s="37" t="str">
        <x:v>ID 접두사: UIX</x:v>
      </x:c>
    </x:row>
    <x:row r="5" ht="42" customHeight="1">
      <x:c r="A5" s="37" t="n">
        <x:v>3</x:v>
      </x:c>
      <x:c r="B5" s="37" t="str">
        <x:v>03_게임설정_접근성.xlsx</x:v>
      </x:c>
      <x:c r="C5" s="37" t="str">
        <x:v>게임 설정·접근성</x:v>
      </x:c>
      <x:c r="D5" s="37" t="str">
        <x:v>UX·클라이언트 엔지니어링</x:v>
      </x:c>
      <x:c r="E5" s="37" t="str">
        <x:v>부문 백로그·사양·QA·위험·의사결정</x:v>
      </x:c>
      <x:c r="F5" s="37" t="str">
        <x:v>주 2회 / 게이트 전 매일</x:v>
      </x:c>
      <x:c r="G5" s="37" t="str">
        <x:v>외부 이슈 추적 도구 이전 후 해당 도구</x:v>
      </x:c>
      <x:c r="H5" s="37" t="e">
        <x:f>HYPERLINK(B5,"열기")</x:f>
      </x:c>
      <x:c r="I5" s="37" t="str">
        <x:v>ID 접두사: SET</x:v>
      </x:c>
    </x:row>
    <x:row r="6" ht="42" customHeight="1">
      <x:c r="A6" s="37" t="n">
        <x:v>4</x:v>
      </x:c>
      <x:c r="B6" s="37" t="str">
        <x:v>04_온라인_로비_매치메이킹.xlsx</x:v>
      </x:c>
      <x:c r="C6" s="37" t="str">
        <x:v>온라인·로비·매치메이킹</x:v>
      </x:c>
      <x:c r="D6" s="37" t="str">
        <x:v>온라인 엔지니어링</x:v>
      </x:c>
      <x:c r="E6" s="37" t="str">
        <x:v>부문 백로그·사양·QA·위험·의사결정</x:v>
      </x:c>
      <x:c r="F6" s="37" t="str">
        <x:v>주 2회 / 게이트 전 매일</x:v>
      </x:c>
      <x:c r="G6" s="37" t="str">
        <x:v>외부 이슈 추적 도구 이전 후 해당 도구</x:v>
      </x:c>
      <x:c r="H6" s="37" t="e">
        <x:f>HYPERLINK(B6,"열기")</x:f>
      </x:c>
      <x:c r="I6" s="37" t="str">
        <x:v>ID 접두사: ONL</x:v>
      </x:c>
    </x:row>
    <x:row r="7" ht="42" customHeight="1">
      <x:c r="A7" s="37" t="n">
        <x:v>5</x:v>
      </x:c>
      <x:c r="B7" s="37" t="str">
        <x:v>05_네트워크_동기화.xlsx</x:v>
      </x:c>
      <x:c r="C7" s="37" t="str">
        <x:v>네트워크 동기화·보안</x:v>
      </x:c>
      <x:c r="D7" s="37" t="str">
        <x:v>네트워크 엔지니어링</x:v>
      </x:c>
      <x:c r="E7" s="37" t="str">
        <x:v>부문 백로그·사양·QA·위험·의사결정</x:v>
      </x:c>
      <x:c r="F7" s="37" t="str">
        <x:v>주 2회 / 게이트 전 매일</x:v>
      </x:c>
      <x:c r="G7" s="37" t="str">
        <x:v>외부 이슈 추적 도구 이전 후 해당 도구</x:v>
      </x:c>
      <x:c r="H7" s="37" t="e">
        <x:f>HYPERLINK(B7,"열기")</x:f>
      </x:c>
      <x:c r="I7" s="37" t="str">
        <x:v>ID 접두사: NET</x:v>
      </x:c>
    </x:row>
    <x:row r="8" ht="42" customHeight="1">
      <x:c r="A8" s="37" t="n">
        <x:v>6</x:v>
      </x:c>
      <x:c r="B8" s="37" t="str">
        <x:v>06_백엔드_데이터_모더레이션.xlsx</x:v>
      </x:c>
      <x:c r="C8" s="37" t="str">
        <x:v>백엔드·데이터·모더레이션</x:v>
      </x:c>
      <x:c r="D8" s="37" t="str">
        <x:v>백엔드·라이브 운영</x:v>
      </x:c>
      <x:c r="E8" s="37" t="str">
        <x:v>부문 백로그·사양·QA·위험·의사결정</x:v>
      </x:c>
      <x:c r="F8" s="37" t="str">
        <x:v>주 2회 / 게이트 전 매일</x:v>
      </x:c>
      <x:c r="G8" s="37" t="str">
        <x:v>외부 이슈 추적 도구 이전 후 해당 도구</x:v>
      </x:c>
      <x:c r="H8" s="37" t="e">
        <x:f>HYPERLINK(B8,"열기")</x:f>
      </x:c>
      <x:c r="I8" s="37" t="str">
        <x:v>ID 접두사: BED</x:v>
      </x:c>
    </x:row>
    <x:row r="9" ht="42" customHeight="1">
      <x:c r="A9" s="37" t="n">
        <x:v>7</x:v>
      </x:c>
      <x:c r="B9" s="37" t="str">
        <x:v>07_캐릭터_커스터마이징_커머스.xlsx</x:v>
      </x:c>
      <x:c r="C9" s="37" t="str">
        <x:v>캐릭터·커스터마이징·커머스</x:v>
      </x:c>
      <x:c r="D9" s="37" t="str">
        <x:v>캐릭터·경제 시스템 팀</x:v>
      </x:c>
      <x:c r="E9" s="37" t="str">
        <x:v>부문 백로그·사양·QA·위험·의사결정</x:v>
      </x:c>
      <x:c r="F9" s="37" t="str">
        <x:v>주 2회 / 게이트 전 매일</x:v>
      </x:c>
      <x:c r="G9" s="37" t="str">
        <x:v>외부 이슈 추적 도구 이전 후 해당 도구</x:v>
      </x:c>
      <x:c r="H9" s="37" t="e">
        <x:f>HYPERLINK(B9,"열기")</x:f>
      </x:c>
      <x:c r="I9" s="37" t="str">
        <x:v>ID 접두사: CHR</x:v>
      </x:c>
    </x:row>
    <x:row r="10" ht="42" customHeight="1">
      <x:c r="A10" s="37" t="n">
        <x:v>8</x:v>
      </x:c>
      <x:c r="B10" s="37" t="str">
        <x:v>08_오디오_보이스채팅.xlsx</x:v>
      </x:c>
      <x:c r="C10" s="37" t="str">
        <x:v>오디오·보이스 채팅</x:v>
      </x:c>
      <x:c r="D10" s="37" t="str">
        <x:v>오디오·온라인 엔지니어링</x:v>
      </x:c>
      <x:c r="E10" s="37" t="str">
        <x:v>부문 백로그·사양·QA·위험·의사결정</x:v>
      </x:c>
      <x:c r="F10" s="37" t="str">
        <x:v>주 2회 / 게이트 전 매일</x:v>
      </x:c>
      <x:c r="G10" s="37" t="str">
        <x:v>외부 이슈 추적 도구 이전 후 해당 도구</x:v>
      </x:c>
      <x:c r="H10" s="37" t="e">
        <x:f>HYPERLINK(B10,"열기")</x:f>
      </x:c>
      <x:c r="I10" s="37" t="str">
        <x:v>ID 접두사: AUD</x:v>
      </x:c>
    </x:row>
    <x:row r="11" ht="42" customHeight="1">
      <x:c r="A11" s="37" t="n">
        <x:v>9</x:v>
      </x:c>
      <x:c r="B11" s="37" t="str">
        <x:v>09_콘텐츠_맵_미니게임.xlsx</x:v>
      </x:c>
      <x:c r="C11" s="37" t="str">
        <x:v>콘텐츠·맵·미니게임</x:v>
      </x:c>
      <x:c r="D11" s="37" t="str">
        <x:v>레벨·게임 디자인</x:v>
      </x:c>
      <x:c r="E11" s="37" t="str">
        <x:v>부문 백로그·사양·QA·위험·의사결정</x:v>
      </x:c>
      <x:c r="F11" s="37" t="str">
        <x:v>주 2회 / 게이트 전 매일</x:v>
      </x:c>
      <x:c r="G11" s="37" t="str">
        <x:v>외부 이슈 추적 도구 이전 후 해당 도구</x:v>
      </x:c>
      <x:c r="H11" s="37" t="e">
        <x:f>HYPERLINK(B11,"열기")</x:f>
      </x:c>
      <x:c r="I11" s="37" t="str">
        <x:v>ID 접두사: CNT</x:v>
      </x:c>
    </x:row>
    <x:row r="12" ht="42" customHeight="1">
      <x:c r="A12" s="37" t="n">
        <x:v>10</x:v>
      </x:c>
      <x:c r="B12" s="37" t="str">
        <x:v>10_QA_릴리스_운영.xlsx</x:v>
      </x:c>
      <x:c r="C12" s="37" t="str">
        <x:v>QA·릴리스·운영</x:v>
      </x:c>
      <x:c r="D12" s="37" t="str">
        <x:v>QA·릴리스 관리</x:v>
      </x:c>
      <x:c r="E12" s="37" t="str">
        <x:v>부문 백로그·사양·QA·위험·의사결정</x:v>
      </x:c>
      <x:c r="F12" s="37" t="str">
        <x:v>주 2회 / 게이트 전 매일</x:v>
      </x:c>
      <x:c r="G12" s="37" t="str">
        <x:v>외부 이슈 추적 도구 이전 후 해당 도구</x:v>
      </x:c>
      <x:c r="H12" s="37" t="e">
        <x:f>HYPERLINK(B12,"열기")</x:f>
      </x:c>
      <x:c r="I12" s="37" t="str">
        <x:v>ID 접두사: QAR</x:v>
      </x:c>
    </x:row>
  </x:sheetData>
  <x:pageMargins left="0.7" right="0.7" top="0.75" bottom="0.75" header="0.3" footer="0.3"/>
  <x:tableParts count="1">
    <x:tablePart xmlns:r="http://schemas.openxmlformats.org/officeDocument/2006/relationships" r:id="R9ea9982478cf4d9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86" hidden="0" customWidth="1"/>
    <x:col min="4" max="4" width="24" hidden="0" customWidth="1"/>
  </x:cols>
  <x:sheetData>
    <x:row r="1" ht="30" customHeight="1">
      <x:c r="A1" s="32" t="str">
        <x:v>번호</x:v>
      </x:c>
      <x:c r="B1" s="32" t="str">
        <x:v>규칙</x:v>
      </x:c>
      <x:c r="C1" s="32" t="str">
        <x:v>운영 내용</x:v>
      </x:c>
      <x:c r="D1" s="32" t="str">
        <x:v>담당</x:v>
      </x:c>
    </x:row>
    <x:row r="2" ht="42" customHeight="1">
      <x:c r="A2" s="37" t="str">
        <x:v>1</x:v>
      </x:c>
      <x:c r="B2" s="37" t="str">
        <x:v>고유 ID</x:v>
      </x:c>
      <x:c r="C2" s="37" t="str">
        <x:v>ID는 한 번 발급하면 변경하지 않는다. 외부 이슈 추적 도구, 테스트, 위험, 의사결정, 증빙은 ID로 연결한다.</x:v>
      </x:c>
      <x:c r="D2" s="37" t="str">
        <x:v>PMO</x:v>
      </x:c>
    </x:row>
    <x:row r="3" ht="42" customHeight="1">
      <x:c r="A3" s="37" t="str">
        <x:v>2</x:v>
      </x:c>
      <x:c r="B3" s="37" t="str">
        <x:v>기준 원본</x:v>
      </x:c>
      <x:c r="C3" s="37" t="str">
        <x:v>외부 이슈 추적 도구로 이전한 뒤에는 해당 도구를 기준 원본으로 사용하고 Excel은 검토·제출용 스냅샷으로 관리한다. 외부 추적 도구 키를 반드시 입력한다.</x:v>
      </x:c>
      <x:c r="D3" s="37" t="str">
        <x:v>PMO</x:v>
      </x:c>
    </x:row>
    <x:row r="4" ht="42" customHeight="1">
      <x:c r="A4" s="37" t="str">
        <x:v>3</x:v>
      </x:c>
      <x:c r="B4" s="37" t="str">
        <x:v>갱신 주기</x:v>
      </x:c>
      <x:c r="C4" s="37" t="str">
        <x:v>평상시는 주 2회, 마일스톤 게이트 전과 릴리스 후보 기간에는 매일 갱신한다. 최종 갱신일과 담당자를 기록한다.</x:v>
      </x:c>
      <x:c r="D4" s="37" t="str">
        <x:v>각 부문 리드</x:v>
      </x:c>
    </x:row>
    <x:row r="5" ht="42" customHeight="1">
      <x:c r="A5" s="37" t="str">
        <x:v>4</x:v>
      </x:c>
      <x:c r="B5" s="37" t="str">
        <x:v>완료 판정</x:v>
      </x:c>
      <x:c r="C5" s="37" t="str">
        <x:v>코드 완료만으로 완료 처리하지 않는다. 완료 정의, 리뷰, QA 통과, 증빙, 사양·운영 문서 갱신이 필요하다.</x:v>
      </x:c>
      <x:c r="D5" s="37" t="str">
        <x:v>기능 책임자</x:v>
      </x:c>
    </x:row>
    <x:row r="6" ht="42" customHeight="1">
      <x:c r="A6" s="37" t="str">
        <x:v>5</x:v>
      </x:c>
      <x:c r="B6" s="37" t="str">
        <x:v>의존관계</x:v>
      </x:c>
      <x:c r="C6" s="37" t="str">
        <x:v>다른 파일의 의존 항목은 의존 ID 열에 기록하고 통합 파일의 의존관계 시트에서 담당자, 기한, 상태를 추적한다.</x:v>
      </x:c>
      <x:c r="D6" s="37" t="str">
        <x:v>PMO</x:v>
      </x:c>
    </x:row>
    <x:row r="7" ht="42" customHeight="1">
      <x:c r="A7" s="37" t="str">
        <x:v>6</x:v>
      </x:c>
      <x:c r="B7" s="37" t="str">
        <x:v>변경관리</x:v>
      </x:c>
      <x:c r="C7" s="37" t="str">
        <x:v>MVP 범위, 승패, 정보 비공개, 네트워크 계약, 법무 요구사항 변경은 변경 요청과 의사결정 기록을 필수로 한다.</x:v>
      </x:c>
      <x:c r="D7" s="37" t="str">
        <x:v>제품·기술</x:v>
      </x:c>
    </x:row>
    <x:row r="8" ht="42" customHeight="1">
      <x:c r="A8" s="37" t="str">
        <x:v>7</x:v>
      </x:c>
      <x:c r="B8" s="37" t="str">
        <x:v>예외 승인</x:v>
      </x:c>
      <x:c r="C8" s="37" t="str">
        <x:v>게이트 미달 예외는 영향, 기한, 담당자, 모니터링, 롤백 계획을 기록하고 승인 권한자의 승인 없이 출시하지 않는다.</x:v>
      </x:c>
      <x:c r="D8" s="37" t="str">
        <x:v>총괄 프로듀서</x:v>
      </x:c>
    </x:row>
    <x:row r="9" ht="42" customHeight="1">
      <x:c r="A9" s="37" t="str">
        <x:v>8</x:v>
      </x:c>
      <x:c r="B9" s="37" t="str">
        <x:v>증빙</x:v>
      </x:c>
      <x:c r="C9" s="37" t="str">
        <x:v>빌드, 테스트 실행, 영상, 로그, 설계서, 코드 리뷰 링크를 증빙 URL에 기록한다. 역할, 음성, 개인정보, 토큰은 첨부하지 않는다.</x:v>
      </x:c>
      <x:c r="D9" s="37" t="str">
        <x:v>QA·보안</x:v>
      </x:c>
    </x:row>
    <x:row r="10" ht="42" customHeight="1">
      <x:c r="A10" s="37" t="str">
        <x:v>9</x:v>
      </x:c>
      <x:c r="B10" s="37" t="str">
        <x:v>위험</x:v>
      </x:c>
      <x:c r="C10" s="37" t="str">
        <x:v>점수 6 이상은 주간 검토, 9는 즉시 상향 보고한다. 예방 조치와 비상 대책을 모두 기록한다.</x:v>
      </x:c>
      <x:c r="D10" s="37" t="str">
        <x:v>PMO</x:v>
      </x:c>
    </x:row>
    <x:row r="11" ht="42" customHeight="1">
      <x:c r="A11" s="37" t="str">
        <x:v>10</x:v>
      </x:c>
      <x:c r="B11" s="37" t="str">
        <x:v>시각·날짜</x:v>
      </x:c>
      <x:c r="C11" s="37" t="str">
        <x:v>프로젝트 운영 날짜는 Asia/Tokyo를 기준으로 하고 서버 저장 시각은 UTC를 사용하며 UI에서 현지 시각으로 변환한다.</x:v>
      </x:c>
      <x:c r="D11" s="37" t="str">
        <x:v>엔지니어링</x:v>
      </x:c>
    </x:row>
    <x:row r="12" ht="42" customHeight="1">
      <x:c r="A12" s="37" t="str">
        <x:v>11</x:v>
      </x:c>
      <x:c r="B12" s="37" t="str">
        <x:v>범위</x:v>
      </x:c>
      <x:c r="C12" s="37" t="str">
        <x:v>MVP 외 기능은 출시 후 또는 조건부로 분리하고 미구현 빌드의 UI, 설정, 프로토콜에 노출하지 않는다.</x:v>
      </x:c>
      <x:c r="D12" s="37" t="str">
        <x:v>제품</x:v>
      </x:c>
    </x:row>
    <x:row r="13" ht="42" customHeight="1">
      <x:c r="A13" s="37" t="str">
        <x:v>12</x:v>
      </x:c>
      <x:c r="B13" s="37" t="str">
        <x:v>품질 목표</x:v>
      </x:c>
      <x:c r="C13" s="37" t="str">
        <x:v>크래시, SLO, 승률, 매치 시간 수치는 초기안이다. 알파·베타 실측 후 릴리스 후보 전에 승인값으로 갱신한다.</x:v>
      </x:c>
      <x:c r="D13" s="37" t="str">
        <x:v>제품·QA</x:v>
      </x:c>
    </x:row>
  </x:sheetData>
  <x:pageMargins left="0.7" right="0.7" top="0.75" bottom="0.75" header="0.3" footer="0.3"/>
  <x:tableParts count="1">
    <x:tablePart xmlns:r="http://schemas.openxmlformats.org/officeDocument/2006/relationships" r:id="R5817b3dd2564461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60" hidden="0" customWidth="1"/>
    <x:col min="4" max="4" width="14" hidden="0" customWidth="1"/>
    <x:col min="5" max="5" width="32" hidden="0" customWidth="1"/>
    <x:col min="6" max="6" width="18" hidden="0" customWidth="1"/>
    <x:col min="7" max="7" width="40" hidden="0" customWidth="1"/>
    <x:col min="8" max="8" width="26" hidden="0" customWidth="1"/>
    <x:col min="9" max="9" width="18" hidden="0" customWidth="1"/>
    <x:col min="10" max="10" width="14" hidden="0" customWidth="1"/>
    <x:col min="11" max="11" width="60" hidden="0" customWidth="1"/>
    <x:col min="12" max="12" width="28" hidden="0" customWidth="1"/>
    <x:col min="13" max="13" width="28" hidden="0" customWidth="1"/>
    <x:col min="14" max="14" width="34" hidden="0" customWidth="1"/>
    <x:col min="15" max="15" width="18" hidden="0" customWidth="1"/>
  </x:cols>
  <x:sheetData>
    <x:row r="1" ht="30" customHeight="1">
      <x:c r="A1" s="32" t="str">
        <x:v>이슈 유형</x:v>
      </x:c>
      <x:c r="B1" s="32" t="str">
        <x:v>요약</x:v>
      </x:c>
      <x:c r="C1" s="32" t="str">
        <x:v>설명</x:v>
      </x:c>
      <x:c r="D1" s="32" t="str">
        <x:v>우선순위</x:v>
      </x:c>
      <x:c r="E1" s="32" t="str">
        <x:v>컴포넌트</x:v>
      </x:c>
      <x:c r="F1" s="32" t="str">
        <x:v>수정 버전</x:v>
      </x:c>
      <x:c r="G1" s="32" t="str">
        <x:v>레이블</x:v>
      </x:c>
      <x:c r="H1" s="32" t="str">
        <x:v>에픽 이름·링크</x:v>
      </x:c>
      <x:c r="I1" s="32" t="str">
        <x:v>담당자</x:v>
      </x:c>
      <x:c r="J1" s="32" t="str">
        <x:v>원본 ID</x:v>
      </x:c>
      <x:c r="K1" s="32" t="str">
        <x:v>수용 기준</x:v>
      </x:c>
      <x:c r="L1" s="32" t="str">
        <x:v>의존관계</x:v>
      </x:c>
      <x:c r="M1" s="32" t="str">
        <x:v>QA 케이스</x:v>
      </x:c>
      <x:c r="N1" s="32" t="str">
        <x:v>근거</x:v>
      </x:c>
      <x:c r="O1" s="32" t="str">
        <x:v>외부 키</x:v>
      </x:c>
    </x:row>
    <x:row r="2" ht="42" customHeight="1">
      <x:c r="A2" s="37" t="str">
        <x:v>작업</x:v>
      </x:c>
      <x:c r="B2" s="37" t="str">
        <x:v>[IGM-001] 서버 권한 기반 매치 상태 머신</x:v>
      </x:c>
      <x:c r="C2" s="37" t="str">
        <x:v>게임 규칙, 운영 요구사항과 대상 플랫폼 제약을 충족하도록 서버 권한 기반 매치 상태 머신 기능을 구현하고 검증한다.</x:v>
      </x:c>
      <x:c r="D2" s="37" t="str">
        <x:v>최상</x:v>
      </x:c>
      <x:c r="E2" s="37" t="str">
        <x:v>인게임·게임플레이</x:v>
      </x:c>
      <x:c r="F2" s="37" t="str">
        <x:v>MVP</x:v>
      </x:c>
      <x:c r="G2" s="37" t="str">
        <x:v>IGM-001;핵심 규칙;MVP</x:v>
      </x:c>
      <x:c r="H2" s="37" t="str">
        <x:v>게임 세션</x:v>
      </x:c>
      <x:c r="I2" s="37"/>
      <x:c r="J2" s="37" t="str">
        <x:v>IGM-001</x:v>
      </x:c>
      <x:c r="K2" s="37" t="str">
        <x:v>로비→역할 공개→낮→밤 관찰→밤 투표→결과 또는 최종 재판의 상태 전이가 서버에서 단일하게 결정되고, 모든 클라이언트가 동일한 상태와 남은 시간을 표시한다.</x:v>
      </x:c>
      <x:c r="L2" s="37"/>
      <x:c r="M2" s="37" t="str">
        <x:v>TC-IGM-001-01, TC-IGM-001-02</x:v>
      </x:c>
      <x:c r="N2" s="37" t="str">
        <x:v>게임 기획서</x:v>
      </x:c>
      <x:c r="O2" s="37"/>
    </x:row>
    <x:row r="3" ht="42" customHeight="1">
      <x:c r="A3" s="37" t="str">
        <x:v>작업</x:v>
      </x:c>
      <x:c r="B3" s="37" t="str">
        <x:v>[IGM-002] 시민·마피아 비밀 역할 배정</x:v>
      </x:c>
      <x:c r="C3" s="37" t="str">
        <x:v>게임 규칙, 운영 요구사항과 대상 플랫폼 제약을 충족하도록 시민·마피아 비밀 역할 배정 기능을 구현하고 검증한다.</x:v>
      </x:c>
      <x:c r="D3" s="37" t="str">
        <x:v>최상</x:v>
      </x:c>
      <x:c r="E3" s="37" t="str">
        <x:v>인게임·게임플레이</x:v>
      </x:c>
      <x:c r="F3" s="37" t="str">
        <x:v>MVP</x:v>
      </x:c>
      <x:c r="G3" s="37" t="str">
        <x:v>IGM-002;정보 비공개;MVP</x:v>
      </x:c>
      <x:c r="H3" s="37" t="str">
        <x:v>역할 시스템</x:v>
      </x:c>
      <x:c r="I3" s="37"/>
      <x:c r="J3" s="37" t="str">
        <x:v>IGM-002</x:v>
      </x:c>
      <x:c r="K3" s="37" t="str">
        <x:v>기본 구성인 4~6명·마피아 1명에서 역할이 중복 없이 배정되며, 본인을 제외한 클라이언트로 역할 정보가 전송되지 않는다.</x:v>
      </x:c>
      <x:c r="L3" s="37" t="str">
        <x:v>IGM-001</x:v>
      </x:c>
      <x:c r="M3" s="37" t="str">
        <x:v>TC-IGM-002-01, TC-IGM-002-02</x:v>
      </x:c>
      <x:c r="N3" s="37" t="str">
        <x:v>게임 기획서</x:v>
      </x:c>
      <x:c r="O3" s="37"/>
    </x:row>
    <x:row r="4" ht="42" customHeight="1">
      <x:c r="A4" s="37" t="str">
        <x:v>작업</x:v>
      </x:c>
      <x:c r="B4" s="37" t="str">
        <x:v>[IGM-003] 플레이어 고유 색상 일관 적용</x:v>
      </x:c>
      <x:c r="C4" s="37" t="str">
        <x:v>게임 규칙, 운영 요구사항과 대상 플랫폼 제약을 충족하도록 플레이어 고유 색상 일관 적용 기능을 구현하고 검증한다.</x:v>
      </x:c>
      <x:c r="D4" s="37" t="str">
        <x:v>최상</x:v>
      </x:c>
      <x:c r="E4" s="37" t="str">
        <x:v>인게임·게임플레이</x:v>
      </x:c>
      <x:c r="F4" s="37" t="str">
        <x:v>MVP</x:v>
      </x:c>
      <x:c r="G4" s="37" t="str">
        <x:v>IGM-003;핵심 규칙;MVP</x:v>
      </x:c>
      <x:c r="H4" s="37" t="str">
        <x:v>플레이어 식별</x:v>
      </x:c>
      <x:c r="I4" s="37"/>
      <x:c r="J4" s="37" t="str">
        <x:v>IGM-003</x:v>
      </x:c>
      <x:c r="K4" s="37" t="str">
        <x:v>각 참가자에게 중복되지 않는 색상을 할당하고 캐릭터, 이름표, LED, 메모 규칙, 투표 UI가 동일한 색상 ID를 참조한다.</x:v>
      </x:c>
      <x:c r="L4" s="37" t="str">
        <x:v>ONL-009</x:v>
      </x:c>
      <x:c r="M4" s="37" t="str">
        <x:v>TC-IGM-003-01, TC-IGM-003-02</x:v>
      </x:c>
      <x:c r="N4" s="37" t="str">
        <x:v>게임 기획서 §7 / 캐릭터 사양서 §5</x:v>
      </x:c>
      <x:c r="O4" s="37"/>
    </x:row>
    <x:row r="5" ht="42" customHeight="1">
      <x:c r="A5" s="37" t="str">
        <x:v>작업</x:v>
      </x:c>
      <x:c r="B5" s="37" t="str">
        <x:v>[IGM-004] 낮 페이즈 시작·종료·타이머</x:v>
      </x:c>
      <x:c r="C5" s="37" t="str">
        <x:v>게임 규칙, 운영 요구사항과 대상 플랫폼 제약을 충족하도록 낮 페이즈 시작·종료·타이머 기능을 구현하고 검증한다.</x:v>
      </x:c>
      <x:c r="D5" s="37" t="str">
        <x:v>최상</x:v>
      </x:c>
      <x:c r="E5" s="37" t="str">
        <x:v>인게임·게임플레이</x:v>
      </x:c>
      <x:c r="F5" s="37" t="str">
        <x:v>MVP</x:v>
      </x:c>
      <x:c r="G5" s="37" t="str">
        <x:v>IGM-004;핵심 규칙;MVP</x:v>
      </x:c>
      <x:c r="H5" s="37" t="str">
        <x:v>페이즈 규칙</x:v>
      </x:c>
      <x:c r="I5" s="37"/>
      <x:c r="J5" s="37" t="str">
        <x:v>IGM-004</x:v>
      </x:c>
      <x:c r="K5" s="37" t="str">
        <x:v>낮은 기본 180초로 시작하며 남은 시간이 0초가 되면 신규 메모 부착과 미니게임 시작을 거부한 뒤 안전하게 밤으로 전환한다.</x:v>
      </x:c>
      <x:c r="L5" s="37" t="str">
        <x:v>IGM-001</x:v>
      </x:c>
      <x:c r="M5" s="37" t="str">
        <x:v>TC-IGM-004-01, TC-IGM-004-02</x:v>
      </x:c>
      <x:c r="N5" s="37" t="str">
        <x:v>게임 기획서</x:v>
      </x:c>
      <x:c r="O5" s="37"/>
    </x:row>
    <x:row r="6" ht="42" customHeight="1">
      <x:c r="A6" s="37" t="str">
        <x:v>작업</x:v>
      </x:c>
      <x:c r="B6" s="37" t="str">
        <x:v>[IGM-005] 낮 페이즈 행동 허용 제어</x:v>
      </x:c>
      <x:c r="C6" s="37" t="str">
        <x:v>게임 규칙, 운영 요구사항과 대상 플랫폼 제약을 충족하도록 낮 페이즈 행동 허용 제어 기능을 구현하고 검증한다.</x:v>
      </x:c>
      <x:c r="D6" s="37" t="str">
        <x:v>최상</x:v>
      </x:c>
      <x:c r="E6" s="37" t="str">
        <x:v>인게임·게임플레이</x:v>
      </x:c>
      <x:c r="F6" s="37" t="str">
        <x:v>MVP</x:v>
      </x:c>
      <x:c r="G6" s="37" t="str">
        <x:v>IGM-005;핵심 규칙;MVP</x:v>
      </x:c>
      <x:c r="H6" s="37" t="str">
        <x:v>페이즈 규칙</x:v>
      </x:c>
      <x:c r="I6" s="37"/>
      <x:c r="J6" s="37" t="str">
        <x:v>IGM-005</x:v>
      </x:c>
      <x:c r="K6" s="37" t="str">
        <x:v>이동, 근거리 대화, 미니게임, 메모 작성·부착은 낮에만 사용할 수 있고, 페이즈 전환 중 입력이 중복 실행되지 않는다.</x:v>
      </x:c>
      <x:c r="L6" s="37" t="str">
        <x:v>IGM-004</x:v>
      </x:c>
      <x:c r="M6" s="37" t="str">
        <x:v>TC-IGM-005-01, TC-IGM-005-02</x:v>
      </x:c>
      <x:c r="N6" s="37" t="str">
        <x:v>게임 기획서</x:v>
      </x:c>
      <x:c r="O6" s="37"/>
    </x:row>
    <x:row r="7" ht="42" customHeight="1">
      <x:c r="A7" s="37" t="str">
        <x:v>작업</x:v>
      </x:c>
      <x:c r="B7" s="37" t="str">
        <x:v>[IGM-006] 밤 시작 시 중앙 집결 처리</x:v>
      </x:c>
      <x:c r="C7" s="37" t="str">
        <x:v>게임 규칙, 운영 요구사항과 대상 플랫폼 제약을 충족하도록 밤 시작 시 중앙 집결 처리 기능을 구현하고 검증한다.</x:v>
      </x:c>
      <x:c r="D7" s="37" t="str">
        <x:v>최상</x:v>
      </x:c>
      <x:c r="E7" s="37" t="str">
        <x:v>인게임·게임플레이</x:v>
      </x:c>
      <x:c r="F7" s="37" t="str">
        <x:v>MVP</x:v>
      </x:c>
      <x:c r="G7" s="37" t="str">
        <x:v>IGM-006;핵심 규칙;MVP</x:v>
      </x:c>
      <x:c r="H7" s="37" t="str">
        <x:v>페이즈 규칙</x:v>
      </x:c>
      <x:c r="I7" s="37"/>
      <x:c r="J7" s="37" t="str">
        <x:v>IGM-006</x:v>
      </x:c>
      <x:c r="K7" s="37" t="str">
        <x:v>생존자만 중앙 관찰 구역으로 안전하게 이동하며 충돌, 낙하, 카메라 오류가 없고 연결이 끊긴 플레이어는 집결 대상에서 제외한다.</x:v>
      </x:c>
      <x:c r="L7" s="37" t="str">
        <x:v>IGM-001</x:v>
      </x:c>
      <x:c r="M7" s="37" t="str">
        <x:v>TC-IGM-006-01, TC-IGM-006-02</x:v>
      </x:c>
      <x:c r="N7" s="37" t="str">
        <x:v>게임 기획서</x:v>
      </x:c>
      <x:c r="O7" s="37"/>
    </x:row>
    <x:row r="8" ht="42" customHeight="1">
      <x:c r="A8" s="37" t="str">
        <x:v>작업</x:v>
      </x:c>
      <x:c r="B8" s="37" t="str">
        <x:v>[IGM-007] 밤 이동·상호작용 잠금</x:v>
      </x:c>
      <x:c r="C8" s="37" t="str">
        <x:v>게임 규칙, 운영 요구사항과 대상 플랫폼 제약을 충족하도록 밤 이동·상호작용 잠금 기능을 구현하고 검증한다.</x:v>
      </x:c>
      <x:c r="D8" s="37" t="str">
        <x:v>최상</x:v>
      </x:c>
      <x:c r="E8" s="37" t="str">
        <x:v>인게임·게임플레이</x:v>
      </x:c>
      <x:c r="F8" s="37" t="str">
        <x:v>MVP</x:v>
      </x:c>
      <x:c r="G8" s="37" t="str">
        <x:v>IGM-007;핵심 규칙;MVP</x:v>
      </x:c>
      <x:c r="H8" s="37" t="str">
        <x:v>페이즈 규칙</x:v>
      </x:c>
      <x:c r="I8" s="37"/>
      <x:c r="J8" s="37" t="str">
        <x:v>IGM-007</x:v>
      </x:c>
      <x:c r="K8" s="37" t="str">
        <x:v>밤에는 지정 범위 밖 이동, 메모 조작, 미니게임, 아이템 조작, 이모트를 서버와 클라이언트 양쪽에서 모두 차단한다.</x:v>
      </x:c>
      <x:c r="L8" s="37" t="str">
        <x:v>IGM-006</x:v>
      </x:c>
      <x:c r="M8" s="37" t="str">
        <x:v>TC-IGM-007-01, TC-IGM-007-02</x:v>
      </x:c>
      <x:c r="N8" s="37" t="str">
        <x:v>게임 기획서</x:v>
      </x:c>
      <x:c r="O8" s="37"/>
    </x:row>
    <x:row r="9" ht="42" customHeight="1">
      <x:c r="A9" s="37" t="str">
        <x:v>작업</x:v>
      </x:c>
      <x:c r="B9" s="37" t="str">
        <x:v>[IGM-008] 밤 무언 관찰 시간</x:v>
      </x:c>
      <x:c r="C9" s="37" t="str">
        <x:v>게임 규칙, 운영 요구사항과 대상 플랫폼 제약을 충족하도록 밤 무언 관찰 시간 기능을 구현하고 검증한다.</x:v>
      </x:c>
      <x:c r="D9" s="37" t="str">
        <x:v>최상</x:v>
      </x:c>
      <x:c r="E9" s="37" t="str">
        <x:v>인게임·게임플레이</x:v>
      </x:c>
      <x:c r="F9" s="37" t="str">
        <x:v>MVP</x:v>
      </x:c>
      <x:c r="G9" s="37" t="str">
        <x:v>IGM-008;핵심 규칙;MVP</x:v>
      </x:c>
      <x:c r="H9" s="37" t="str">
        <x:v>페이즈 규칙</x:v>
      </x:c>
      <x:c r="I9" s="37"/>
      <x:c r="J9" s="37" t="str">
        <x:v>IGM-008</x:v>
      </x:c>
      <x:c r="K9" s="37" t="str">
        <x:v>기본 25초의 관찰 시간 동안 다른 플레이어의 등 메모만 확인할 수 있으며, 투표 시작 전에는 선택을 확정할 수 없다.</x:v>
      </x:c>
      <x:c r="L9" s="37" t="str">
        <x:v>IGM-006,AUD-006,UIX-018</x:v>
      </x:c>
      <x:c r="M9" s="37" t="str">
        <x:v>TC-IGM-008-01, TC-IGM-008-02</x:v>
      </x:c>
      <x:c r="N9" s="37" t="str">
        <x:v>게임 기획서</x:v>
      </x:c>
      <x:c r="O9" s="37"/>
    </x:row>
    <x:row r="10" ht="42" customHeight="1">
      <x:c r="A10" s="37" t="str">
        <x:v>작업</x:v>
      </x:c>
      <x:c r="B10" s="37" t="str">
        <x:v>[IGM-009] 메모 보유 수량·상한 서버 관리</x:v>
      </x:c>
      <x:c r="C10" s="37" t="str">
        <x:v>게임 규칙, 운영 요구사항과 대상 플랫폼 제약을 충족하도록 메모 보유 수량·상한 서버 관리 기능을 구현하고 검증한다.</x:v>
      </x:c>
      <x:c r="D10" s="37" t="str">
        <x:v>최상</x:v>
      </x:c>
      <x:c r="E10" s="37" t="str">
        <x:v>인게임·게임플레이</x:v>
      </x:c>
      <x:c r="F10" s="37" t="str">
        <x:v>MVP</x:v>
      </x:c>
      <x:c r="G10" s="37" t="str">
        <x:v>IGM-009;메모;MVP</x:v>
      </x:c>
      <x:c r="H10" s="37" t="str">
        <x:v>메모 시스템</x:v>
      </x:c>
      <x:c r="I10" s="37"/>
      <x:c r="J10" s="37" t="str">
        <x:v>IGM-009</x:v>
      </x:c>
      <x:c r="K10" s="37" t="str">
        <x:v>서버가 플레이어별 메모 보유 수량을 관리하고 기본 상한 3장을 초과하는 지급·소비·재접속 복원 과정에서 불일치가 발생하지 않는다.</x:v>
      </x:c>
      <x:c r="L10" s="37" t="str">
        <x:v>IGM-001</x:v>
      </x:c>
      <x:c r="M10" s="37" t="str">
        <x:v>TC-IGM-009-01, TC-IGM-009-02</x:v>
      </x:c>
      <x:c r="N10" s="37" t="str">
        <x:v>게임 기획서</x:v>
      </x:c>
      <x:c r="O10" s="37"/>
    </x:row>
    <x:row r="11" ht="42" customHeight="1">
      <x:c r="A11" s="37" t="str">
        <x:v>작업</x:v>
      </x:c>
      <x:c r="B11" s="37" t="str">
        <x:v>[IGM-010] 미니게임 성공 메모 보상</x:v>
      </x:c>
      <x:c r="C11" s="37" t="str">
        <x:v>게임 규칙, 운영 요구사항과 대상 플랫폼 제약을 충족하도록 미니게임 성공 메모 보상 기능을 구현하고 검증한다.</x:v>
      </x:c>
      <x:c r="D11" s="37" t="str">
        <x:v>최상</x:v>
      </x:c>
      <x:c r="E11" s="37" t="str">
        <x:v>인게임·게임플레이</x:v>
      </x:c>
      <x:c r="F11" s="37" t="str">
        <x:v>MVP</x:v>
      </x:c>
      <x:c r="G11" s="37" t="str">
        <x:v>IGM-010;메모;MVP</x:v>
      </x:c>
      <x:c r="H11" s="37" t="str">
        <x:v>메모 시스템</x:v>
      </x:c>
      <x:c r="I11" s="37"/>
      <x:c r="J11" s="37" t="str">
        <x:v>IGM-010</x:v>
      </x:c>
      <x:c r="K11" s="37" t="str">
        <x:v>유효한 미니게임 완료 이벤트 1회당 메모 1장을 지급하고 재전송, 다중 입력, 재접속에 따른 중복 지급을 방지한다.</x:v>
      </x:c>
      <x:c r="L11" s="37" t="str">
        <x:v>IGM-009,CNT-020,NET-015</x:v>
      </x:c>
      <x:c r="M11" s="37" t="str">
        <x:v>TC-IGM-010-01, TC-IGM-010-02</x:v>
      </x:c>
      <x:c r="N11" s="37" t="str">
        <x:v>게임 기획서</x:v>
      </x:c>
      <x:c r="O11" s="37"/>
    </x:row>
    <x:row r="12" ht="42" customHeight="1">
      <x:c r="A12" s="37" t="str">
        <x:v>작업</x:v>
      </x:c>
      <x:c r="B12" s="37" t="str">
        <x:v>[IGM-011] 마피아 아침 무료 메모</x:v>
      </x:c>
      <x:c r="C12" s="37" t="str">
        <x:v>게임 규칙, 운영 요구사항과 대상 플랫폼 제약을 충족하도록 마피아 아침 무료 메모 기능을 구현하고 검증한다.</x:v>
      </x:c>
      <x:c r="D12" s="37" t="str">
        <x:v>최상</x:v>
      </x:c>
      <x:c r="E12" s="37" t="str">
        <x:v>인게임·게임플레이</x:v>
      </x:c>
      <x:c r="F12" s="37" t="str">
        <x:v>MVP</x:v>
      </x:c>
      <x:c r="G12" s="37" t="str">
        <x:v>IGM-011;메모;MVP</x:v>
      </x:c>
      <x:c r="H12" s="37" t="str">
        <x:v>메모 시스템</x:v>
      </x:c>
      <x:c r="I12" s="37"/>
      <x:c r="J12" s="37" t="str">
        <x:v>IGM-011</x:v>
      </x:c>
      <x:c r="K12" s="37" t="str">
        <x:v>각 낮 시작 시 생존 중인 마피아에게 기본 메모 1장을 한 번만 지급하며, 보유 상한 도달 시 처리 방식이 설정 사양과 일치한다.</x:v>
      </x:c>
      <x:c r="L12" s="37" t="str">
        <x:v>IGM-009,IGM-004</x:v>
      </x:c>
      <x:c r="M12" s="37" t="str">
        <x:v>TC-IGM-011-01, TC-IGM-011-02</x:v>
      </x:c>
      <x:c r="N12" s="37" t="str">
        <x:v>게임 기획서</x:v>
      </x:c>
      <x:c r="O12" s="37"/>
    </x:row>
    <x:row r="13" ht="42" customHeight="1">
      <x:c r="A13" s="37" t="str">
        <x:v>작업</x:v>
      </x:c>
      <x:c r="B13" s="37" t="str">
        <x:v>[IGM-012] 프리셋 문구 기반 메모 작성</x:v>
      </x:c>
      <x:c r="C13" s="37" t="str">
        <x:v>게임 규칙, 운영 요구사항과 대상 플랫폼 제약을 충족하도록 프리셋 문구 기반 메모 작성 기능을 구현하고 검증한다.</x:v>
      </x:c>
      <x:c r="D13" s="37" t="str">
        <x:v>최상</x:v>
      </x:c>
      <x:c r="E13" s="37" t="str">
        <x:v>인게임·게임플레이</x:v>
      </x:c>
      <x:c r="F13" s="37" t="str">
        <x:v>MVP</x:v>
      </x:c>
      <x:c r="G13" s="37" t="str">
        <x:v>IGM-012;메모;MVP</x:v>
      </x:c>
      <x:c r="H13" s="37" t="str">
        <x:v>메모 시스템</x:v>
      </x:c>
      <x:c r="I13" s="37"/>
      <x:c r="J13" s="37" t="str">
        <x:v>IGM-012</x:v>
      </x:c>
      <x:c r="K13" s="37" t="str">
        <x:v>MVP에서는 승인된 프리셋만 선택할 수 있고 문구 ID, 현지화 키, 선택 색상을 서버로 전송한다. 자유 입력 기능은 노출하지 않는다.</x:v>
      </x:c>
      <x:c r="L13" s="37" t="str">
        <x:v>IGM-009,UIX-012</x:v>
      </x:c>
      <x:c r="M13" s="37" t="str">
        <x:v>TC-IGM-012-01, TC-IGM-012-02</x:v>
      </x:c>
      <x:c r="N13" s="37" t="str">
        <x:v>게임 기획서</x:v>
      </x:c>
      <x:c r="O13" s="37"/>
    </x:row>
    <x:row r="14" ht="42" customHeight="1">
      <x:c r="A14" s="37" t="str">
        <x:v>작업</x:v>
      </x:c>
      <x:c r="B14" s="37" t="str">
        <x:v>[IGM-013] 시민 메모 본인 색상 고정</x:v>
      </x:c>
      <x:c r="C14" s="37" t="str">
        <x:v>게임 규칙, 운영 요구사항과 대상 플랫폼 제약을 충족하도록 시민 메모 본인 색상 고정 기능을 구현하고 검증한다.</x:v>
      </x:c>
      <x:c r="D14" s="37" t="str">
        <x:v>최상</x:v>
      </x:c>
      <x:c r="E14" s="37" t="str">
        <x:v>인게임·게임플레이</x:v>
      </x:c>
      <x:c r="F14" s="37" t="str">
        <x:v>MVP</x:v>
      </x:c>
      <x:c r="G14" s="37" t="str">
        <x:v>IGM-013;정보 비공개;MVP</x:v>
      </x:c>
      <x:c r="H14" s="37" t="str">
        <x:v>메모 시스템</x:v>
      </x:c>
      <x:c r="I14" s="37"/>
      <x:c r="J14" s="37" t="str">
        <x:v>IGM-013</x:v>
      </x:c>
      <x:c r="K14" s="37" t="str">
        <x:v>시민의 메모 작성 요청은 클라이언트 지정값과 무관하게 서버가 본인의 색상 ID로 강제하며, 다른 색상 요청은 감사 로그에 기록한다.</x:v>
      </x:c>
      <x:c r="L14" s="37" t="str">
        <x:v>IGM-012,IGM-003</x:v>
      </x:c>
      <x:c r="M14" s="37" t="str">
        <x:v>TC-IGM-013-01, TC-IGM-013-02</x:v>
      </x:c>
      <x:c r="N14" s="37" t="str">
        <x:v>게임 기획서</x:v>
      </x:c>
      <x:c r="O14" s="37"/>
    </x:row>
    <x:row r="15" ht="42" customHeight="1">
      <x:c r="A15" s="37" t="str">
        <x:v>작업</x:v>
      </x:c>
      <x:c r="B15" s="37" t="str">
        <x:v>[IGM-014] 마피아 색상 위조</x:v>
      </x:c>
      <x:c r="C15" s="37" t="str">
        <x:v>게임 규칙, 운영 요구사항과 대상 플랫폼 제약을 충족하도록 마피아 색상 위조 기능을 구현하고 검증한다.</x:v>
      </x:c>
      <x:c r="D15" s="37" t="str">
        <x:v>최상</x:v>
      </x:c>
      <x:c r="E15" s="37" t="str">
        <x:v>인게임·게임플레이</x:v>
      </x:c>
      <x:c r="F15" s="37" t="str">
        <x:v>MVP</x:v>
      </x:c>
      <x:c r="G15" s="37" t="str">
        <x:v>IGM-014;핵심 규칙;MVP</x:v>
      </x:c>
      <x:c r="H15" s="37" t="str">
        <x:v>메모 시스템</x:v>
      </x:c>
      <x:c r="I15" s="37"/>
      <x:c r="J15" s="37" t="str">
        <x:v>IGM-014</x:v>
      </x:c>
      <x:c r="K15" s="37" t="str">
        <x:v>마피아는 생존 플레이어의 색상 중 하나를 선택해 위조 메모를 작성할 수 있다. 공개 데이터에는 실제 작성자와 위조 여부를 포함하지 않는다.</x:v>
      </x:c>
      <x:c r="L15" s="37" t="str">
        <x:v>IGM-012,IGM-003</x:v>
      </x:c>
      <x:c r="M15" s="37" t="str">
        <x:v>TC-IGM-014-01, TC-IGM-014-02</x:v>
      </x:c>
      <x:c r="N15" s="37" t="str">
        <x:v>게임 기획서</x:v>
      </x:c>
      <x:c r="O15" s="37"/>
    </x:row>
    <x:row r="16" ht="42" customHeight="1">
      <x:c r="A16" s="37" t="str">
        <x:v>작업</x:v>
      </x:c>
      <x:c r="B16" s="37" t="str">
        <x:v>[IGM-015] 색상 위조 일일 횟수 제한</x:v>
      </x:c>
      <x:c r="C16" s="37" t="str">
        <x:v>게임 규칙, 운영 요구사항과 대상 플랫폼 제약을 충족하도록 색상 위조 일일 횟수 제한 기능을 구현하고 검증한다.</x:v>
      </x:c>
      <x:c r="D16" s="37" t="str">
        <x:v>최상</x:v>
      </x:c>
      <x:c r="E16" s="37" t="str">
        <x:v>인게임·게임플레이</x:v>
      </x:c>
      <x:c r="F16" s="37" t="str">
        <x:v>MVP</x:v>
      </x:c>
      <x:c r="G16" s="37" t="str">
        <x:v>IGM-015;핵심 규칙;MVP</x:v>
      </x:c>
      <x:c r="H16" s="37" t="str">
        <x:v>메모 시스템</x:v>
      </x:c>
      <x:c r="I16" s="37"/>
      <x:c r="J16" s="37" t="str">
        <x:v>IGM-015</x:v>
      </x:c>
      <x:c r="K16" s="37" t="str">
        <x:v>서버가 기본 하루 1회의 위조 제한을 검증하고 낮 시작 시에만 횟수를 초기화한다. 연속 입력, 지연, 재접속으로 횟수가 증가하지 않는다.</x:v>
      </x:c>
      <x:c r="L16" s="37" t="str">
        <x:v>IGM-014,IGM-004</x:v>
      </x:c>
      <x:c r="M16" s="37" t="str">
        <x:v>TC-IGM-015-01, TC-IGM-015-02</x:v>
      </x:c>
      <x:c r="N16" s="37" t="str">
        <x:v>게임 기획서</x:v>
      </x:c>
      <x:c r="O16" s="37"/>
    </x:row>
    <x:row r="17" ht="42" customHeight="1">
      <x:c r="A17" s="37" t="str">
        <x:v>작업</x:v>
      </x:c>
      <x:c r="B17" s="37" t="str">
        <x:v>[IGM-016] 메모 부착 각도·거리·대상 검증</x:v>
      </x:c>
      <x:c r="C17" s="37" t="str">
        <x:v>게임 규칙, 운영 요구사항과 대상 플랫폼 제약을 충족하도록 메모 부착 각도·거리·대상 검증 기능을 구현하고 검증한다.</x:v>
      </x:c>
      <x:c r="D17" s="37" t="str">
        <x:v>최상</x:v>
      </x:c>
      <x:c r="E17" s="37" t="str">
        <x:v>인게임·게임플레이</x:v>
      </x:c>
      <x:c r="F17" s="37" t="str">
        <x:v>MVP</x:v>
      </x:c>
      <x:c r="G17" s="37" t="str">
        <x:v>IGM-016;메모;MVP</x:v>
      </x:c>
      <x:c r="H17" s="37" t="str">
        <x:v>메모 시스템</x:v>
      </x:c>
      <x:c r="I17" s="37"/>
      <x:c r="J17" s="37" t="str">
        <x:v>IGM-016</x:v>
      </x:c>
      <x:c r="K17" s="37" t="str">
        <x:v>생존 대상의 등 뒤, 허용 거리, 시야 조건을 모두 충족할 때만 부착을 시작하며 본인, 탈락자, 밤, 범위 밖 대상 요청은 거부한다.</x:v>
      </x:c>
      <x:c r="L17" s="37" t="str">
        <x:v>IGM-009,NET-013</x:v>
      </x:c>
      <x:c r="M17" s="37" t="str">
        <x:v>TC-IGM-016-01, TC-IGM-016-02</x:v>
      </x:c>
      <x:c r="N17" s="37" t="str">
        <x:v>게임 기획서</x:v>
      </x:c>
      <x:c r="O17" s="37"/>
    </x:row>
    <x:row r="18" ht="42" customHeight="1">
      <x:c r="A18" s="37" t="str">
        <x:v>작업</x:v>
      </x:c>
      <x:c r="B18" s="37" t="str">
        <x:v>[IGM-017] 메모 부착 채널링·취소</x:v>
      </x:c>
      <x:c r="C18" s="37" t="str">
        <x:v>게임 규칙, 운영 요구사항과 대상 플랫폼 제약을 충족하도록 메모 부착 채널링·취소 기능을 구현하고 검증한다.</x:v>
      </x:c>
      <x:c r="D18" s="37" t="str">
        <x:v>최상</x:v>
      </x:c>
      <x:c r="E18" s="37" t="str">
        <x:v>인게임·게임플레이</x:v>
      </x:c>
      <x:c r="F18" s="37" t="str">
        <x:v>MVP</x:v>
      </x:c>
      <x:c r="G18" s="37" t="str">
        <x:v>IGM-017;메모;MVP</x:v>
      </x:c>
      <x:c r="H18" s="37" t="str">
        <x:v>메모 시스템</x:v>
      </x:c>
      <x:c r="I18" s="37"/>
      <x:c r="J18" s="37" t="str">
        <x:v>IGM-017</x:v>
      </x:c>
      <x:c r="K18" s="37" t="str">
        <x:v>기본 1.5초의 채널링 완료 후에만 부착을 확정하며 대상 또는 부착자의 이동, 상태 변경, 페이즈 종료 시 취소한다.</x:v>
      </x:c>
      <x:c r="L18" s="37" t="str">
        <x:v>IGM-016</x:v>
      </x:c>
      <x:c r="M18" s="37" t="str">
        <x:v>TC-IGM-017-01, TC-IGM-017-02</x:v>
      </x:c>
      <x:c r="N18" s="37" t="str">
        <x:v>게임 기획서</x:v>
      </x:c>
      <x:c r="O18" s="37"/>
    </x:row>
    <x:row r="19" ht="42" customHeight="1">
      <x:c r="A19" s="37" t="str">
        <x:v>작업</x:v>
      </x:c>
      <x:c r="B19" s="37" t="str">
        <x:v>[IGM-018] 메모 부착 확정·소비 원자 처리</x:v>
      </x:c>
      <x:c r="C19" s="37" t="str">
        <x:v>게임 규칙, 운영 요구사항과 대상 플랫폼 제약을 충족하도록 메모 부착 확정·소비 원자 처리 기능을 구현하고 검증한다.</x:v>
      </x:c>
      <x:c r="D19" s="37" t="str">
        <x:v>최상</x:v>
      </x:c>
      <x:c r="E19" s="37" t="str">
        <x:v>인게임·게임플레이</x:v>
      </x:c>
      <x:c r="F19" s="37" t="str">
        <x:v>MVP</x:v>
      </x:c>
      <x:c r="G19" s="37" t="str">
        <x:v>IGM-018;데이터 무결성;MVP</x:v>
      </x:c>
      <x:c r="H19" s="37" t="str">
        <x:v>메모 시스템</x:v>
      </x:c>
      <x:c r="I19" s="37"/>
      <x:c r="J19" s="37" t="str">
        <x:v>IGM-018</x:v>
      </x:c>
      <x:c r="K19" s="37" t="str">
        <x:v>서버에서 메모 소비, 부착 이력 추가, 표시 갱신을 단일 트랜잭션으로 처리하고 실패 시 모든 변경을 롤백한다.</x:v>
      </x:c>
      <x:c r="L19" s="37" t="str">
        <x:v>IGM-017,NET-014</x:v>
      </x:c>
      <x:c r="M19" s="37" t="str">
        <x:v>TC-IGM-018-01, TC-IGM-018-02</x:v>
      </x:c>
      <x:c r="N19" s="37" t="str">
        <x:v>게임 기획서</x:v>
      </x:c>
      <x:c r="O19" s="37"/>
    </x:row>
    <x:row r="20" ht="42" customHeight="1">
      <x:c r="A20" s="37" t="str">
        <x:v>작업</x:v>
      </x:c>
      <x:c r="B20" s="37" t="str">
        <x:v>[IGM-019] 본인 등 메모 완전 비공개</x:v>
      </x:c>
      <x:c r="C20" s="37" t="str">
        <x:v>게임 규칙, 운영 요구사항과 대상 플랫폼 제약을 충족하도록 본인 등 메모 완전 비공개 기능을 구현하고 검증한다.</x:v>
      </x:c>
      <x:c r="D20" s="37" t="str">
        <x:v>최상</x:v>
      </x:c>
      <x:c r="E20" s="37" t="str">
        <x:v>인게임·게임플레이</x:v>
      </x:c>
      <x:c r="F20" s="37" t="str">
        <x:v>MVP</x:v>
      </x:c>
      <x:c r="G20" s="37" t="str">
        <x:v>IGM-019;정보 비공개;MVP</x:v>
      </x:c>
      <x:c r="H20" s="37" t="str">
        <x:v>메모 시스템</x:v>
      </x:c>
      <x:c r="I20" s="37"/>
      <x:c r="J20" s="37" t="str">
        <x:v>IGM-019</x:v>
      </x:c>
      <x:c r="K20" s="37" t="str">
        <x:v>본인의 카메라, HUD, 공개 리플레이 스트림 및 클라이언트 공개 모델에서 자신의 등 메모 색상, 내용, 수량을 조회할 수 없다.</x:v>
      </x:c>
      <x:c r="L20" s="37" t="str">
        <x:v>IGM-018,NET-018</x:v>
      </x:c>
      <x:c r="M20" s="37" t="str">
        <x:v>TC-IGM-019-01, TC-IGM-019-02</x:v>
      </x:c>
      <x:c r="N20" s="37" t="str">
        <x:v>게임 기획서</x:v>
      </x:c>
      <x:c r="O20" s="37"/>
    </x:row>
    <x:row r="21" ht="42" customHeight="1">
      <x:c r="A21" s="37" t="str">
        <x:v>작업</x:v>
      </x:c>
      <x:c r="B21" s="37" t="str">
        <x:v>[IGM-020] 타인 등 메모 거리별 표시</x:v>
      </x:c>
      <x:c r="C21" s="37" t="str">
        <x:v>게임 규칙, 운영 요구사항과 대상 플랫폼 제약을 충족하도록 타인 등 메모 거리별 표시 기능을 구현하고 검증한다.</x:v>
      </x:c>
      <x:c r="D21" s="37" t="str">
        <x:v>최상</x:v>
      </x:c>
      <x:c r="E21" s="37" t="str">
        <x:v>인게임·게임플레이</x:v>
      </x:c>
      <x:c r="F21" s="37" t="str">
        <x:v>MVP</x:v>
      </x:c>
      <x:c r="G21" s="37" t="str">
        <x:v>IGM-020;판독성;MVP</x:v>
      </x:c>
      <x:c r="H21" s="37" t="str">
        <x:v>메모 시스템</x:v>
      </x:c>
      <x:c r="I21" s="37"/>
      <x:c r="J21" s="37" t="str">
        <x:v>IGM-020</x:v>
      </x:c>
      <x:c r="K21" s="37" t="str">
        <x:v>중거리에서는 색상, 근거리에서는 문구를 판독할 수 있고 차폐, LOD, 시야각, 커스터마이징 때문에 의도하지 않은 정보 누락이 발생하지 않는다.</x:v>
      </x:c>
      <x:c r="L21" s="37" t="str">
        <x:v>IGM-018,CHR-012,UIX-014</x:v>
      </x:c>
      <x:c r="M21" s="37" t="str">
        <x:v>TC-IGM-020-01, TC-IGM-020-02</x:v>
      </x:c>
      <x:c r="N21" s="37" t="str">
        <x:v>게임 기획서 §7 / 캐릭터 사양서 §7</x:v>
      </x:c>
      <x:c r="O21" s="37"/>
    </x:row>
    <x:row r="22" ht="42" customHeight="1">
      <x:c r="A22" s="37" t="str">
        <x:v>작업</x:v>
      </x:c>
      <x:c r="B22" s="37" t="str">
        <x:v>[IGM-021] 메모 부착 순서 결정론적 관리</x:v>
      </x:c>
      <x:c r="C22" s="37" t="str">
        <x:v>게임 규칙, 운영 요구사항과 대상 플랫폼 제약을 충족하도록 메모 부착 순서 결정론적 관리 기능을 구현하고 검증한다.</x:v>
      </x:c>
      <x:c r="D22" s="37" t="str">
        <x:v>최상</x:v>
      </x:c>
      <x:c r="E22" s="37" t="str">
        <x:v>인게임·게임플레이</x:v>
      </x:c>
      <x:c r="F22" s="37" t="str">
        <x:v>MVP</x:v>
      </x:c>
      <x:c r="G22" s="37" t="str">
        <x:v>IGM-021;데이터 무결성;MVP</x:v>
      </x:c>
      <x:c r="H22" s="37" t="str">
        <x:v>메모 시스템</x:v>
      </x:c>
      <x:c r="I22" s="37"/>
      <x:c r="J22" s="37" t="str">
        <x:v>IGM-021</x:v>
      </x:c>
      <x:c r="K22" s="37" t="str">
        <x:v>같은 대상에 동시에 부착된 메모도 서버 순번으로 고유하게 정렬하며 오래된 메모는 왼쪽 위, 새 메모는 오른쪽 아래에 배치한다. 정확한 시각은 공개하지 않는다.</x:v>
      </x:c>
      <x:c r="L22" s="37" t="str">
        <x:v>IGM-018,NET-014</x:v>
      </x:c>
      <x:c r="M22" s="37" t="str">
        <x:v>TC-IGM-021-01, TC-IGM-021-02</x:v>
      </x:c>
      <x:c r="N22" s="37" t="str">
        <x:v>게임 기획서</x:v>
      </x:c>
      <x:c r="O22" s="37"/>
    </x:row>
    <x:row r="23" ht="42" customHeight="1">
      <x:c r="A23" s="37" t="str">
        <x:v>작업</x:v>
      </x:c>
      <x:c r="B23" s="37" t="str">
        <x:v>[IGM-022] 등 메모 최대 표시 수·초과 처리</x:v>
      </x:c>
      <x:c r="C23" s="37" t="str">
        <x:v>게임 규칙, 운영 요구사항과 대상 플랫폼 제약을 충족하도록 등 메모 최대 표시 수·초과 처리 기능을 구현하고 검증한다.</x:v>
      </x:c>
      <x:c r="D23" s="37" t="str">
        <x:v>높음</x:v>
      </x:c>
      <x:c r="E23" s="37" t="str">
        <x:v>인게임·게임플레이</x:v>
      </x:c>
      <x:c r="F23" s="37" t="str">
        <x:v>MVP</x:v>
      </x:c>
      <x:c r="G23" s="37" t="str">
        <x:v>IGM-022;판독성;MVP</x:v>
      </x:c>
      <x:c r="H23" s="37" t="str">
        <x:v>메모 시스템</x:v>
      </x:c>
      <x:c r="I23" s="37"/>
      <x:c r="J23" s="37" t="str">
        <x:v>IGM-022</x:v>
      </x:c>
      <x:c r="K23" s="37" t="str">
        <x:v>기본 6장까지 판독 가능하게 표시하고 7장째부터는 설정된 거부 또는 보관 규칙으로 처리하며 모든 클라이언트의 결과가 일치한다.</x:v>
      </x:c>
      <x:c r="L23" s="37" t="str">
        <x:v>IGM-021,CHR-012</x:v>
      </x:c>
      <x:c r="M23" s="37" t="str">
        <x:v>TC-IGM-022-01</x:v>
      </x:c>
      <x:c r="N23" s="37" t="str">
        <x:v>게임 기획서</x:v>
      </x:c>
      <x:c r="O23" s="37"/>
    </x:row>
    <x:row r="24" ht="42" customHeight="1">
      <x:c r="A24" s="37" t="str">
        <x:v>작업</x:v>
      </x:c>
      <x:c r="B24" s="37" t="str">
        <x:v>[IGM-023] 스킵 없는 강제 단일 투표</x:v>
      </x:c>
      <x:c r="C24" s="37" t="str">
        <x:v>게임 규칙, 운영 요구사항과 대상 플랫폼 제약을 충족하도록 스킵 없는 강제 단일 투표 기능을 구현하고 검증한다.</x:v>
      </x:c>
      <x:c r="D24" s="37" t="str">
        <x:v>최상</x:v>
      </x:c>
      <x:c r="E24" s="37" t="str">
        <x:v>인게임·게임플레이</x:v>
      </x:c>
      <x:c r="F24" s="37" t="str">
        <x:v>MVP</x:v>
      </x:c>
      <x:c r="G24" s="37" t="str">
        <x:v>IGM-023;핵심 규칙;MVP</x:v>
      </x:c>
      <x:c r="H24" s="37" t="str">
        <x:v>투표</x:v>
      </x:c>
      <x:c r="I24" s="37"/>
      <x:c r="J24" s="37" t="str">
        <x:v>IGM-023</x:v>
      </x:c>
      <x:c r="K24" s="37" t="str">
        <x:v>모든 생존자는 투표 시간 안에 생존자 1명을 선택하고 확정 이후의 중복 전송과 변경은 무효로 처리한다. 미투표 시 서버 규칙을 명문화한다.</x:v>
      </x:c>
      <x:c r="L24" s="37" t="str">
        <x:v>IGM-008,UIX-019,NET-016</x:v>
      </x:c>
      <x:c r="M24" s="37" t="str">
        <x:v>TC-IGM-023-01, TC-IGM-023-02</x:v>
      </x:c>
      <x:c r="N24" s="37" t="str">
        <x:v>게임 기획서</x:v>
      </x:c>
      <x:c r="O24" s="37"/>
    </x:row>
    <x:row r="25" ht="42" customHeight="1">
      <x:c r="A25" s="37" t="str">
        <x:v>작업</x:v>
      </x:c>
      <x:c r="B25" s="37" t="str">
        <x:v>[IGM-024] 밤 투표 동률 처리</x:v>
      </x:c>
      <x:c r="C25" s="37" t="str">
        <x:v>게임 규칙, 운영 요구사항과 대상 플랫폼 제약을 충족하도록 밤 투표 동률 처리 기능을 구현하고 검증한다.</x:v>
      </x:c>
      <x:c r="D25" s="37" t="str">
        <x:v>최상</x:v>
      </x:c>
      <x:c r="E25" s="37" t="str">
        <x:v>인게임·게임플레이</x:v>
      </x:c>
      <x:c r="F25" s="37" t="str">
        <x:v>MVP</x:v>
      </x:c>
      <x:c r="G25" s="37" t="str">
        <x:v>IGM-024;규칙 결정;MVP</x:v>
      </x:c>
      <x:c r="H25" s="37" t="str">
        <x:v>투표</x:v>
      </x:c>
      <x:c r="I25" s="37"/>
      <x:c r="J25" s="37" t="str">
        <x:v>IGM-024</x:v>
      </x:c>
      <x:c r="K25" s="37" t="str">
        <x:v>동률 시 재투표 또는 결정 규칙이 설정, 서버, UI, 튜토리얼에서 동일하고 무한 반복이 발생하지 않는다.</x:v>
      </x:c>
      <x:c r="L25" s="37" t="str">
        <x:v>IGM-023,SET-011</x:v>
      </x:c>
      <x:c r="M25" s="37" t="str">
        <x:v>TC-IGM-024-01, TC-IGM-024-02</x:v>
      </x:c>
      <x:c r="N25" s="37" t="str">
        <x:v>게임 기획서</x:v>
      </x:c>
      <x:c r="O25" s="37"/>
    </x:row>
    <x:row r="26" ht="42" customHeight="1">
      <x:c r="A26" s="37" t="str">
        <x:v>작업</x:v>
      </x:c>
      <x:c r="B26" s="37" t="str">
        <x:v>[IGM-025] 추방·탈락 상태 적용</x:v>
      </x:c>
      <x:c r="C26" s="37" t="str">
        <x:v>게임 규칙, 운영 요구사항과 대상 플랫폼 제약을 충족하도록 추방·탈락 상태 적용 기능을 구현하고 검증한다.</x:v>
      </x:c>
      <x:c r="D26" s="37" t="str">
        <x:v>최상</x:v>
      </x:c>
      <x:c r="E26" s="37" t="str">
        <x:v>인게임·게임플레이</x:v>
      </x:c>
      <x:c r="F26" s="37" t="str">
        <x:v>MVP</x:v>
      </x:c>
      <x:c r="G26" s="37" t="str">
        <x:v>IGM-025;핵심 규칙;MVP</x:v>
      </x:c>
      <x:c r="H26" s="37" t="str">
        <x:v>투표</x:v>
      </x:c>
      <x:c r="I26" s="37"/>
      <x:c r="J26" s="37" t="str">
        <x:v>IGM-025</x:v>
      </x:c>
      <x:c r="K26" s="37" t="str">
        <x:v>최다 득표자를 탈락 처리해 이동, 상호작용, 투표, 보상 대상에서 제외하고 관전 가능 여부와 역할 공개 정책을 적용한다.</x:v>
      </x:c>
      <x:c r="L26" s="37" t="str">
        <x:v>IGM-023,IGM-024</x:v>
      </x:c>
      <x:c r="M26" s="37" t="str">
        <x:v>TC-IGM-025-01, TC-IGM-025-02</x:v>
      </x:c>
      <x:c r="N26" s="37" t="str">
        <x:v>게임 기획서</x:v>
      </x:c>
      <x:c r="O26" s="37"/>
    </x:row>
    <x:row r="27" ht="42" customHeight="1">
      <x:c r="A27" s="37" t="str">
        <x:v>작업</x:v>
      </x:c>
      <x:c r="B27" s="37" t="str">
        <x:v>[IGM-026] 마피아 추방 시 시민 승리</x:v>
      </x:c>
      <x:c r="C27" s="37" t="str">
        <x:v>게임 규칙, 운영 요구사항과 대상 플랫폼 제약을 충족하도록 마피아 추방 시 시민 승리 기능을 구현하고 검증한다.</x:v>
      </x:c>
      <x:c r="D27" s="37" t="str">
        <x:v>최상</x:v>
      </x:c>
      <x:c r="E27" s="37" t="str">
        <x:v>인게임·게임플레이</x:v>
      </x:c>
      <x:c r="F27" s="37" t="str">
        <x:v>MVP</x:v>
      </x:c>
      <x:c r="G27" s="37" t="str">
        <x:v>IGM-026;승패;MVP</x:v>
      </x:c>
      <x:c r="H27" s="37" t="str">
        <x:v>승패</x:v>
      </x:c>
      <x:c r="I27" s="37"/>
      <x:c r="J27" s="37" t="str">
        <x:v>IGM-026</x:v>
      </x:c>
      <x:c r="K27" s="37" t="str">
        <x:v>조수 규칙이 꺼진 MVP에서 마피아가 추방되면 다른 상태 전이보다 우선하여 시민 승리를 확정하고 결과 화면으로 이동한다.</x:v>
      </x:c>
      <x:c r="L27" s="37" t="str">
        <x:v>IGM-025,IGM-002</x:v>
      </x:c>
      <x:c r="M27" s="37" t="str">
        <x:v>TC-IGM-026-01, TC-IGM-026-02</x:v>
      </x:c>
      <x:c r="N27" s="37" t="str">
        <x:v>게임 기획서</x:v>
      </x:c>
      <x:c r="O27" s="37"/>
    </x:row>
    <x:row r="28" ht="42" customHeight="1">
      <x:c r="A28" s="37" t="str">
        <x:v>작업</x:v>
      </x:c>
      <x:c r="B28" s="37" t="str">
        <x:v>[IGM-027] 생존 인원 동수 조건 마피아 승리</x:v>
      </x:c>
      <x:c r="C28" s="37" t="str">
        <x:v>게임 규칙, 운영 요구사항과 대상 플랫폼 제약을 충족하도록 생존 인원 동수 조건 마피아 승리 기능을 구현하고 검증한다.</x:v>
      </x:c>
      <x:c r="D28" s="37" t="str">
        <x:v>최상</x:v>
      </x:c>
      <x:c r="E28" s="37" t="str">
        <x:v>인게임·게임플레이</x:v>
      </x:c>
      <x:c r="F28" s="37" t="str">
        <x:v>MVP</x:v>
      </x:c>
      <x:c r="G28" s="37" t="str">
        <x:v>IGM-027;승패;MVP</x:v>
      </x:c>
      <x:c r="H28" s="37" t="str">
        <x:v>승패</x:v>
      </x:c>
      <x:c r="I28" s="37"/>
      <x:c r="J28" s="37" t="str">
        <x:v>IGM-027</x:v>
      </x:c>
      <x:c r="K28" s="37" t="str">
        <x:v>생존 시민 수가 생존 마피아 수 이하가 되는 안전한 판정 시점에 마피아 승리를 확정하고 중복 승패 판정을 방지한다.</x:v>
      </x:c>
      <x:c r="L28" s="37" t="str">
        <x:v>IGM-025,IGM-002</x:v>
      </x:c>
      <x:c r="M28" s="37" t="str">
        <x:v>TC-IGM-027-01, TC-IGM-027-02</x:v>
      </x:c>
      <x:c r="N28" s="37" t="str">
        <x:v>게임 기획서</x:v>
      </x:c>
      <x:c r="O28" s="37"/>
    </x:row>
    <x:row r="29" ht="42" customHeight="1">
      <x:c r="A29" s="37" t="str">
        <x:v>작업</x:v>
      </x:c>
      <x:c r="B29" s="37" t="str">
        <x:v>[IGM-028] 최종 재판 3개 조건 발동</x:v>
      </x:c>
      <x:c r="C29" s="37" t="str">
        <x:v>게임 규칙, 운영 요구사항과 대상 플랫폼 제약을 충족하도록 최종 재판 3개 조건 발동 기능을 구현하고 검증한다.</x:v>
      </x:c>
      <x:c r="D29" s="37" t="str">
        <x:v>최상</x:v>
      </x:c>
      <x:c r="E29" s="37" t="str">
        <x:v>인게임·게임플레이</x:v>
      </x:c>
      <x:c r="F29" s="37" t="str">
        <x:v>MVP</x:v>
      </x:c>
      <x:c r="G29" s="37" t="str">
        <x:v>IGM-028;승패;MVP</x:v>
      </x:c>
      <x:c r="H29" s="37" t="str">
        <x:v>최종 재판</x:v>
      </x:c>
      <x:c r="I29" s="37"/>
      <x:c r="J29" s="37" t="str">
        <x:v>IGM-028</x:v>
      </x:c>
      <x:c r="K29" s="37" t="str">
        <x:v>모든 미니게임 완료, 생존자 3명 이하, 5일째 낮 종료 중 하나를 충족하면 최종 재판을 한 번만 시작하며 일반 밤 투표와 충돌하지 않는다.</x:v>
      </x:c>
      <x:c r="L29" s="37" t="str">
        <x:v>IGM-001,CNT-022,SET-013</x:v>
      </x:c>
      <x:c r="M29" s="37" t="str">
        <x:v>TC-IGM-028-01, TC-IGM-028-02</x:v>
      </x:c>
      <x:c r="N29" s="37" t="str">
        <x:v>게임 기획서</x:v>
      </x:c>
      <x:c r="O29" s="37"/>
    </x:row>
    <x:row r="30" ht="42" customHeight="1">
      <x:c r="A30" s="37" t="str">
        <x:v>작업</x:v>
      </x:c>
      <x:c r="B30" s="37" t="str">
        <x:v>[IGM-029] 최종 재판 메모 이력 제한 공개</x:v>
      </x:c>
      <x:c r="C30" s="37" t="str">
        <x:v>게임 규칙, 운영 요구사항과 대상 플랫폼 제약을 충족하도록 최종 재판 메모 이력 제한 공개 기능을 구현하고 검증한다.</x:v>
      </x:c>
      <x:c r="D30" s="37" t="str">
        <x:v>최상</x:v>
      </x:c>
      <x:c r="E30" s="37" t="str">
        <x:v>인게임·게임플레이</x:v>
      </x:c>
      <x:c r="F30" s="37" t="str">
        <x:v>MVP</x:v>
      </x:c>
      <x:c r="G30" s="37" t="str">
        <x:v>IGM-029;정보 비공개;MVP</x:v>
      </x:c>
      <x:c r="H30" s="37" t="str">
        <x:v>최종 재판</x:v>
      </x:c>
      <x:c r="I30" s="37"/>
      <x:c r="J30" s="37" t="str">
        <x:v>IGM-029</x:v>
      </x:c>
      <x:c r="K30" s="37" t="str">
        <x:v>메모 내용, 표시 색상, 대상, 부착 순서만 공개하고 실제 작성자, 실제 부착자, 위조 여부, 내부 타임스탬프는 공개 페이로드에 포함하지 않는다.</x:v>
      </x:c>
      <x:c r="L30" s="37" t="str">
        <x:v>IGM-021,IGM-028,NET-018</x:v>
      </x:c>
      <x:c r="M30" s="37" t="str">
        <x:v>TC-IGM-029-01, TC-IGM-029-02</x:v>
      </x:c>
      <x:c r="N30" s="37" t="str">
        <x:v>게임 기획서</x:v>
      </x:c>
      <x:c r="O30" s="37"/>
    </x:row>
    <x:row r="31" ht="42" customHeight="1">
      <x:c r="A31" s="37" t="str">
        <x:v>작업</x:v>
      </x:c>
      <x:c r="B31" s="37" t="str">
        <x:v>[IGM-030] 1인 1회 최종 발언 제어</x:v>
      </x:c>
      <x:c r="C31" s="37" t="str">
        <x:v>게임 규칙, 운영 요구사항과 대상 플랫폼 제약을 충족하도록 1인 1회 최종 발언 제어 기능을 구현하고 검증한다.</x:v>
      </x:c>
      <x:c r="D31" s="37" t="str">
        <x:v>최상</x:v>
      </x:c>
      <x:c r="E31" s="37" t="str">
        <x:v>인게임·게임플레이</x:v>
      </x:c>
      <x:c r="F31" s="37" t="str">
        <x:v>MVP</x:v>
      </x:c>
      <x:c r="G31" s="37" t="str">
        <x:v>IGM-030;핵심 규칙;MVP</x:v>
      </x:c>
      <x:c r="H31" s="37" t="str">
        <x:v>최종 재판</x:v>
      </x:c>
      <x:c r="I31" s="37"/>
      <x:c r="J31" s="37" t="str">
        <x:v>IGM-030</x:v>
      </x:c>
      <x:c r="K31" s="37" t="str">
        <x:v>생존자에게 정해진 시간의 발언권을 한 번씩 순서대로 부여하며, 발언 대상이 아닌 플레이어의 음성, 텍스트, 이모트를 차단한다.</x:v>
      </x:c>
      <x:c r="L31" s="37" t="str">
        <x:v>IGM-028,AUD-008,UIX-022</x:v>
      </x:c>
      <x:c r="M31" s="37" t="str">
        <x:v>TC-IGM-030-01, TC-IGM-030-02</x:v>
      </x:c>
      <x:c r="N31" s="37" t="str">
        <x:v>게임 기획서</x:v>
      </x:c>
      <x:c r="O31" s="37"/>
    </x:row>
    <x:row r="32" ht="42" customHeight="1">
      <x:c r="A32" s="37" t="str">
        <x:v>작업</x:v>
      </x:c>
      <x:c r="B32" s="37" t="str">
        <x:v>[IGM-031] 최종 투표·최종 승패 판정</x:v>
      </x:c>
      <x:c r="C32" s="37" t="str">
        <x:v>게임 규칙, 운영 요구사항과 대상 플랫폼 제약을 충족하도록 최종 투표·최종 승패 판정 기능을 구현하고 검증한다.</x:v>
      </x:c>
      <x:c r="D32" s="37" t="str">
        <x:v>최상</x:v>
      </x:c>
      <x:c r="E32" s="37" t="str">
        <x:v>인게임·게임플레이</x:v>
      </x:c>
      <x:c r="F32" s="37" t="str">
        <x:v>MVP</x:v>
      </x:c>
      <x:c r="G32" s="37" t="str">
        <x:v>IGM-031;승패;MVP</x:v>
      </x:c>
      <x:c r="H32" s="37" t="str">
        <x:v>최종 재판</x:v>
      </x:c>
      <x:c r="I32" s="37"/>
      <x:c r="J32" s="37" t="str">
        <x:v>IGM-031</x:v>
      </x:c>
      <x:c r="K32" s="37" t="str">
        <x:v>발언 종료 후 대화를 차단하고 1표를 접수한다. 마피아가 단독 최다 득표면 시민 승리, 이를 피하면 마피아 승리로 판정하며 동률 규칙을 적용한다.</x:v>
      </x:c>
      <x:c r="L32" s="37" t="str">
        <x:v>IGM-030,IGM-029,IGM-024</x:v>
      </x:c>
      <x:c r="M32" s="37" t="str">
        <x:v>TC-IGM-031-01, TC-IGM-031-02</x:v>
      </x:c>
      <x:c r="N32" s="37" t="str">
        <x:v>게임 기획서</x:v>
      </x:c>
      <x:c r="O32" s="37"/>
    </x:row>
    <x:row r="33" ht="42" customHeight="1">
      <x:c r="A33" s="37" t="str">
        <x:v>작업</x:v>
      </x:c>
      <x:c r="B33" s="37" t="str">
        <x:v>[IGM-032] 연결 끊김 플레이어 진행 처리</x:v>
      </x:c>
      <x:c r="C33" s="37" t="str">
        <x:v>게임 규칙, 운영 요구사항과 대상 플랫폼 제약을 충족하도록 연결 끊김 플레이어 진행 처리 기능을 구현하고 검증한다.</x:v>
      </x:c>
      <x:c r="D33" s="37" t="str">
        <x:v>최상</x:v>
      </x:c>
      <x:c r="E33" s="37" t="str">
        <x:v>인게임·게임플레이</x:v>
      </x:c>
      <x:c r="F33" s="37" t="str">
        <x:v>알파</x:v>
      </x:c>
      <x:c r="G33" s="37" t="str">
        <x:v>IGM-032;안정성;알파</x:v>
      </x:c>
      <x:c r="H33" s="37" t="str">
        <x:v>복원력</x:v>
      </x:c>
      <x:c r="I33" s="37"/>
      <x:c r="J33" s="37" t="str">
        <x:v>IGM-032</x:v>
      </x:c>
      <x:c r="K33" s="37" t="str">
        <x:v>연결이 끊긴 플레이어를 투표 모수, 승패 판정, 최종 발언 순서에서 규칙대로 처리해 매치가 중단되지 않도록 하고 재접속 유예 중 처리도 설정을 따른다.</x:v>
      </x:c>
      <x:c r="L33" s="37" t="str">
        <x:v>IGM-001,ONL-017</x:v>
      </x:c>
      <x:c r="M33" s="37" t="str">
        <x:v>TC-IGM-032-01, TC-IGM-032-02</x:v>
      </x:c>
      <x:c r="N33" s="37" t="str">
        <x:v>게임 기획서</x:v>
      </x:c>
      <x:c r="O33" s="37"/>
    </x:row>
    <x:row r="34" ht="42" customHeight="1">
      <x:c r="A34" s="37" t="str">
        <x:v>작업</x:v>
      </x:c>
      <x:c r="B34" s="37" t="str">
        <x:v>[IGM-033] 재접속 시 전체 상태 복원</x:v>
      </x:c>
      <x:c r="C34" s="37" t="str">
        <x:v>게임 규칙, 운영 요구사항과 대상 플랫폼 제약을 충족하도록 재접속 시 전체 상태 복원 기능을 구현하고 검증한다.</x:v>
      </x:c>
      <x:c r="D34" s="37" t="str">
        <x:v>최상</x:v>
      </x:c>
      <x:c r="E34" s="37" t="str">
        <x:v>인게임·게임플레이</x:v>
      </x:c>
      <x:c r="F34" s="37" t="str">
        <x:v>알파</x:v>
      </x:c>
      <x:c r="G34" s="37" t="str">
        <x:v>IGM-033;안정성;알파</x:v>
      </x:c>
      <x:c r="H34" s="37" t="str">
        <x:v>복원력</x:v>
      </x:c>
      <x:c r="I34" s="37"/>
      <x:c r="J34" s="37" t="str">
        <x:v>IGM-033</x:v>
      </x:c>
      <x:c r="K34" s="37" t="str">
        <x:v>역할, 색상, 보유 메모, 부착 이력, 생존 상태, 페이즈, 남은 시간, 투표 여부를 복원하고 수신자별 비공개 정보를 정확하게 재전송한다.</x:v>
      </x:c>
      <x:c r="L34" s="37" t="str">
        <x:v>IGM-032,NET-019</x:v>
      </x:c>
      <x:c r="M34" s="37" t="str">
        <x:v>TC-IGM-033-01, TC-IGM-033-02</x:v>
      </x:c>
      <x:c r="N34" s="37" t="str">
        <x:v>게임 기획서</x:v>
      </x:c>
      <x:c r="O34" s="37"/>
    </x:row>
    <x:row r="35" ht="42" customHeight="1">
      <x:c r="A35" s="37" t="str">
        <x:v>작업</x:v>
      </x:c>
      <x:c r="B35" s="37" t="str">
        <x:v>[IGM-034] 사진 메모 기록·부착</x:v>
      </x:c>
      <x:c r="C35" s="37" t="str">
        <x:v>게임 규칙, 운영 요구사항과 대상 플랫폼 제약을 충족하도록 사진 메모 기록·부착 기능을 구현하고 검증한다.</x:v>
      </x:c>
      <x:c r="D35" s="37" t="str">
        <x:v>중간</x:v>
      </x:c>
      <x:c r="E35" s="37" t="str">
        <x:v>인게임·게임플레이</x:v>
      </x:c>
      <x:c r="F35" s="37" t="str">
        <x:v>출시 후</x:v>
      </x:c>
      <x:c r="G35" s="37" t="str">
        <x:v>IGM-034;확장;출시 후</x:v>
      </x:c>
      <x:c r="H35" s="37" t="str">
        <x:v>확장</x:v>
      </x:c>
      <x:c r="I35" s="37"/>
      <x:c r="J35" s="37" t="str">
        <x:v>IGM-034</x:v>
      </x:c>
      <x:c r="K35" s="37" t="str">
        <x:v>카메라 2회 사용, 좁은 화각, 약한 흐림, 정확한 시각 비공개 규칙으로 사진 메모를 생성해 확정 증거가 지나치게 강해지지 않도록 한다.</x:v>
      </x:c>
      <x:c r="L35" s="37" t="str">
        <x:v>CNT-029,UIX-030</x:v>
      </x:c>
      <x:c r="M35" s="37" t="str">
        <x:v>TC-IGM-034-01</x:v>
      </x:c>
      <x:c r="N35" s="37" t="str">
        <x:v>게임 기획서</x:v>
      </x:c>
      <x:c r="O35" s="37"/>
    </x:row>
    <x:row r="36" ht="42" customHeight="1">
      <x:c r="A36" s="37" t="str">
        <x:v>작업</x:v>
      </x:c>
      <x:c r="B36" s="37" t="str">
        <x:v>[IGM-035] 플레이어 간 메모 전달</x:v>
      </x:c>
      <x:c r="C36" s="37" t="str">
        <x:v>게임 규칙, 운영 요구사항과 대상 플랫폼 제약을 충족하도록 플레이어 간 메모 전달 기능을 구현하고 검증한다.</x:v>
      </x:c>
      <x:c r="D36" s="37" t="str">
        <x:v>중간</x:v>
      </x:c>
      <x:c r="E36" s="37" t="str">
        <x:v>인게임·게임플레이</x:v>
      </x:c>
      <x:c r="F36" s="37" t="str">
        <x:v>출시 후</x:v>
      </x:c>
      <x:c r="G36" s="37" t="str">
        <x:v>IGM-035;확장;출시 후</x:v>
      </x:c>
      <x:c r="H36" s="37" t="str">
        <x:v>확장</x:v>
      </x:c>
      <x:c r="I36" s="37"/>
      <x:c r="J36" s="37" t="str">
        <x:v>IGM-035</x:v>
      </x:c>
      <x:c r="K36" s="37" t="str">
        <x:v>전송, 수령, 거부, 소유권 이전을 서버에서 원자적으로 처리하고 부착자와 작성자 개념을 분리해 이력을 유지한다.</x:v>
      </x:c>
      <x:c r="L36" s="37" t="str">
        <x:v>IGM-009</x:v>
      </x:c>
      <x:c r="M36" s="37" t="str">
        <x:v>TC-IGM-035-01</x:v>
      </x:c>
      <x:c r="N36" s="37" t="str">
        <x:v>게임 기획서</x:v>
      </x:c>
      <x:c r="O36" s="37"/>
    </x:row>
    <x:row r="37" ht="42" customHeight="1">
      <x:c r="A37" s="37" t="str">
        <x:v>작업</x:v>
      </x:c>
      <x:c r="B37" s="37" t="str">
        <x:v>[IGM-036] 2인 협동 미니게임 공통 흐름</x:v>
      </x:c>
      <x:c r="C37" s="37" t="str">
        <x:v>게임 규칙, 운영 요구사항과 대상 플랫폼 제약을 충족하도록 2인 협동 미니게임 공통 흐름 기능을 구현하고 검증한다.</x:v>
      </x:c>
      <x:c r="D37" s="37" t="str">
        <x:v>중간</x:v>
      </x:c>
      <x:c r="E37" s="37" t="str">
        <x:v>인게임·게임플레이</x:v>
      </x:c>
      <x:c r="F37" s="37" t="str">
        <x:v>출시 후</x:v>
      </x:c>
      <x:c r="G37" s="37" t="str">
        <x:v>IGM-036;확장;출시 후</x:v>
      </x:c>
      <x:c r="H37" s="37" t="str">
        <x:v>확장</x:v>
      </x:c>
      <x:c r="I37" s="37"/>
      <x:c r="J37" s="37" t="str">
        <x:v>IGM-036</x:v>
      </x:c>
      <x:c r="K37" s="37" t="str">
        <x:v>두 플레이어의 참가, 동시 시작, 성공, 이탈을 동기화하며 성공 시 양쪽에 메모 1장씩 중복 없이 지급한다.</x:v>
      </x:c>
      <x:c r="L37" s="37" t="str">
        <x:v>IGM-010,CNT-030</x:v>
      </x:c>
      <x:c r="M37" s="37" t="str">
        <x:v>TC-IGM-036-01</x:v>
      </x:c>
      <x:c r="N37" s="37" t="str">
        <x:v>게임 기획서</x:v>
      </x:c>
      <x:c r="O37" s="37"/>
    </x:row>
    <x:row r="38" ht="42" customHeight="1">
      <x:c r="A38" s="37" t="str">
        <x:v>작업</x:v>
      </x:c>
      <x:c r="B38" s="37" t="str">
        <x:v>[IGM-037] 고독한 마피아 자기 부착 능력</x:v>
      </x:c>
      <x:c r="C38" s="37" t="str">
        <x:v>게임 규칙, 운영 요구사항과 대상 플랫폼 제약을 충족하도록 고독한 마피아 자기 부착 능력 기능을 구현하고 검증한다.</x:v>
      </x:c>
      <x:c r="D38" s="37" t="str">
        <x:v>낮음</x:v>
      </x:c>
      <x:c r="E38" s="37" t="str">
        <x:v>인게임·게임플레이</x:v>
      </x:c>
      <x:c r="F38" s="37" t="str">
        <x:v>출시 후</x:v>
      </x:c>
      <x:c r="G38" s="37" t="str">
        <x:v>IGM-037;확장;출시 후</x:v>
      </x:c>
      <x:c r="H38" s="37" t="str">
        <x:v>확장</x:v>
      </x:c>
      <x:c r="I38" s="37"/>
      <x:c r="J38" s="37" t="str">
        <x:v>IGM-037</x:v>
      </x:c>
      <x:c r="K38" s="37" t="str">
        <x:v>복수 마피아 모드에서 마지막 마피아 1명이 된 경우에만 하루 1회 선택한 색상의 메모를 자신의 등에 부착할 수 있다.</x:v>
      </x:c>
      <x:c r="L38" s="37" t="str">
        <x:v>IGM-014,SET-018</x:v>
      </x:c>
      <x:c r="M38" s="37" t="str">
        <x:v>TC-IGM-037-01</x:v>
      </x:c>
      <x:c r="N38" s="37" t="str">
        <x:v>게임 기획서</x:v>
      </x:c>
      <x:c r="O38" s="37"/>
    </x:row>
    <x:row r="39" ht="42" customHeight="1">
      <x:c r="A39" s="37" t="str">
        <x:v>작업</x:v>
      </x:c>
      <x:c r="B39" s="37" t="str">
        <x:v>[IGM-038] 마피아 조수 임명·지속 승패</x:v>
      </x:c>
      <x:c r="C39" s="37" t="str">
        <x:v>게임 규칙, 운영 요구사항과 대상 플랫폼 제약을 충족하도록 마피아 조수 임명·지속 승패 기능을 구현하고 검증한다.</x:v>
      </x:c>
      <x:c r="D39" s="37" t="str">
        <x:v>낮음</x:v>
      </x:c>
      <x:c r="E39" s="37" t="str">
        <x:v>인게임·게임플레이</x:v>
      </x:c>
      <x:c r="F39" s="37" t="str">
        <x:v>출시 후</x:v>
      </x:c>
      <x:c r="G39" s="37" t="str">
        <x:v>IGM-038;확장;출시 후</x:v>
      </x:c>
      <x:c r="H39" s="37" t="str">
        <x:v>확장</x:v>
      </x:c>
      <x:c r="I39" s="37"/>
      <x:c r="J39" s="37" t="str">
        <x:v>IGM-038</x:v>
      </x:c>
      <x:c r="K39" s="37" t="str">
        <x:v>6명 이상에서 첫날 낮에 시민 1명을 비밀리에 임명하고, 마피아 추방 후에도 조수가 생존하면 게임을 계속한다. 사망한 마피아의 정보 열람은 제한한다.</x:v>
      </x:c>
      <x:c r="L39" s="37" t="str">
        <x:v>IGM-002,IGM-026,AUD-020</x:v>
      </x:c>
      <x:c r="M39" s="37" t="str">
        <x:v>TC-IGM-038-01</x:v>
      </x:c>
      <x:c r="N39" s="37" t="str">
        <x:v>게임 기획서</x:v>
      </x:c>
      <x:c r="O39" s="37"/>
    </x:row>
    <x:row r="40" ht="42" customHeight="1">
      <x:c r="A40" s="37" t="str">
        <x:v>작업</x:v>
      </x:c>
      <x:c r="B40" s="37" t="str">
        <x:v>[UIX-001] 게임 UI 디자인 시스템·토큰</x:v>
      </x:c>
      <x:c r="C40" s="37" t="str">
        <x:v>게임 규칙, 운영 요구사항과 대상 플랫폼 제약을 충족하도록 게임 UI 디자인 시스템·토큰 기능을 구현하고 검증한다.</x:v>
      </x:c>
      <x:c r="D40" s="37" t="str">
        <x:v>최상</x:v>
      </x:c>
      <x:c r="E40" s="37" t="str">
        <x:v>UI·UX</x:v>
      </x:c>
      <x:c r="F40" s="37" t="str">
        <x:v>MVP</x:v>
      </x:c>
      <x:c r="G40" s="37" t="str">
        <x:v>UIX-001;UX 기반;MVP</x:v>
      </x:c>
      <x:c r="H40" s="37" t="str">
        <x:v>UX 기반</x:v>
      </x:c>
      <x:c r="I40" s="37"/>
      <x:c r="J40" s="37" t="str">
        <x:v>UIX-001</x:v>
      </x:c>
      <x:c r="K40" s="37" t="str">
        <x:v>색상, 타이포그래피, 여백, 포커스, 상태 색상, 경고 계층, 아이콘 규칙을 정의하고 주요 화면이 공통 컴포넌트를 사용한다.</x:v>
      </x:c>
      <x:c r="L40" s="37"/>
      <x:c r="M40" s="37" t="str">
        <x:v>TC-UIX-001-01, TC-UIX-001-02</x:v>
      </x:c>
      <x:c r="N40" s="37" t="str">
        <x:v>게임 기획서 / 캐릭터 사양서</x:v>
      </x:c>
      <x:c r="O40" s="37"/>
    </x:row>
    <x:row r="41" ht="42" customHeight="1">
      <x:c r="A41" s="37" t="str">
        <x:v>작업</x:v>
      </x:c>
      <x:c r="B41" s="37" t="str">
        <x:v>[UIX-002] 화면 전환·뒤로 가기·모달 공통 제어</x:v>
      </x:c>
      <x:c r="C41" s="37" t="str">
        <x:v>게임 규칙, 운영 요구사항과 대상 플랫폼 제약을 충족하도록 화면 전환·뒤로 가기·모달 공통 제어 기능을 구현하고 검증한다.</x:v>
      </x:c>
      <x:c r="D41" s="37" t="str">
        <x:v>최상</x:v>
      </x:c>
      <x:c r="E41" s="37" t="str">
        <x:v>UI·UX</x:v>
      </x:c>
      <x:c r="F41" s="37" t="str">
        <x:v>MVP</x:v>
      </x:c>
      <x:c r="G41" s="37" t="str">
        <x:v>UIX-002;UX 기반;MVP</x:v>
      </x:c>
      <x:c r="H41" s="37" t="str">
        <x:v>UX 기반</x:v>
      </x:c>
      <x:c r="I41" s="37"/>
      <x:c r="J41" s="37" t="str">
        <x:v>UIX-002</x:v>
      </x:c>
      <x:c r="K41" s="37" t="str">
        <x:v>타이틀, 로비, 설정, 매치, 결과 화면의 전환이 입력 방식과 관계없이 일관되며 모달 중첩이나 뒤로 가기 경로 상실이 발생하지 않는다.</x:v>
      </x:c>
      <x:c r="L41" s="37" t="str">
        <x:v>UIX-001</x:v>
      </x:c>
      <x:c r="M41" s="37" t="str">
        <x:v>TC-UIX-002-01, TC-UIX-002-02</x:v>
      </x:c>
      <x:c r="N41" s="37" t="str">
        <x:v>게임 기획서</x:v>
      </x:c>
      <x:c r="O41" s="37"/>
    </x:row>
    <x:row r="42" ht="42" customHeight="1">
      <x:c r="A42" s="37" t="str">
        <x:v>작업</x:v>
      </x:c>
      <x:c r="B42" s="37" t="str">
        <x:v>[UIX-003] 부팅·타이틀·연결 상태 화면</x:v>
      </x:c>
      <x:c r="C42" s="37" t="str">
        <x:v>게임 규칙, 운영 요구사항과 대상 플랫폼 제약을 충족하도록 부팅·타이틀·연결 상태 화면 기능을 구현하고 검증한다.</x:v>
      </x:c>
      <x:c r="D42" s="37" t="str">
        <x:v>최상</x:v>
      </x:c>
      <x:c r="E42" s="37" t="str">
        <x:v>UI·UX</x:v>
      </x:c>
      <x:c r="F42" s="37" t="str">
        <x:v>MVP</x:v>
      </x:c>
      <x:c r="G42" s="37" t="str">
        <x:v>UIX-003;실행;MVP</x:v>
      </x:c>
      <x:c r="H42" s="37" t="str">
        <x:v>프런트엔드</x:v>
      </x:c>
      <x:c r="I42" s="37"/>
      <x:c r="J42" s="37" t="str">
        <x:v>UIX-003</x:v>
      </x:c>
      <x:c r="K42" s="37" t="str">
        <x:v>초기화, 인증, 서비스 연결, 점검, 오프라인 상태를 구분해 표시하고 재시도 또는 종료 경로를 제공한다.</x:v>
      </x:c>
      <x:c r="L42" s="37" t="str">
        <x:v>ONL-001,BED-001</x:v>
      </x:c>
      <x:c r="M42" s="37" t="str">
        <x:v>TC-UIX-003-01, TC-UIX-003-02</x:v>
      </x:c>
      <x:c r="N42" s="37" t="str">
        <x:v>게임 기획서</x:v>
      </x:c>
      <x:c r="O42" s="37"/>
    </x:row>
    <x:row r="43" ht="42" customHeight="1">
      <x:c r="A43" s="37" t="str">
        <x:v>작업</x:v>
      </x:c>
      <x:c r="B43" s="37" t="str">
        <x:v>[UIX-004] 공개 룸·매치메이킹 진입 화면</x:v>
      </x:c>
      <x:c r="C43" s="37" t="str">
        <x:v>게임 규칙, 운영 요구사항과 대상 플랫폼 제약을 충족하도록 공개 룸·매치메이킹 진입 화면 기능을 구현하고 검증한다.</x:v>
      </x:c>
      <x:c r="D43" s="37" t="str">
        <x:v>높음</x:v>
      </x:c>
      <x:c r="E43" s="37" t="str">
        <x:v>UI·UX</x:v>
      </x:c>
      <x:c r="F43" s="37" t="str">
        <x:v>알파</x:v>
      </x:c>
      <x:c r="G43" s="37" t="str">
        <x:v>UIX-004;온라인 UX;알파</x:v>
      </x:c>
      <x:c r="H43" s="37" t="str">
        <x:v>프런트엔드</x:v>
      </x:c>
      <x:c r="I43" s="37"/>
      <x:c r="J43" s="37" t="str">
        <x:v>UIX-004</x:v>
      </x:c>
      <x:c r="K43" s="37" t="str">
        <x:v>공개 검색, 비공개 코드, 초대, 취소 진입점을 명확하게 제공하고 사용할 수 없는 모드는 이유와 함께 비활성화한다.</x:v>
      </x:c>
      <x:c r="L43" s="37" t="str">
        <x:v>ONL-004,ONL-006</x:v>
      </x:c>
      <x:c r="M43" s="37" t="str">
        <x:v>TC-UIX-004-01</x:v>
      </x:c>
      <x:c r="N43" s="37" t="str">
        <x:v>게임 기획서</x:v>
      </x:c>
      <x:c r="O43" s="37"/>
    </x:row>
    <x:row r="44" ht="42" customHeight="1">
      <x:c r="A44" s="37" t="str">
        <x:v>작업</x:v>
      </x:c>
      <x:c r="B44" s="37" t="str">
        <x:v>[UIX-005] 룸 생성 화면</x:v>
      </x:c>
      <x:c r="C44" s="37" t="str">
        <x:v>게임 규칙, 운영 요구사항과 대상 플랫폼 제약을 충족하도록 룸 생성 화면 기능을 구현하고 검증한다.</x:v>
      </x:c>
      <x:c r="D44" s="37" t="str">
        <x:v>최상</x:v>
      </x:c>
      <x:c r="E44" s="37" t="str">
        <x:v>UI·UX</x:v>
      </x:c>
      <x:c r="F44" s="37" t="str">
        <x:v>MVP</x:v>
      </x:c>
      <x:c r="G44" s="37" t="str">
        <x:v>UIX-005;온라인 UX;MVP</x:v>
      </x:c>
      <x:c r="H44" s="37" t="str">
        <x:v>프런트엔드</x:v>
      </x:c>
      <x:c r="I44" s="37"/>
      <x:c r="J44" s="37" t="str">
        <x:v>UIX-005</x:v>
      </x:c>
      <x:c r="K44" s="37" t="str">
        <x:v>기본 프리셋, 공개 범위, 지역, 최대 인원, 상세 설정 진입점을 표시하고 유효하지 않은 값에서는 생성 요청을 전송하지 않는다.</x:v>
      </x:c>
      <x:c r="L44" s="37" t="str">
        <x:v>SET-009,ONL-004</x:v>
      </x:c>
      <x:c r="M44" s="37" t="str">
        <x:v>TC-UIX-005-01, TC-UIX-005-02</x:v>
      </x:c>
      <x:c r="N44" s="37" t="str">
        <x:v>게임 기획서</x:v>
      </x:c>
      <x:c r="O44" s="37"/>
    </x:row>
    <x:row r="45" ht="42" customHeight="1">
      <x:c r="A45" s="37" t="str">
        <x:v>작업</x:v>
      </x:c>
      <x:c r="B45" s="37" t="str">
        <x:v>[UIX-006] 룸 코드 입력·참가 화면</x:v>
      </x:c>
      <x:c r="C45" s="37" t="str">
        <x:v>게임 규칙, 운영 요구사항과 대상 플랫폼 제약을 충족하도록 룸 코드 입력·참가 화면 기능을 구현하고 검증한다.</x:v>
      </x:c>
      <x:c r="D45" s="37" t="str">
        <x:v>최상</x:v>
      </x:c>
      <x:c r="E45" s="37" t="str">
        <x:v>UI·UX</x:v>
      </x:c>
      <x:c r="F45" s="37" t="str">
        <x:v>MVP</x:v>
      </x:c>
      <x:c r="G45" s="37" t="str">
        <x:v>UIX-006;온라인 UX;MVP</x:v>
      </x:c>
      <x:c r="H45" s="37" t="str">
        <x:v>프런트엔드</x:v>
      </x:c>
      <x:c r="I45" s="37"/>
      <x:c r="J45" s="37" t="str">
        <x:v>UIX-006</x:v>
      </x:c>
      <x:c r="K45" s="37" t="str">
        <x:v>코드 입력, 붙여넣기, 자릿수 검증, 참가 진행 상태를 제공하고 만원, 만료, 버전 불일치 오류를 개별적으로 표시한다.</x:v>
      </x:c>
      <x:c r="L45" s="37" t="str">
        <x:v>ONL-006,ONL-020</x:v>
      </x:c>
      <x:c r="M45" s="37" t="str">
        <x:v>TC-UIX-006-01, TC-UIX-006-02</x:v>
      </x:c>
      <x:c r="N45" s="37" t="str">
        <x:v>게임 기획서</x:v>
      </x:c>
      <x:c r="O45" s="37"/>
    </x:row>
    <x:row r="46" ht="42" customHeight="1">
      <x:c r="A46" s="37" t="str">
        <x:v>작업</x:v>
      </x:c>
      <x:c r="B46" s="37" t="str">
        <x:v>[UIX-007] 로비 참가자·색상·상태 표시</x:v>
      </x:c>
      <x:c r="C46" s="37" t="str">
        <x:v>게임 규칙, 운영 요구사항과 대상 플랫폼 제약을 충족하도록 로비 참가자·색상·상태 표시 기능을 구현하고 검증한다.</x:v>
      </x:c>
      <x:c r="D46" s="37" t="str">
        <x:v>최상</x:v>
      </x:c>
      <x:c r="E46" s="37" t="str">
        <x:v>UI·UX</x:v>
      </x:c>
      <x:c r="F46" s="37" t="str">
        <x:v>MVP</x:v>
      </x:c>
      <x:c r="G46" s="37" t="str">
        <x:v>UIX-007;온라인 UX;MVP</x:v>
      </x:c>
      <x:c r="H46" s="37" t="str">
        <x:v>로비</x:v>
      </x:c>
      <x:c r="I46" s="37"/>
      <x:c r="J46" s="37" t="str">
        <x:v>UIX-007</x:v>
      </x:c>
      <x:c r="K46" s="37" t="str">
        <x:v>참가자 이름, 색상, 준비 상태, 연결 품질, 호스트·관리 권한을 표시하되 역할이나 비공개 정보는 표시하지 않는다.</x:v>
      </x:c>
      <x:c r="L46" s="37" t="str">
        <x:v>ONL-007,ONL-009</x:v>
      </x:c>
      <x:c r="M46" s="37" t="str">
        <x:v>TC-UIX-007-01, TC-UIX-007-02</x:v>
      </x:c>
      <x:c r="N46" s="37" t="str">
        <x:v>게임 기획서</x:v>
      </x:c>
      <x:c r="O46" s="37"/>
    </x:row>
    <x:row r="47" ht="42" customHeight="1">
      <x:c r="A47" s="37" t="str">
        <x:v>작업</x:v>
      </x:c>
      <x:c r="B47" s="37" t="str">
        <x:v>[UIX-008] 준비·시작 조건·차단 사유 표시</x:v>
      </x:c>
      <x:c r="C47" s="37" t="str">
        <x:v>게임 규칙, 운영 요구사항과 대상 플랫폼 제약을 충족하도록 준비·시작 조건·차단 사유 표시 기능을 구현하고 검증한다.</x:v>
      </x:c>
      <x:c r="D47" s="37" t="str">
        <x:v>최상</x:v>
      </x:c>
      <x:c r="E47" s="37" t="str">
        <x:v>UI·UX</x:v>
      </x:c>
      <x:c r="F47" s="37" t="str">
        <x:v>MVP</x:v>
      </x:c>
      <x:c r="G47" s="37" t="str">
        <x:v>UIX-008;온라인 UX;MVP</x:v>
      </x:c>
      <x:c r="H47" s="37" t="str">
        <x:v>로비</x:v>
      </x:c>
      <x:c r="I47" s="37"/>
      <x:c r="J47" s="37" t="str">
        <x:v>UIX-008</x:v>
      </x:c>
      <x:c r="K47" s="37" t="str">
        <x:v>준비 전환, 최소 인원, 설정 오류, 버전 불일치를 표시하고 시작할 수 없는 이유를 호스트에게 명확히 안내한다.</x:v>
      </x:c>
      <x:c r="L47" s="37" t="str">
        <x:v>ONL-010,ONL-011</x:v>
      </x:c>
      <x:c r="M47" s="37" t="str">
        <x:v>TC-UIX-008-01, TC-UIX-008-02</x:v>
      </x:c>
      <x:c r="N47" s="37" t="str">
        <x:v>게임 기획서</x:v>
      </x:c>
      <x:c r="O47" s="37"/>
    </x:row>
    <x:row r="48" ht="42" customHeight="1">
      <x:c r="A48" s="37" t="str">
        <x:v>작업</x:v>
      </x:c>
      <x:c r="B48" s="37" t="str">
        <x:v>[UIX-009] 본인 전용 역할 공개 화면</x:v>
      </x:c>
      <x:c r="C48" s="37" t="str">
        <x:v>게임 규칙, 운영 요구사항과 대상 플랫폼 제약을 충족하도록 본인 전용 역할 공개 화면 기능을 구현하고 검증한다.</x:v>
      </x:c>
      <x:c r="D48" s="37" t="str">
        <x:v>최상</x:v>
      </x:c>
      <x:c r="E48" s="37" t="str">
        <x:v>UI·UX</x:v>
      </x:c>
      <x:c r="F48" s="37" t="str">
        <x:v>MVP</x:v>
      </x:c>
      <x:c r="G48" s="37" t="str">
        <x:v>UIX-009;정보 비공개;MVP</x:v>
      </x:c>
      <x:c r="H48" s="37" t="str">
        <x:v>매치 HUD</x:v>
      </x:c>
      <x:c r="I48" s="37"/>
      <x:c r="J48" s="37" t="str">
        <x:v>UIX-009</x:v>
      </x:c>
      <x:c r="K48" s="37" t="str">
        <x:v>역할, 승리 조건, 마피아의 색상 위조 능력을 짧은 시간에 이해할 수 있으며 방송 화면, 다른 플레이어 화면, 관전자에게 잘못 노출되지 않는다.</x:v>
      </x:c>
      <x:c r="L48" s="37" t="str">
        <x:v>IGM-002,NET-018</x:v>
      </x:c>
      <x:c r="M48" s="37" t="str">
        <x:v>TC-UIX-009-01, TC-UIX-009-02</x:v>
      </x:c>
      <x:c r="N48" s="37" t="str">
        <x:v>게임 기획서</x:v>
      </x:c>
      <x:c r="O48" s="37"/>
    </x:row>
    <x:row r="49" ht="42" customHeight="1">
      <x:c r="A49" s="37" t="str">
        <x:v>작업</x:v>
      </x:c>
      <x:c r="B49" s="37" t="str">
        <x:v>[UIX-010] 페이즈·일차·남은 시간 HUD</x:v>
      </x:c>
      <x:c r="C49" s="37" t="str">
        <x:v>게임 규칙, 운영 요구사항과 대상 플랫폼 제약을 충족하도록 페이즈·일차·남은 시간 HUD 기능을 구현하고 검증한다.</x:v>
      </x:c>
      <x:c r="D49" s="37" t="str">
        <x:v>최상</x:v>
      </x:c>
      <x:c r="E49" s="37" t="str">
        <x:v>UI·UX</x:v>
      </x:c>
      <x:c r="F49" s="37" t="str">
        <x:v>MVP</x:v>
      </x:c>
      <x:c r="G49" s="37" t="str">
        <x:v>UIX-010;HUD;MVP</x:v>
      </x:c>
      <x:c r="H49" s="37" t="str">
        <x:v>매치 HUD</x:v>
      </x:c>
      <x:c r="I49" s="37"/>
      <x:c r="J49" s="37" t="str">
        <x:v>UIX-010</x:v>
      </x:c>
      <x:c r="K49" s="37" t="str">
        <x:v>낮, 밤 관찰, 밤 투표, 최종 재판을 색상에만 의존하지 않고 표시하며 서버 시간 보정 후에도 1초 이상의 급격한 변화나 역행이 없다.</x:v>
      </x:c>
      <x:c r="L49" s="37" t="str">
        <x:v>IGM-001,NET-008</x:v>
      </x:c>
      <x:c r="M49" s="37" t="str">
        <x:v>TC-UIX-010-01, TC-UIX-010-02</x:v>
      </x:c>
      <x:c r="N49" s="37" t="str">
        <x:v>게임 기획서</x:v>
      </x:c>
      <x:c r="O49" s="37"/>
    </x:row>
    <x:row r="50" ht="42" customHeight="1">
      <x:c r="A50" s="37" t="str">
        <x:v>작업</x:v>
      </x:c>
      <x:c r="B50" s="37" t="str">
        <x:v>[UIX-011] 보유 메모·위조 잔여 횟수 표시</x:v>
      </x:c>
      <x:c r="C50" s="37" t="str">
        <x:v>게임 규칙, 운영 요구사항과 대상 플랫폼 제약을 충족하도록 보유 메모·위조 잔여 횟수 표시 기능을 구현하고 검증한다.</x:v>
      </x:c>
      <x:c r="D50" s="37" t="str">
        <x:v>최상</x:v>
      </x:c>
      <x:c r="E50" s="37" t="str">
        <x:v>UI·UX</x:v>
      </x:c>
      <x:c r="F50" s="37" t="str">
        <x:v>MVP</x:v>
      </x:c>
      <x:c r="G50" s="37" t="str">
        <x:v>UIX-011;정보 비공개;MVP</x:v>
      </x:c>
      <x:c r="H50" s="37" t="str">
        <x:v>매치 HUD</x:v>
      </x:c>
      <x:c r="I50" s="37"/>
      <x:c r="J50" s="37" t="str">
        <x:v>UIX-011</x:v>
      </x:c>
      <x:c r="K50" s="37" t="str">
        <x:v>본인 보유 메모 수를 표시하고 마피아에게만 위조 잔여 횟수를 표시한다. 자신의 등 메모 수량과 내용은 표시하지 않는다.</x:v>
      </x:c>
      <x:c r="L50" s="37" t="str">
        <x:v>IGM-009,IGM-015,NET-018</x:v>
      </x:c>
      <x:c r="M50" s="37" t="str">
        <x:v>TC-UIX-011-01, TC-UIX-011-02</x:v>
      </x:c>
      <x:c r="N50" s="37" t="str">
        <x:v>게임 기획서</x:v>
      </x:c>
      <x:c r="O50" s="37"/>
    </x:row>
    <x:row r="51" ht="42" customHeight="1">
      <x:c r="A51" s="37" t="str">
        <x:v>작업</x:v>
      </x:c>
      <x:c r="B51" s="37" t="str">
        <x:v>[UIX-012] 프리셋 메모 작성 패널</x:v>
      </x:c>
      <x:c r="C51" s="37" t="str">
        <x:v>게임 규칙, 운영 요구사항과 대상 플랫폼 제약을 충족하도록 프리셋 메모 작성 패널 기능을 구현하고 검증한다.</x:v>
      </x:c>
      <x:c r="D51" s="37" t="str">
        <x:v>최상</x:v>
      </x:c>
      <x:c r="E51" s="37" t="str">
        <x:v>UI·UX</x:v>
      </x:c>
      <x:c r="F51" s="37" t="str">
        <x:v>MVP</x:v>
      </x:c>
      <x:c r="G51" s="37" t="str">
        <x:v>UIX-012;메모 UX;MVP</x:v>
      </x:c>
      <x:c r="H51" s="37" t="str">
        <x:v>메모 UX</x:v>
      </x:c>
      <x:c r="I51" s="37"/>
      <x:c r="J51" s="37" t="str">
        <x:v>UIX-012</x:v>
      </x:c>
      <x:c r="K51" s="37" t="str">
        <x:v>분류, 문구, 표시 색상, 확인, 취소를 게임패드와 키보드·마우스로 조작할 수 있고 MVP에서는 자유 입력·자유 그리기 진입점을 노출하지 않는다.</x:v>
      </x:c>
      <x:c r="L51" s="37" t="str">
        <x:v>IGM-012,SET-016</x:v>
      </x:c>
      <x:c r="M51" s="37" t="str">
        <x:v>TC-UIX-012-01, TC-UIX-012-02</x:v>
      </x:c>
      <x:c r="N51" s="37" t="str">
        <x:v>게임 기획서</x:v>
      </x:c>
      <x:c r="O51" s="37"/>
    </x:row>
    <x:row r="52" ht="42" customHeight="1">
      <x:c r="A52" s="37" t="str">
        <x:v>작업</x:v>
      </x:c>
      <x:c r="B52" s="37" t="str">
        <x:v>[UIX-013] 마피아 위조 색상 선택 UI</x:v>
      </x:c>
      <x:c r="C52" s="37" t="str">
        <x:v>게임 규칙, 운영 요구사항과 대상 플랫폼 제약을 충족하도록 마피아 위조 색상 선택 UI 기능을 구현하고 검증한다.</x:v>
      </x:c>
      <x:c r="D52" s="37" t="str">
        <x:v>최상</x:v>
      </x:c>
      <x:c r="E52" s="37" t="str">
        <x:v>UI·UX</x:v>
      </x:c>
      <x:c r="F52" s="37" t="str">
        <x:v>MVP</x:v>
      </x:c>
      <x:c r="G52" s="37" t="str">
        <x:v>UIX-013;정보 비공개;MVP</x:v>
      </x:c>
      <x:c r="H52" s="37" t="str">
        <x:v>메모 UX</x:v>
      </x:c>
      <x:c r="I52" s="37"/>
      <x:c r="J52" s="37" t="str">
        <x:v>UIX-013</x:v>
      </x:c>
      <x:c r="K52" s="37" t="str">
        <x:v>생존 플레이어의 색상만 선택할 수 있고 잔여 횟수 0회 또는 규칙 비활성화 시 이유와 함께 선택을 막는다. 시민에게는 색상 선택 UI를 표시하지 않는다.</x:v>
      </x:c>
      <x:c r="L52" s="37" t="str">
        <x:v>IGM-014,IGM-015</x:v>
      </x:c>
      <x:c r="M52" s="37" t="str">
        <x:v>TC-UIX-013-01, TC-UIX-013-02</x:v>
      </x:c>
      <x:c r="N52" s="37" t="str">
        <x:v>게임 기획서</x:v>
      </x:c>
      <x:c r="O52" s="37"/>
    </x:row>
    <x:row r="53" ht="42" customHeight="1">
      <x:c r="A53" s="37" t="str">
        <x:v>작업</x:v>
      </x:c>
      <x:c r="B53" s="37" t="str">
        <x:v>[UIX-014] 등 메모 거리별 표시·겹침·순서</x:v>
      </x:c>
      <x:c r="C53" s="37" t="str">
        <x:v>게임 규칙, 운영 요구사항과 대상 플랫폼 제약을 충족하도록 등 메모 거리별 표시·겹침·순서 기능을 구현하고 검증한다.</x:v>
      </x:c>
      <x:c r="D53" s="37" t="str">
        <x:v>최상</x:v>
      </x:c>
      <x:c r="E53" s="37" t="str">
        <x:v>UI·UX</x:v>
      </x:c>
      <x:c r="F53" s="37" t="str">
        <x:v>MVP</x:v>
      </x:c>
      <x:c r="G53" s="37" t="str">
        <x:v>UIX-014;판독성;MVP</x:v>
      </x:c>
      <x:c r="H53" s="37" t="str">
        <x:v>메모 UX</x:v>
      </x:c>
      <x:c r="I53" s="37"/>
      <x:c r="J53" s="37" t="str">
        <x:v>UIX-014</x:v>
      </x:c>
      <x:c r="K53" s="37" t="str">
        <x:v>중거리에서는 색상, 근거리에서는 문구를 읽을 수 있고 최대 6장의 순서를 유지하며 해상도, FOV, 색각 보조 설정에서도 레이아웃이 깨지지 않는다.</x:v>
      </x:c>
      <x:c r="L53" s="37" t="str">
        <x:v>IGM-020,IGM-021,CHR-012,SET-024</x:v>
      </x:c>
      <x:c r="M53" s="37" t="str">
        <x:v>TC-UIX-014-01, TC-UIX-014-02</x:v>
      </x:c>
      <x:c r="N53" s="37" t="str">
        <x:v>게임 기획서</x:v>
      </x:c>
      <x:c r="O53" s="37"/>
    </x:row>
    <x:row r="54" ht="42" customHeight="1">
      <x:c r="A54" s="37" t="str">
        <x:v>작업</x:v>
      </x:c>
      <x:c r="B54" s="37" t="str">
        <x:v>[UIX-015] 메모 부착·미니게임 상호작용 안내</x:v>
      </x:c>
      <x:c r="C54" s="37" t="str">
        <x:v>게임 규칙, 운영 요구사항과 대상 플랫폼 제약을 충족하도록 메모 부착·미니게임 상호작용 안내 기능을 구현하고 검증한다.</x:v>
      </x:c>
      <x:c r="D54" s="37" t="str">
        <x:v>최상</x:v>
      </x:c>
      <x:c r="E54" s="37" t="str">
        <x:v>UI·UX</x:v>
      </x:c>
      <x:c r="F54" s="37" t="str">
        <x:v>MVP</x:v>
      </x:c>
      <x:c r="G54" s="37" t="str">
        <x:v>UIX-015;조작;MVP</x:v>
      </x:c>
      <x:c r="H54" s="37" t="str">
        <x:v>상호작용</x:v>
      </x:c>
      <x:c r="I54" s="37"/>
      <x:c r="J54" s="37" t="str">
        <x:v>UIX-015</x:v>
      </x:c>
      <x:c r="K54" s="37" t="str">
        <x:v>대상, 행동, 필요 조건, 사용할 입력, 실행 불가 사유를 표시하고 정면, 거리 밖, 밤 등 무효 상태에서 잘못된 안내를 제공하지 않는다.</x:v>
      </x:c>
      <x:c r="L54" s="37" t="str">
        <x:v>IGM-016,CNT-020,SET-006</x:v>
      </x:c>
      <x:c r="M54" s="37" t="str">
        <x:v>TC-UIX-015-01, TC-UIX-015-02</x:v>
      </x:c>
      <x:c r="N54" s="37" t="str">
        <x:v>게임 기획서</x:v>
      </x:c>
      <x:c r="O54" s="37"/>
    </x:row>
    <x:row r="55" ht="42" customHeight="1">
      <x:c r="A55" s="37" t="str">
        <x:v>작업</x:v>
      </x:c>
      <x:c r="B55" s="37" t="str">
        <x:v>[UIX-016] 메모 부착 진행·취소 사유 표시</x:v>
      </x:c>
      <x:c r="C55" s="37" t="str">
        <x:v>게임 규칙, 운영 요구사항과 대상 플랫폼 제약을 충족하도록 메모 부착 진행·취소 사유 표시 기능을 구현하고 검증한다.</x:v>
      </x:c>
      <x:c r="D55" s="37" t="str">
        <x:v>최상</x:v>
      </x:c>
      <x:c r="E55" s="37" t="str">
        <x:v>UI·UX</x:v>
      </x:c>
      <x:c r="F55" s="37" t="str">
        <x:v>MVP</x:v>
      </x:c>
      <x:c r="G55" s="37" t="str">
        <x:v>UIX-016;메모 UX;MVP</x:v>
      </x:c>
      <x:c r="H55" s="37" t="str">
        <x:v>상호작용</x:v>
      </x:c>
      <x:c r="I55" s="37"/>
      <x:c r="J55" s="37" t="str">
        <x:v>UIX-016</x:v>
      </x:c>
      <x:c r="K55" s="37" t="str">
        <x:v>1.5초 진행도와 취소, 성공, 실패 상태를 표시하며 서버 확정 전에 보유 수량이나 대상의 메모 표시를 선반영하지 않는다.</x:v>
      </x:c>
      <x:c r="L55" s="37" t="str">
        <x:v>IGM-017,IGM-018</x:v>
      </x:c>
      <x:c r="M55" s="37" t="str">
        <x:v>TC-UIX-016-01, TC-UIX-016-02</x:v>
      </x:c>
      <x:c r="N55" s="37" t="str">
        <x:v>게임 기획서</x:v>
      </x:c>
      <x:c r="O55" s="37"/>
    </x:row>
    <x:row r="56" ht="42" customHeight="1">
      <x:c r="A56" s="37" t="str">
        <x:v>작업</x:v>
      </x:c>
      <x:c r="B56" s="37" t="str">
        <x:v>[UIX-017] 미니게임 공통 UI 셸</x:v>
      </x:c>
      <x:c r="C56" s="37" t="str">
        <x:v>게임 규칙, 운영 요구사항과 대상 플랫폼 제약을 충족하도록 미니게임 공통 UI 셸 기능을 구현하고 검증한다.</x:v>
      </x:c>
      <x:c r="D56" s="37" t="str">
        <x:v>최상</x:v>
      </x:c>
      <x:c r="E56" s="37" t="str">
        <x:v>UI·UX</x:v>
      </x:c>
      <x:c r="F56" s="37" t="str">
        <x:v>MVP</x:v>
      </x:c>
      <x:c r="G56" s="37" t="str">
        <x:v>UIX-017;콘텐츠 UX;MVP</x:v>
      </x:c>
      <x:c r="H56" s="37" t="str">
        <x:v>미니게임 UX</x:v>
      </x:c>
      <x:c r="I56" s="37"/>
      <x:c r="J56" s="37" t="str">
        <x:v>UIX-017</x:v>
      </x:c>
      <x:c r="K56" s="37" t="str">
        <x:v>시작 설명, 조작법, 남은 시간, 성공, 실패, 중단, 나가기를 공통 패턴으로 표시하고 플레이어가 3초 안에 목표를 이해할 수 있다.</x:v>
      </x:c>
      <x:c r="L56" s="37" t="str">
        <x:v>CNT-020,CNT-021</x:v>
      </x:c>
      <x:c r="M56" s="37" t="str">
        <x:v>TC-UIX-017-01, TC-UIX-017-02</x:v>
      </x:c>
      <x:c r="N56" s="37" t="str">
        <x:v>게임 기획서</x:v>
      </x:c>
      <x:c r="O56" s="37"/>
    </x:row>
    <x:row r="57" ht="42" customHeight="1">
      <x:c r="A57" s="37" t="str">
        <x:v>작업</x:v>
      </x:c>
      <x:c r="B57" s="37" t="str">
        <x:v>[UIX-018] 밤 관찰 페이즈 UI</x:v>
      </x:c>
      <x:c r="C57" s="37" t="str">
        <x:v>게임 규칙, 운영 요구사항과 대상 플랫폼 제약을 충족하도록 밤 관찰 페이즈 UI 기능을 구현하고 검증한다.</x:v>
      </x:c>
      <x:c r="D57" s="37" t="str">
        <x:v>최상</x:v>
      </x:c>
      <x:c r="E57" s="37" t="str">
        <x:v>UI·UX</x:v>
      </x:c>
      <x:c r="F57" s="37" t="str">
        <x:v>MVP</x:v>
      </x:c>
      <x:c r="G57" s="37" t="str">
        <x:v>UIX-018;핵심 규칙;MVP</x:v>
      </x:c>
      <x:c r="H57" s="37" t="str">
        <x:v>야간 UX</x:v>
      </x:c>
      <x:c r="I57" s="37"/>
      <x:c r="J57" s="37" t="str">
        <x:v>UIX-018</x:v>
      </x:c>
      <x:c r="K57" s="37" t="str">
        <x:v>대화 금지, 관찰 남은 시간, 투표 시작 예고를 표시하고 자신의 등 메모나 역할 추정에 연결되는 내부 정보를 노출하지 않는다.</x:v>
      </x:c>
      <x:c r="L57" s="37" t="str">
        <x:v>IGM-008,AUD-006</x:v>
      </x:c>
      <x:c r="M57" s="37" t="str">
        <x:v>TC-UIX-018-01, TC-UIX-018-02</x:v>
      </x:c>
      <x:c r="N57" s="37" t="str">
        <x:v>게임 기획서</x:v>
      </x:c>
      <x:c r="O57" s="37"/>
    </x:row>
    <x:row r="58" ht="42" customHeight="1">
      <x:c r="A58" s="37" t="str">
        <x:v>작업</x:v>
      </x:c>
      <x:c r="B58" s="37" t="str">
        <x:v>[UIX-019] 밤 강제 투표 UI</x:v>
      </x:c>
      <x:c r="C58" s="37" t="str">
        <x:v>게임 규칙, 운영 요구사항과 대상 플랫폼 제약을 충족하도록 밤 강제 투표 UI 기능을 구현하고 검증한다.</x:v>
      </x:c>
      <x:c r="D58" s="37" t="str">
        <x:v>최상</x:v>
      </x:c>
      <x:c r="E58" s="37" t="str">
        <x:v>UI·UX</x:v>
      </x:c>
      <x:c r="F58" s="37" t="str">
        <x:v>MVP</x:v>
      </x:c>
      <x:c r="G58" s="37" t="str">
        <x:v>UIX-019;핵심 규칙;MVP</x:v>
      </x:c>
      <x:c r="H58" s="37" t="str">
        <x:v>투표 UX</x:v>
      </x:c>
      <x:c r="I58" s="37"/>
      <x:c r="J58" s="37" t="str">
        <x:v>UIX-019</x:v>
      </x:c>
      <x:c r="K58" s="37" t="str">
        <x:v>생존자 1명만 선택하게 하고 확정 전 확인, 확정 완료, 마감, 미투표 규칙을 명시한다. 스킵 항목은 표시하지 않는다.</x:v>
      </x:c>
      <x:c r="L58" s="37" t="str">
        <x:v>IGM-023,NET-016</x:v>
      </x:c>
      <x:c r="M58" s="37" t="str">
        <x:v>TC-UIX-019-01, TC-UIX-019-02</x:v>
      </x:c>
      <x:c r="N58" s="37" t="str">
        <x:v>게임 기획서</x:v>
      </x:c>
      <x:c r="O58" s="37"/>
    </x:row>
    <x:row r="59" ht="42" customHeight="1">
      <x:c r="A59" s="37" t="str">
        <x:v>작업</x:v>
      </x:c>
      <x:c r="B59" s="37" t="str">
        <x:v>[UIX-020] 추방 결과·역할 공개 정책 표시</x:v>
      </x:c>
      <x:c r="C59" s="37" t="str">
        <x:v>게임 규칙, 운영 요구사항과 대상 플랫폼 제약을 충족하도록 추방 결과·역할 공개 정책 표시 기능을 구현하고 검증한다.</x:v>
      </x:c>
      <x:c r="D59" s="37" t="str">
        <x:v>최상</x:v>
      </x:c>
      <x:c r="E59" s="37" t="str">
        <x:v>UI·UX</x:v>
      </x:c>
      <x:c r="F59" s="37" t="str">
        <x:v>MVP</x:v>
      </x:c>
      <x:c r="G59" s="37" t="str">
        <x:v>UIX-020;정보 비공개;MVP</x:v>
      </x:c>
      <x:c r="H59" s="37" t="str">
        <x:v>투표 UX</x:v>
      </x:c>
      <x:c r="I59" s="37"/>
      <x:c r="J59" s="37" t="str">
        <x:v>UIX-020</x:v>
      </x:c>
      <x:c r="K59" s="37" t="str">
        <x:v>최다 득표자, 동률 처리, 탈락 결과를 정해진 시간 동안 표시하고 역할 공개 설정이 꺼진 경우 역할을 추정할 수 있는 시각적 차이를 만들지 않는다.</x:v>
      </x:c>
      <x:c r="L59" s="37" t="str">
        <x:v>IGM-024,IGM-025</x:v>
      </x:c>
      <x:c r="M59" s="37" t="str">
        <x:v>TC-UIX-020-01, TC-UIX-020-02</x:v>
      </x:c>
      <x:c r="N59" s="37" t="str">
        <x:v>게임 기획서</x:v>
      </x:c>
      <x:c r="O59" s="37"/>
    </x:row>
    <x:row r="60" ht="42" customHeight="1">
      <x:c r="A60" s="37" t="str">
        <x:v>작업</x:v>
      </x:c>
      <x:c r="B60" s="37" t="str">
        <x:v>[UIX-021] 최종 재판 메모 이력 화면</x:v>
      </x:c>
      <x:c r="C60" s="37" t="str">
        <x:v>게임 규칙, 운영 요구사항과 대상 플랫폼 제약을 충족하도록 최종 재판 메모 이력 화면 기능을 구현하고 검증한다.</x:v>
      </x:c>
      <x:c r="D60" s="37" t="str">
        <x:v>최상</x:v>
      </x:c>
      <x:c r="E60" s="37" t="str">
        <x:v>UI·UX</x:v>
      </x:c>
      <x:c r="F60" s="37" t="str">
        <x:v>MVP</x:v>
      </x:c>
      <x:c r="G60" s="37" t="str">
        <x:v>UIX-021;정보 비공개;MVP</x:v>
      </x:c>
      <x:c r="H60" s="37" t="str">
        <x:v>최종 재판 UX</x:v>
      </x:c>
      <x:c r="I60" s="37"/>
      <x:c r="J60" s="37" t="str">
        <x:v>UIX-021</x:v>
      </x:c>
      <x:c r="K60" s="37" t="str">
        <x:v>대상, 표시 색상, 내용, 부착 순서만 시간 흐름에 따라 볼 수 있고 실제 작성자, 부착자, 위조 여부, 정확한 시각 관련 열이나 툴팁은 제공하지 않는다.</x:v>
      </x:c>
      <x:c r="L60" s="37" t="str">
        <x:v>IGM-029,NET-018</x:v>
      </x:c>
      <x:c r="M60" s="37" t="str">
        <x:v>TC-UIX-021-01, TC-UIX-021-02</x:v>
      </x:c>
      <x:c r="N60" s="37" t="str">
        <x:v>게임 기획서</x:v>
      </x:c>
      <x:c r="O60" s="37"/>
    </x:row>
    <x:row r="61" ht="42" customHeight="1">
      <x:c r="A61" s="37" t="str">
        <x:v>작업</x:v>
      </x:c>
      <x:c r="B61" s="37" t="str">
        <x:v>[UIX-022] 최종 발언 순서·남은 시간 UI</x:v>
      </x:c>
      <x:c r="C61" s="37" t="str">
        <x:v>게임 규칙, 운영 요구사항과 대상 플랫폼 제약을 충족하도록 최종 발언 순서·남은 시간 UI 기능을 구현하고 검증한다.</x:v>
      </x:c>
      <x:c r="D61" s="37" t="str">
        <x:v>최상</x:v>
      </x:c>
      <x:c r="E61" s="37" t="str">
        <x:v>UI·UX</x:v>
      </x:c>
      <x:c r="F61" s="37" t="str">
        <x:v>MVP</x:v>
      </x:c>
      <x:c r="G61" s="37" t="str">
        <x:v>UIX-022;핵심 규칙;MVP</x:v>
      </x:c>
      <x:c r="H61" s="37" t="str">
        <x:v>최종 재판 UX</x:v>
      </x:c>
      <x:c r="I61" s="37"/>
      <x:c r="J61" s="37" t="str">
        <x:v>UIX-022</x:v>
      </x:c>
      <x:c r="K61" s="37" t="str">
        <x:v>현재 발언자, 남은 시간, 대기 순서를 표시하고 비발언자에게 마이크 차단 상태를 알린다. 발언 완료자는 발언권을 다시 받을 수 없다.</x:v>
      </x:c>
      <x:c r="L61" s="37" t="str">
        <x:v>IGM-030,AUD-008</x:v>
      </x:c>
      <x:c r="M61" s="37" t="str">
        <x:v>TC-UIX-022-01, TC-UIX-022-02</x:v>
      </x:c>
      <x:c r="N61" s="37" t="str">
        <x:v>게임 기획서</x:v>
      </x:c>
      <x:c r="O61" s="37"/>
    </x:row>
    <x:row r="62" ht="42" customHeight="1">
      <x:c r="A62" s="37" t="str">
        <x:v>작업</x:v>
      </x:c>
      <x:c r="B62" s="37" t="str">
        <x:v>[UIX-023] 최종 투표 UI</x:v>
      </x:c>
      <x:c r="C62" s="37" t="str">
        <x:v>게임 규칙, 운영 요구사항과 대상 플랫폼 제약을 충족하도록 최종 투표 UI 기능을 구현하고 검증한다.</x:v>
      </x:c>
      <x:c r="D62" s="37" t="str">
        <x:v>최상</x:v>
      </x:c>
      <x:c r="E62" s="37" t="str">
        <x:v>UI·UX</x:v>
      </x:c>
      <x:c r="F62" s="37" t="str">
        <x:v>MVP</x:v>
      </x:c>
      <x:c r="G62" s="37" t="str">
        <x:v>UIX-023;승패;MVP</x:v>
      </x:c>
      <x:c r="H62" s="37" t="str">
        <x:v>최종 재판 UX</x:v>
      </x:c>
      <x:c r="I62" s="37"/>
      <x:c r="J62" s="37" t="str">
        <x:v>UIX-023</x:v>
      </x:c>
      <x:c r="K62" s="37" t="str">
        <x:v>모든 최종 발언이 끝난 뒤에만 활성화되고 생존자 1명에게 투표할 수 있다. 일반 밤 투표와 최종 투표의 결과 표기를 혼동하지 않는다.</x:v>
      </x:c>
      <x:c r="L62" s="37" t="str">
        <x:v>IGM-031</x:v>
      </x:c>
      <x:c r="M62" s="37" t="str">
        <x:v>TC-UIX-023-01, TC-UIX-023-02</x:v>
      </x:c>
      <x:c r="N62" s="37" t="str">
        <x:v>게임 기획서</x:v>
      </x:c>
      <x:c r="O62" s="37"/>
    </x:row>
    <x:row r="63" ht="42" customHeight="1">
      <x:c r="A63" s="37" t="str">
        <x:v>작업</x:v>
      </x:c>
      <x:c r="B63" s="37" t="str">
        <x:v>[UIX-024] 승패·역할·주요 이력 결과 화면</x:v>
      </x:c>
      <x:c r="C63" s="37" t="str">
        <x:v>게임 규칙, 운영 요구사항과 대상 플랫폼 제약을 충족하도록 승패·역할·주요 이력 결과 화면 기능을 구현하고 검증한다.</x:v>
      </x:c>
      <x:c r="D63" s="37" t="str">
        <x:v>최상</x:v>
      </x:c>
      <x:c r="E63" s="37" t="str">
        <x:v>UI·UX</x:v>
      </x:c>
      <x:c r="F63" s="37" t="str">
        <x:v>MVP</x:v>
      </x:c>
      <x:c r="G63" s="37" t="str">
        <x:v>UIX-024;결과;MVP</x:v>
      </x:c>
      <x:c r="H63" s="37" t="str">
        <x:v>매치 종료 후</x:v>
      </x:c>
      <x:c r="I63" s="37"/>
      <x:c r="J63" s="37" t="str">
        <x:v>UIX-024</x:v>
      </x:c>
      <x:c r="K63" s="37" t="str">
        <x:v>승리 진영, 각 플레이어의 역할, 게임 시간, 투표 경과, 재대결·로비 나가기 동선을 표시하며 비공개 데이터는 경기 종료 후 공개 정책을 따른다.</x:v>
      </x:c>
      <x:c r="L63" s="37" t="str">
        <x:v>IGM-026,IGM-027,IGM-031,BED-006</x:v>
      </x:c>
      <x:c r="M63" s="37" t="str">
        <x:v>TC-UIX-024-01, TC-UIX-024-02</x:v>
      </x:c>
      <x:c r="N63" s="37" t="str">
        <x:v>게임 기획서</x:v>
      </x:c>
      <x:c r="O63" s="37"/>
    </x:row>
    <x:row r="64" ht="42" customHeight="1">
      <x:c r="A64" s="37" t="str">
        <x:v>작업</x:v>
      </x:c>
      <x:c r="B64" s="37" t="str">
        <x:v>[UIX-025] 연결 끊김·재접속·복원 UI</x:v>
      </x:c>
      <x:c r="C64" s="37" t="str">
        <x:v>게임 규칙, 운영 요구사항과 대상 플랫폼 제약을 충족하도록 연결 끊김·재접속·복원 UI 기능을 구현하고 검증한다.</x:v>
      </x:c>
      <x:c r="D64" s="37" t="str">
        <x:v>최상</x:v>
      </x:c>
      <x:c r="E64" s="37" t="str">
        <x:v>UI·UX</x:v>
      </x:c>
      <x:c r="F64" s="37" t="str">
        <x:v>알파</x:v>
      </x:c>
      <x:c r="G64" s="37" t="str">
        <x:v>UIX-025;안정성;알파</x:v>
      </x:c>
      <x:c r="H64" s="37" t="str">
        <x:v>복원력</x:v>
      </x:c>
      <x:c r="I64" s="37"/>
      <x:c r="J64" s="37" t="str">
        <x:v>UIX-025</x:v>
      </x:c>
      <x:c r="K64" s="37" t="str">
        <x:v>연결 끊김 감지, 재시도, 남은 유예 시간, 복원 중, 실패 사유, 로비 복귀를 구분해 표시하고 복원 완료 전에는 게임 조작을 받지 않는다.</x:v>
      </x:c>
      <x:c r="L64" s="37" t="str">
        <x:v>IGM-033,ONL-017,NET-019</x:v>
      </x:c>
      <x:c r="M64" s="37" t="str">
        <x:v>TC-UIX-025-01, TC-UIX-025-02</x:v>
      </x:c>
      <x:c r="N64" s="37" t="str">
        <x:v>게임 기획서</x:v>
      </x:c>
      <x:c r="O64" s="37"/>
    </x:row>
    <x:row r="65" ht="42" customHeight="1">
      <x:c r="A65" s="37" t="str">
        <x:v>작업</x:v>
      </x:c>
      <x:c r="B65" s="37" t="str">
        <x:v>[UIX-026] 사용자용 오류 코드·복구 동선</x:v>
      </x:c>
      <x:c r="C65" s="37" t="str">
        <x:v>게임 규칙, 운영 요구사항과 대상 플랫폼 제약을 충족하도록 사용자용 오류 코드·복구 동선 기능을 구현하고 검증한다.</x:v>
      </x:c>
      <x:c r="D65" s="37" t="str">
        <x:v>최상</x:v>
      </x:c>
      <x:c r="E65" s="37" t="str">
        <x:v>UI·UX</x:v>
      </x:c>
      <x:c r="F65" s="37" t="str">
        <x:v>알파</x:v>
      </x:c>
      <x:c r="G65" s="37" t="str">
        <x:v>UIX-026;운영;알파</x:v>
      </x:c>
      <x:c r="H65" s="37" t="str">
        <x:v>오류 처리</x:v>
      </x:c>
      <x:c r="I65" s="37"/>
      <x:c r="J65" s="37" t="str">
        <x:v>UIX-026</x:v>
      </x:c>
      <x:c r="K65" s="37" t="str">
        <x:v>온라인, 설정, 메모, 투표, 음성의 대표 오류를 원인별로 표시하고 재시도, 설정 변경, 지원 코드 확인 경로를 제공한다.</x:v>
      </x:c>
      <x:c r="L65" s="37" t="str">
        <x:v>ONL-020,NET-025,BED-018</x:v>
      </x:c>
      <x:c r="M65" s="37" t="str">
        <x:v>TC-UIX-026-01, TC-UIX-026-02</x:v>
      </x:c>
      <x:c r="N65" s="37" t="str">
        <x:v>게임 기획서</x:v>
      </x:c>
      <x:c r="O65" s="37"/>
    </x:row>
    <x:row r="66" ht="42" customHeight="1">
      <x:c r="A66" s="37" t="str">
        <x:v>작업</x:v>
      </x:c>
      <x:c r="B66" s="37" t="str">
        <x:v>[UIX-027] 5분 이내 핵심 규칙 온보딩</x:v>
      </x:c>
      <x:c r="C66" s="37" t="str">
        <x:v>게임 규칙, 운영 요구사항과 대상 플랫폼 제약을 충족하도록 5분 이내 핵심 규칙 온보딩 기능을 구현하고 검증한다.</x:v>
      </x:c>
      <x:c r="D66" s="37" t="str">
        <x:v>최상</x:v>
      </x:c>
      <x:c r="E66" s="37" t="str">
        <x:v>UI·UX</x:v>
      </x:c>
      <x:c r="F66" s="37" t="str">
        <x:v>알파</x:v>
      </x:c>
      <x:c r="G66" s="37" t="str">
        <x:v>UIX-027;이해도;알파</x:v>
      </x:c>
      <x:c r="H66" s="37" t="str">
        <x:v>온보딩</x:v>
      </x:c>
      <x:c r="I66" s="37"/>
      <x:c r="J66" s="37" t="str">
        <x:v>UIX-027</x:v>
      </x:c>
      <x:c r="K66" s="37" t="str">
        <x:v>‘자신의 등은 볼 수 없음’, ‘색상은 위조 가능’, ‘밤에는 대화 불가’, ‘매일 밤 반드시 1명 투표’를 직접 조작하며 학습하고 건너뛰기와 재열람을 지원한다.</x:v>
      </x:c>
      <x:c r="L66" s="37" t="str">
        <x:v>IGM-012,IGM-019,IGM-023,BED-003</x:v>
      </x:c>
      <x:c r="M66" s="37" t="str">
        <x:v>TC-UIX-027-01, TC-UIX-027-02</x:v>
      </x:c>
      <x:c r="N66" s="37" t="str">
        <x:v>게임 기획서</x:v>
      </x:c>
      <x:c r="O66" s="37"/>
    </x:row>
    <x:row r="67" ht="42" customHeight="1">
      <x:c r="A67" s="37" t="str">
        <x:v>작업</x:v>
      </x:c>
      <x:c r="B67" s="37" t="str">
        <x:v>[UIX-028] 색각 보조 패턴·아이콘 적용</x:v>
      </x:c>
      <x:c r="C67" s="37" t="str">
        <x:v>게임 규칙, 운영 요구사항과 대상 플랫폼 제약을 충족하도록 색각 보조 패턴·아이콘 적용 기능을 구현하고 검증한다.</x:v>
      </x:c>
      <x:c r="D67" s="37" t="str">
        <x:v>최상</x:v>
      </x:c>
      <x:c r="E67" s="37" t="str">
        <x:v>UI·UX</x:v>
      </x:c>
      <x:c r="F67" s="37" t="str">
        <x:v>베타</x:v>
      </x:c>
      <x:c r="G67" s="37" t="str">
        <x:v>UIX-028;접근성;베타</x:v>
      </x:c>
      <x:c r="H67" s="37" t="str">
        <x:v>접근성</x:v>
      </x:c>
      <x:c r="I67" s="37"/>
      <x:c r="J67" s="37" t="str">
        <x:v>UIX-028</x:v>
      </x:c>
      <x:c r="K67" s="37" t="str">
        <x:v>플레이어 색상과 메모 색상에 형태, 패턴, 기호를 함께 표시해 색상만으로 중요한 판단을 요구하는 화면이 없도록 한다.</x:v>
      </x:c>
      <x:c r="L67" s="37" t="str">
        <x:v>SET-024,CHR-015</x:v>
      </x:c>
      <x:c r="M67" s="37" t="str">
        <x:v>TC-UIX-028-01, TC-UIX-028-02</x:v>
      </x:c>
      <x:c r="N67" s="37" t="str">
        <x:v>게임 기획서</x:v>
      </x:c>
      <x:c r="O67" s="37"/>
    </x:row>
    <x:row r="68" ht="42" customHeight="1">
      <x:c r="A68" s="37" t="str">
        <x:v>작업</x:v>
      </x:c>
      <x:c r="B68" s="37" t="str">
        <x:v>[UIX-029] 현지화·가변 문자열·입력 장치 대응</x:v>
      </x:c>
      <x:c r="C68" s="37" t="str">
        <x:v>게임 규칙, 운영 요구사항과 대상 플랫폼 제약을 충족하도록 현지화·가변 문자열·입력 장치 대응 기능을 구현하고 검증한다.</x:v>
      </x:c>
      <x:c r="D68" s="37" t="str">
        <x:v>높음</x:v>
      </x:c>
      <x:c r="E68" s="37" t="str">
        <x:v>UI·UX</x:v>
      </x:c>
      <x:c r="F68" s="37" t="str">
        <x:v>베타</x:v>
      </x:c>
      <x:c r="G68" s="37" t="str">
        <x:v>UIX-029;호환성;베타</x:v>
      </x:c>
      <x:c r="H68" s="37" t="str">
        <x:v>플랫폼 UX</x:v>
      </x:c>
      <x:c r="I68" s="37"/>
      <x:c r="J68" s="37" t="str">
        <x:v>UIX-029</x:v>
      </x:c>
      <x:c r="K68" s="37" t="str">
        <x:v>한국어·영어 등 지원 언어의 가변 길이와 줄바꿈, 게임패드, 키보드·마우스, 입력 아이콘 전환, 세이프 영역, 16:9·16:10·21:9 화면에서 주요 UI가 잘리지 않는다.</x:v>
      </x:c>
      <x:c r="L68" s="37" t="str">
        <x:v>SET-004,SET-006</x:v>
      </x:c>
      <x:c r="M68" s="37" t="str">
        <x:v>TC-UIX-029-01</x:v>
      </x:c>
      <x:c r="N68" s="37" t="str">
        <x:v>게임 기획서</x:v>
      </x:c>
      <x:c r="O68" s="37"/>
    </x:row>
    <x:row r="69" ht="42" customHeight="1">
      <x:c r="A69" s="37" t="str">
        <x:v>작업</x:v>
      </x:c>
      <x:c r="B69" s="37" t="str">
        <x:v>[UIX-030] 사진 메모 촬영·확인·부착 UI</x:v>
      </x:c>
      <x:c r="C69" s="37" t="str">
        <x:v>게임 규칙, 운영 요구사항과 대상 플랫폼 제약을 충족하도록 사진 메모 촬영·확인·부착 UI 기능을 구현하고 검증한다.</x:v>
      </x:c>
      <x:c r="D69" s="37" t="str">
        <x:v>중간</x:v>
      </x:c>
      <x:c r="E69" s="37" t="str">
        <x:v>UI·UX</x:v>
      </x:c>
      <x:c r="F69" s="37" t="str">
        <x:v>출시 후</x:v>
      </x:c>
      <x:c r="G69" s="37" t="str">
        <x:v>UIX-030;확장;출시 후</x:v>
      </x:c>
      <x:c r="H69" s="37" t="str">
        <x:v>확장</x:v>
      </x:c>
      <x:c r="I69" s="37"/>
      <x:c r="J69" s="37" t="str">
        <x:v>UIX-030</x:v>
      </x:c>
      <x:c r="K69" s="37" t="str">
        <x:v>촬영 가능 횟수, 좁은 화각, 흐림 효과, 확인, 폐기, 부착 상태를 표시하고 사진에서 내부 ID나 정확한 시각이 노출되지 않는다.</x:v>
      </x:c>
      <x:c r="L69" s="37" t="str">
        <x:v>IGM-034,CNT-029</x:v>
      </x:c>
      <x:c r="M69" s="37" t="str">
        <x:v>TC-UIX-030-01</x:v>
      </x:c>
      <x:c r="N69" s="37" t="str">
        <x:v>게임 기획서</x:v>
      </x:c>
      <x:c r="O69" s="37"/>
    </x:row>
    <x:row r="70" ht="42" customHeight="1">
      <x:c r="A70" s="37" t="str">
        <x:v>작업</x:v>
      </x:c>
      <x:c r="B70" s="37" t="str">
        <x:v>[SET-001] 설정 키·형식·기본값·적용 범위 공통 스키마</x:v>
      </x:c>
      <x:c r="C70" s="37" t="str">
        <x:v>게임 규칙, 운영 요구사항과 대상 플랫폼 제약을 충족하도록 설정 키·형식·기본값·적용 범위 공통 스키마 기능을 구현하고 검증한다.</x:v>
      </x:c>
      <x:c r="D70" s="37" t="str">
        <x:v>최상</x:v>
      </x:c>
      <x:c r="E70" s="37" t="str">
        <x:v>게임 설정·접근성</x:v>
      </x:c>
      <x:c r="F70" s="37" t="str">
        <x:v>MVP</x:v>
      </x:c>
      <x:c r="G70" s="37" t="str">
        <x:v>SET-001;설정 기반;MVP</x:v>
      </x:c>
      <x:c r="H70" s="37" t="str">
        <x:v>설정 프레임워크</x:v>
      </x:c>
      <x:c r="I70" s="37"/>
      <x:c r="J70" s="37" t="str">
        <x:v>SET-001</x:v>
      </x:c>
      <x:c r="K70" s="37" t="str">
        <x:v>각 설정에 고유 키, 데이터 형식, 기본값, 최솟값·최댓값, 적용 시점, 권한, 저장 범위, 버전을 정의하고 알 수 없는 키는 안전하게 무시한다.</x:v>
      </x:c>
      <x:c r="L70" s="37"/>
      <x:c r="M70" s="37" t="str">
        <x:v>TC-SET-001-01, TC-SET-001-02</x:v>
      </x:c>
      <x:c r="N70" s="37" t="str">
        <x:v>게임 기획서</x:v>
      </x:c>
      <x:c r="O70" s="37"/>
    </x:row>
    <x:row r="71" ht="42" customHeight="1">
      <x:c r="A71" s="37" t="str">
        <x:v>작업</x:v>
      </x:c>
      <x:c r="B71" s="37" t="str">
        <x:v>[SET-002] 설정 저장·버전 마이그레이션</x:v>
      </x:c>
      <x:c r="C71" s="37" t="str">
        <x:v>게임 규칙, 운영 요구사항과 대상 플랫폼 제약을 충족하도록 설정 저장·버전 마이그레이션 기능을 구현하고 검증한다.</x:v>
      </x:c>
      <x:c r="D71" s="37" t="str">
        <x:v>최상</x:v>
      </x:c>
      <x:c r="E71" s="37" t="str">
        <x:v>게임 설정·접근성</x:v>
      </x:c>
      <x:c r="F71" s="37" t="str">
        <x:v>MVP</x:v>
      </x:c>
      <x:c r="G71" s="37" t="str">
        <x:v>SET-002;설정 기반;MVP</x:v>
      </x:c>
      <x:c r="H71" s="37" t="str">
        <x:v>설정 프레임워크</x:v>
      </x:c>
      <x:c r="I71" s="37"/>
      <x:c r="J71" s="37" t="str">
        <x:v>SET-002</x:v>
      </x:c>
      <x:c r="K71" s="37" t="str">
        <x:v>기기, 계정, 룸 설정을 올바른 저장 영역에 보관하고 이전 버전 설정의 마이그레이션이 실패하면 기본값으로 안전하게 복구한다.</x:v>
      </x:c>
      <x:c r="L71" s="37" t="str">
        <x:v>SET-001,BED-003</x:v>
      </x:c>
      <x:c r="M71" s="37" t="str">
        <x:v>TC-SET-002-01, TC-SET-002-02</x:v>
      </x:c>
      <x:c r="N71" s="37" t="str">
        <x:v>게임 기획서</x:v>
      </x:c>
      <x:c r="O71" s="37"/>
    </x:row>
    <x:row r="72" ht="42" customHeight="1">
      <x:c r="A72" s="37" t="str">
        <x:v>작업</x:v>
      </x:c>
      <x:c r="B72" s="37" t="str">
        <x:v>[SET-003] 범주별·전체 설정 초기화</x:v>
      </x:c>
      <x:c r="C72" s="37" t="str">
        <x:v>게임 규칙, 운영 요구사항과 대상 플랫폼 제약을 충족하도록 범주별·전체 설정 초기화 기능을 구현하고 검증한다.</x:v>
      </x:c>
      <x:c r="D72" s="37" t="str">
        <x:v>높음</x:v>
      </x:c>
      <x:c r="E72" s="37" t="str">
        <x:v>게임 설정·접근성</x:v>
      </x:c>
      <x:c r="F72" s="37" t="str">
        <x:v>MVP</x:v>
      </x:c>
      <x:c r="G72" s="37" t="str">
        <x:v>SET-003;설정 기반;MVP</x:v>
      </x:c>
      <x:c r="H72" s="37" t="str">
        <x:v>설정 프레임워크</x:v>
      </x:c>
      <x:c r="I72" s="37"/>
      <x:c r="J72" s="37" t="str">
        <x:v>SET-003</x:v>
      </x:c>
      <x:c r="K72" s="37" t="str">
        <x:v>그래픽, 오디오, 조작, 접근성, 온라인 설정을 범주별 또는 전체로 초기화할 수 있으며 확인 절차를 거친다.</x:v>
      </x:c>
      <x:c r="L72" s="37" t="str">
        <x:v>SET-001</x:v>
      </x:c>
      <x:c r="M72" s="37" t="str">
        <x:v>TC-SET-003-01</x:v>
      </x:c>
      <x:c r="N72" s="37" t="str">
        <x:v>게임 기획서</x:v>
      </x:c>
      <x:c r="O72" s="37"/>
    </x:row>
    <x:row r="73" ht="42" customHeight="1">
      <x:c r="A73" s="37" t="str">
        <x:v>작업</x:v>
      </x:c>
      <x:c r="B73" s="37" t="str">
        <x:v>[SET-004] 표시 언어·현지화 선택</x:v>
      </x:c>
      <x:c r="C73" s="37" t="str">
        <x:v>게임 규칙, 운영 요구사항과 대상 플랫폼 제약을 충족하도록 표시 언어·현지화 선택 기능을 구현하고 검증한다.</x:v>
      </x:c>
      <x:c r="D73" s="37" t="str">
        <x:v>높음</x:v>
      </x:c>
      <x:c r="E73" s="37" t="str">
        <x:v>게임 설정·접근성</x:v>
      </x:c>
      <x:c r="F73" s="37" t="str">
        <x:v>베타</x:v>
      </x:c>
      <x:c r="G73" s="37" t="str">
        <x:v>SET-004;현지화;베타</x:v>
      </x:c>
      <x:c r="H73" s="37" t="str">
        <x:v>일반</x:v>
      </x:c>
      <x:c r="I73" s="37"/>
      <x:c r="J73" s="37" t="str">
        <x:v>SET-004</x:v>
      </x:c>
      <x:c r="K73" s="37" t="str">
        <x:v>최초 실행 시 OS 또는 플랫폼 언어를 참조하고 설정 화면에서 즉시 변경할 수 있으며 개발 빌드에서 미번역 키를 탐지한다.</x:v>
      </x:c>
      <x:c r="L73" s="37" t="str">
        <x:v>SET-001</x:v>
      </x:c>
      <x:c r="M73" s="37" t="str">
        <x:v>TC-SET-004-01</x:v>
      </x:c>
      <x:c r="N73" s="37" t="str">
        <x:v>게임 기획서</x:v>
      </x:c>
      <x:c r="O73" s="37"/>
    </x:row>
    <x:row r="74" ht="42" customHeight="1">
      <x:c r="A74" s="37" t="str">
        <x:v>작업</x:v>
      </x:c>
      <x:c r="B74" s="37" t="str">
        <x:v>[SET-005] 화면·품질·FOV 설정</x:v>
      </x:c>
      <x:c r="C74" s="37" t="str">
        <x:v>게임 규칙, 운영 요구사항과 대상 플랫폼 제약을 충족하도록 화면·품질·FOV 설정 기능을 구현하고 검증한다.</x:v>
      </x:c>
      <x:c r="D74" s="37" t="str">
        <x:v>높음</x:v>
      </x:c>
      <x:c r="E74" s="37" t="str">
        <x:v>게임 설정·접근성</x:v>
      </x:c>
      <x:c r="F74" s="37" t="str">
        <x:v>베타</x:v>
      </x:c>
      <x:c r="G74" s="37" t="str">
        <x:v>SET-005;호환성;베타</x:v>
      </x:c>
      <x:c r="H74" s="37" t="str">
        <x:v>클라이언트 설정</x:v>
      </x:c>
      <x:c r="I74" s="37"/>
      <x:c r="J74" s="37" t="str">
        <x:v>SET-005</x:v>
      </x:c>
      <x:c r="K74" s="37" t="str">
        <x:v>해상도, 화면 모드, 품질 프리셋, FOV, 밝기를 변경할 수 있고 등 메모 판독성을 해칠 수 있는 범위는 제한하거나 경고한다.</x:v>
      </x:c>
      <x:c r="L74" s="37" t="str">
        <x:v>SET-001,CHR-012</x:v>
      </x:c>
      <x:c r="M74" s="37" t="str">
        <x:v>TC-SET-005-01</x:v>
      </x:c>
      <x:c r="N74" s="37" t="str">
        <x:v>게임 기획서</x:v>
      </x:c>
      <x:c r="O74" s="37"/>
    </x:row>
    <x:row r="75" ht="42" customHeight="1">
      <x:c r="A75" s="37" t="str">
        <x:v>작업</x:v>
      </x:c>
      <x:c r="B75" s="37" t="str">
        <x:v>[SET-006] 입력 바인딩·감도·데드존 설정</x:v>
      </x:c>
      <x:c r="C75" s="37" t="str">
        <x:v>게임 규칙, 운영 요구사항과 대상 플랫폼 제약을 충족하도록 입력 바인딩·감도·데드존 설정 기능을 구현하고 검증한다.</x:v>
      </x:c>
      <x:c r="D75" s="37" t="str">
        <x:v>높음</x:v>
      </x:c>
      <x:c r="E75" s="37" t="str">
        <x:v>게임 설정·접근성</x:v>
      </x:c>
      <x:c r="F75" s="37" t="str">
        <x:v>베타</x:v>
      </x:c>
      <x:c r="G75" s="37" t="str">
        <x:v>SET-006;조작;베타</x:v>
      </x:c>
      <x:c r="H75" s="37" t="str">
        <x:v>클라이언트 설정</x:v>
      </x:c>
      <x:c r="I75" s="37"/>
      <x:c r="J75" s="37" t="str">
        <x:v>SET-006</x:v>
      </x:c>
      <x:c r="K75" s="37" t="str">
        <x:v>키보드·마우스와 게임패드 재지정, 축 반전, 감도, 데드존을 설정할 수 있고 필수 조작의 중복 지정과 미지정을 방지한다.</x:v>
      </x:c>
      <x:c r="L75" s="37" t="str">
        <x:v>SET-001</x:v>
      </x:c>
      <x:c r="M75" s="37" t="str">
        <x:v>TC-SET-006-01</x:v>
      </x:c>
      <x:c r="N75" s="37" t="str">
        <x:v>게임 기획서</x:v>
      </x:c>
      <x:c r="O75" s="37"/>
    </x:row>
    <x:row r="76" ht="42" customHeight="1">
      <x:c r="A76" s="37" t="str">
        <x:v>작업</x:v>
      </x:c>
      <x:c r="B76" s="37" t="str">
        <x:v>[SET-007] BGM·효과음·UI·음성 볼륨 분리</x:v>
      </x:c>
      <x:c r="C76" s="37" t="str">
        <x:v>게임 규칙, 운영 요구사항과 대상 플랫폼 제약을 충족하도록 BGM·효과음·UI·음성 볼륨 분리 기능을 구현하고 검증한다.</x:v>
      </x:c>
      <x:c r="D76" s="37" t="str">
        <x:v>최상</x:v>
      </x:c>
      <x:c r="E76" s="37" t="str">
        <x:v>게임 설정·접근성</x:v>
      </x:c>
      <x:c r="F76" s="37" t="str">
        <x:v>알파</x:v>
      </x:c>
      <x:c r="G76" s="37" t="str">
        <x:v>SET-007;오디오;알파</x:v>
      </x:c>
      <x:c r="H76" s="37" t="str">
        <x:v>클라이언트 설정</x:v>
      </x:c>
      <x:c r="I76" s="37"/>
      <x:c r="J76" s="37" t="str">
        <x:v>SET-007</x:v>
      </x:c>
      <x:c r="K76" s="37" t="str">
        <x:v>마스터, BGM, 효과음, UI, 음성 채팅, 마이크 게인을 개별 조절할 수 있고 음소거 상태가 매치 전환 중 임의로 해제되지 않는다.</x:v>
      </x:c>
      <x:c r="L76" s="37" t="str">
        <x:v>SET-001,AUD-001</x:v>
      </x:c>
      <x:c r="M76" s="37" t="str">
        <x:v>TC-SET-007-01, TC-SET-007-02</x:v>
      </x:c>
      <x:c r="N76" s="37" t="str">
        <x:v>게임 기획서</x:v>
      </x:c>
      <x:c r="O76" s="37"/>
    </x:row>
    <x:row r="77" ht="42" customHeight="1">
      <x:c r="A77" s="37" t="str">
        <x:v>작업</x:v>
      </x:c>
      <x:c r="B77" s="37" t="str">
        <x:v>[SET-008] 음성 방식·입출력 장치·동의 설정</x:v>
      </x:c>
      <x:c r="C77" s="37" t="str">
        <x:v>게임 규칙, 운영 요구사항과 대상 플랫폼 제약을 충족하도록 음성 방식·입출력 장치·동의 설정 기능을 구현하고 검증한다.</x:v>
      </x:c>
      <x:c r="D77" s="37" t="str">
        <x:v>최상</x:v>
      </x:c>
      <x:c r="E77" s="37" t="str">
        <x:v>게임 설정·접근성</x:v>
      </x:c>
      <x:c r="F77" s="37" t="str">
        <x:v>알파</x:v>
      </x:c>
      <x:c r="G77" s="37" t="str">
        <x:v>SET-008;개인정보;알파</x:v>
      </x:c>
      <x:c r="H77" s="37" t="str">
        <x:v>클라이언트 설정</x:v>
      </x:c>
      <x:c r="I77" s="37"/>
      <x:c r="J77" s="37" t="str">
        <x:v>SET-008</x:v>
      </x:c>
      <x:c r="K77" s="37" t="str">
        <x:v>PTT·오픈 마이크, 입력·출력 장치, 음성 활성화, 최초 동의, 지역·연령 제한을 설정할 수 있다.</x:v>
      </x:c>
      <x:c r="L77" s="37" t="str">
        <x:v>SET-001,AUD-002,BED-012</x:v>
      </x:c>
      <x:c r="M77" s="37" t="str">
        <x:v>TC-SET-008-01, TC-SET-008-02</x:v>
      </x:c>
      <x:c r="N77" s="37" t="str">
        <x:v>게임 기획서</x:v>
      </x:c>
      <x:c r="O77" s="37"/>
    </x:row>
    <x:row r="78" ht="42" customHeight="1">
      <x:c r="A78" s="37" t="str">
        <x:v>작업</x:v>
      </x:c>
      <x:c r="B78" s="37" t="str">
        <x:v>[SET-009] 권장 룸 프리셋</x:v>
      </x:c>
      <x:c r="C78" s="37" t="str">
        <x:v>게임 규칙, 운영 요구사항과 대상 플랫폼 제약을 충족하도록 권장 룸 프리셋 기능을 구현하고 검증한다.</x:v>
      </x:c>
      <x:c r="D78" s="37" t="str">
        <x:v>최상</x:v>
      </x:c>
      <x:c r="E78" s="37" t="str">
        <x:v>게임 설정·접근성</x:v>
      </x:c>
      <x:c r="F78" s="37" t="str">
        <x:v>MVP</x:v>
      </x:c>
      <x:c r="G78" s="37" t="str">
        <x:v>SET-009;규칙;MVP</x:v>
      </x:c>
      <x:c r="H78" s="37" t="str">
        <x:v>룸 규칙</x:v>
      </x:c>
      <x:c r="I78" s="37"/>
      <x:c r="J78" s="37" t="str">
        <x:v>SET-009</x:v>
      </x:c>
      <x:c r="K78" s="37" t="str">
        <x:v>5~6명, 마피아 1명, 낮 180초, 밤 관찰 25초, 투표 15초, 위조 1회, 5일째 최종 재판의 권장값을 한 번에 적용한다.</x:v>
      </x:c>
      <x:c r="L78" s="37" t="str">
        <x:v>SET-001</x:v>
      </x:c>
      <x:c r="M78" s="37" t="str">
        <x:v>TC-SET-009-01, TC-SET-009-02</x:v>
      </x:c>
      <x:c r="N78" s="37" t="str">
        <x:v>게임 기획서</x:v>
      </x:c>
      <x:c r="O78" s="37"/>
    </x:row>
    <x:row r="79" ht="42" customHeight="1">
      <x:c r="A79" s="37" t="str">
        <x:v>작업</x:v>
      </x:c>
      <x:c r="B79" s="37" t="str">
        <x:v>[SET-010] 인원·마피아 수 조합 제한</x:v>
      </x:c>
      <x:c r="C79" s="37" t="str">
        <x:v>게임 규칙, 운영 요구사항과 대상 플랫폼 제약을 충족하도록 인원·마피아 수 조합 제한 기능을 구현하고 검증한다.</x:v>
      </x:c>
      <x:c r="D79" s="37" t="str">
        <x:v>최상</x:v>
      </x:c>
      <x:c r="E79" s="37" t="str">
        <x:v>게임 설정·접근성</x:v>
      </x:c>
      <x:c r="F79" s="37" t="str">
        <x:v>MVP</x:v>
      </x:c>
      <x:c r="G79" s="37" t="str">
        <x:v>SET-010;규칙;MVP</x:v>
      </x:c>
      <x:c r="H79" s="37" t="str">
        <x:v>룸 규칙</x:v>
      </x:c>
      <x:c r="I79" s="37"/>
      <x:c r="J79" s="37" t="str">
        <x:v>SET-010</x:v>
      </x:c>
      <x:c r="K79" s="37" t="str">
        <x:v>MVP는 4~6명·마피아 1명으로 제한하고 출시 후 7~8명·마피아 2명은 기능 플래그로 분리하며 모순된 조합은 만들 수 없다.</x:v>
      </x:c>
      <x:c r="L79" s="37" t="str">
        <x:v>SET-009,ONL-007</x:v>
      </x:c>
      <x:c r="M79" s="37" t="str">
        <x:v>TC-SET-010-01, TC-SET-010-02</x:v>
      </x:c>
      <x:c r="N79" s="37" t="str">
        <x:v>게임 기획서</x:v>
      </x:c>
      <x:c r="O79" s="37"/>
    </x:row>
    <x:row r="80" ht="42" customHeight="1">
      <x:c r="A80" s="37" t="str">
        <x:v>작업</x:v>
      </x:c>
      <x:c r="B80" s="37" t="str">
        <x:v>[SET-011] 밤·최종 투표 동률 정책</x:v>
      </x:c>
      <x:c r="C80" s="37" t="str">
        <x:v>게임 규칙, 운영 요구사항과 대상 플랫폼 제약을 충족하도록 밤·최종 투표 동률 정책 기능을 구현하고 검증한다.</x:v>
      </x:c>
      <x:c r="D80" s="37" t="str">
        <x:v>최상</x:v>
      </x:c>
      <x:c r="E80" s="37" t="str">
        <x:v>게임 설정·접근성</x:v>
      </x:c>
      <x:c r="F80" s="37" t="str">
        <x:v>MVP</x:v>
      </x:c>
      <x:c r="G80" s="37" t="str">
        <x:v>SET-011;규칙 결정;MVP</x:v>
      </x:c>
      <x:c r="H80" s="37" t="str">
        <x:v>룸 규칙</x:v>
      </x:c>
      <x:c r="I80" s="37"/>
      <x:c r="J80" s="37" t="str">
        <x:v>SET-011</x:v>
      </x:c>
      <x:c r="K80" s="37" t="str">
        <x:v>재투표, 동률자 무작위 선택, 추방 없음 등의 후보 중 제품 정책 하나를 확정하고 설정 가능 여부와 설명 문구를 일치시킨다.</x:v>
      </x:c>
      <x:c r="L80" s="37" t="str">
        <x:v>SET-001,IGM-024</x:v>
      </x:c>
      <x:c r="M80" s="37" t="str">
        <x:v>TC-SET-011-01, TC-SET-011-02</x:v>
      </x:c>
      <x:c r="N80" s="37" t="str">
        <x:v>게임 기획서</x:v>
      </x:c>
      <x:c r="O80" s="37"/>
    </x:row>
    <x:row r="81" ht="42" customHeight="1">
      <x:c r="A81" s="37" t="str">
        <x:v>작업</x:v>
      </x:c>
      <x:c r="B81" s="37" t="str">
        <x:v>[SET-012] 낮·밤 관찰·투표·최종 발언 타이머</x:v>
      </x:c>
      <x:c r="C81" s="37" t="str">
        <x:v>게임 규칙, 운영 요구사항과 대상 플랫폼 제약을 충족하도록 낮·밤 관찰·투표·최종 발언 타이머 기능을 구현하고 검증한다.</x:v>
      </x:c>
      <x:c r="D81" s="37" t="str">
        <x:v>최상</x:v>
      </x:c>
      <x:c r="E81" s="37" t="str">
        <x:v>게임 설정·접근성</x:v>
      </x:c>
      <x:c r="F81" s="37" t="str">
        <x:v>MVP</x:v>
      </x:c>
      <x:c r="G81" s="37" t="str">
        <x:v>SET-012;규칙;MVP</x:v>
      </x:c>
      <x:c r="H81" s="37" t="str">
        <x:v>룸 규칙</x:v>
      </x:c>
      <x:c r="I81" s="37"/>
      <x:c r="J81" s="37" t="str">
        <x:v>SET-012</x:v>
      </x:c>
      <x:c r="K81" s="37" t="str">
        <x:v>각 타이머를 허용 범위 안에서 조정할 수 있고 0초, 극단값, 상호 모순 조합을 거부하며 모든 클라이언트에 확정값을 표시한다.</x:v>
      </x:c>
      <x:c r="L81" s="37" t="str">
        <x:v>SET-001,IGM-004,IGM-008</x:v>
      </x:c>
      <x:c r="M81" s="37" t="str">
        <x:v>TC-SET-012-01, TC-SET-012-02</x:v>
      </x:c>
      <x:c r="N81" s="37" t="str">
        <x:v>게임 기획서</x:v>
      </x:c>
      <x:c r="O81" s="37"/>
    </x:row>
    <x:row r="82" ht="42" customHeight="1">
      <x:c r="A82" s="37" t="str">
        <x:v>작업</x:v>
      </x:c>
      <x:c r="B82" s="37" t="str">
        <x:v>[SET-013] 최종 재판 발동 조건 설정</x:v>
      </x:c>
      <x:c r="C82" s="37" t="str">
        <x:v>게임 규칙, 운영 요구사항과 대상 플랫폼 제약을 충족하도록 최종 재판 발동 조건 설정 기능을 구현하고 검증한다.</x:v>
      </x:c>
      <x:c r="D82" s="37" t="str">
        <x:v>최상</x:v>
      </x:c>
      <x:c r="E82" s="37" t="str">
        <x:v>게임 설정·접근성</x:v>
      </x:c>
      <x:c r="F82" s="37" t="str">
        <x:v>MVP</x:v>
      </x:c>
      <x:c r="G82" s="37" t="str">
        <x:v>SET-013;승패;MVP</x:v>
      </x:c>
      <x:c r="H82" s="37" t="str">
        <x:v>룸 규칙</x:v>
      </x:c>
      <x:c r="I82" s="37"/>
      <x:c r="J82" s="37" t="str">
        <x:v>SET-013</x:v>
      </x:c>
      <x:c r="K82" s="37" t="str">
        <x:v>모든 미니게임 완료, 생존자 임계값, 지정 밤의 활성 여부와 값을 검증하고 최소 하나의 발동 조건 또는 안전 상한을 필수로 둔다.</x:v>
      </x:c>
      <x:c r="L82" s="37" t="str">
        <x:v>SET-001,IGM-028</x:v>
      </x:c>
      <x:c r="M82" s="37" t="str">
        <x:v>TC-SET-013-01, TC-SET-013-02</x:v>
      </x:c>
      <x:c r="N82" s="37" t="str">
        <x:v>게임 기획서</x:v>
      </x:c>
      <x:c r="O82" s="37"/>
    </x:row>
    <x:row r="83" ht="42" customHeight="1">
      <x:c r="A83" s="37" t="str">
        <x:v>작업</x:v>
      </x:c>
      <x:c r="B83" s="37" t="str">
        <x:v>[SET-014] 메모 보유·등 표시 상한·부착 시간 설정</x:v>
      </x:c>
      <x:c r="C83" s="37" t="str">
        <x:v>게임 규칙, 운영 요구사항과 대상 플랫폼 제약을 충족하도록 메모 보유·등 표시 상한·부착 시간 설정 기능을 구현하고 검증한다.</x:v>
      </x:c>
      <x:c r="D83" s="37" t="str">
        <x:v>높음</x:v>
      </x:c>
      <x:c r="E83" s="37" t="str">
        <x:v>게임 설정·접근성</x:v>
      </x:c>
      <x:c r="F83" s="37" t="str">
        <x:v>MVP</x:v>
      </x:c>
      <x:c r="G83" s="37" t="str">
        <x:v>SET-014;메모;MVP</x:v>
      </x:c>
      <x:c r="H83" s="37" t="str">
        <x:v>룸 규칙</x:v>
      </x:c>
      <x:c r="I83" s="37"/>
      <x:c r="J83" s="37" t="str">
        <x:v>SET-014</x:v>
      </x:c>
      <x:c r="K83" s="37" t="str">
        <x:v>메모 보유 수, 등 최대 표시 수, 부착 시간을 안전 범위에서 설정하고 UI, 서버, 콘텐츠 설명이 같은 확정값을 사용한다.</x:v>
      </x:c>
      <x:c r="L83" s="37" t="str">
        <x:v>SET-001,IGM-009,IGM-022</x:v>
      </x:c>
      <x:c r="M83" s="37" t="str">
        <x:v>TC-SET-014-01</x:v>
      </x:c>
      <x:c r="N83" s="37" t="str">
        <x:v>게임 기획서</x:v>
      </x:c>
      <x:c r="O83" s="37"/>
    </x:row>
    <x:row r="84" ht="42" customHeight="1">
      <x:c r="A84" s="37" t="str">
        <x:v>작업</x:v>
      </x:c>
      <x:c r="B84" s="37" t="str">
        <x:v>[SET-015] 마피아 무료 메모·위조 횟수 설정</x:v>
      </x:c>
      <x:c r="C84" s="37" t="str">
        <x:v>게임 규칙, 운영 요구사항과 대상 플랫폼 제약을 충족하도록 마피아 무료 메모·위조 횟수 설정 기능을 구현하고 검증한다.</x:v>
      </x:c>
      <x:c r="D84" s="37" t="str">
        <x:v>최상</x:v>
      </x:c>
      <x:c r="E84" s="37" t="str">
        <x:v>게임 설정·접근성</x:v>
      </x:c>
      <x:c r="F84" s="37" t="str">
        <x:v>MVP</x:v>
      </x:c>
      <x:c r="G84" s="37" t="str">
        <x:v>SET-015;밸런스;MVP</x:v>
      </x:c>
      <x:c r="H84" s="37" t="str">
        <x:v>룸 규칙</x:v>
      </x:c>
      <x:c r="I84" s="37"/>
      <x:c r="J84" s="37" t="str">
        <x:v>SET-015</x:v>
      </x:c>
      <x:c r="K84" s="37" t="str">
        <x:v>무료 메모 수와 위조 횟수를 설정할 수 있고 0, 1, 2, 무제한의 UI 표기와 서버 값이 일치한다. MVP 기본값은 각각 1회다.</x:v>
      </x:c>
      <x:c r="L84" s="37" t="str">
        <x:v>SET-001,IGM-011,IGM-015</x:v>
      </x:c>
      <x:c r="M84" s="37" t="str">
        <x:v>TC-SET-015-01, TC-SET-015-02</x:v>
      </x:c>
      <x:c r="N84" s="37" t="str">
        <x:v>게임 기획서</x:v>
      </x:c>
      <x:c r="O84" s="37"/>
    </x:row>
    <x:row r="85" ht="42" customHeight="1">
      <x:c r="A85" s="37" t="str">
        <x:v>작업</x:v>
      </x:c>
      <x:c r="B85" s="37" t="str">
        <x:v>[SET-016] 자유 입력·자유 그리기·프리셋 제한</x:v>
      </x:c>
      <x:c r="C85" s="37" t="str">
        <x:v>게임 규칙, 운영 요구사항과 대상 플랫폼 제약을 충족하도록 자유 입력·자유 그리기·프리셋 제한 기능을 구현하고 검증한다.</x:v>
      </x:c>
      <x:c r="D85" s="37" t="str">
        <x:v>최상</x:v>
      </x:c>
      <x:c r="E85" s="37" t="str">
        <x:v>게임 설정·접근성</x:v>
      </x:c>
      <x:c r="F85" s="37" t="str">
        <x:v>MVP</x:v>
      </x:c>
      <x:c r="G85" s="37" t="str">
        <x:v>SET-016;안전;MVP</x:v>
      </x:c>
      <x:c r="H85" s="37" t="str">
        <x:v>룸 규칙</x:v>
      </x:c>
      <x:c r="I85" s="37"/>
      <x:c r="J85" s="37" t="str">
        <x:v>SET-016</x:v>
      </x:c>
      <x:c r="K85" s="37" t="str">
        <x:v>MVP에서는 자유 입력과 자유 그리기를 빌드 또는 기능 플래그로 비활성화한다. 향후 활성화 시 글자 수, 금칙어, 신고, 저장 정책을 필수로 적용한다.</x:v>
      </x:c>
      <x:c r="L85" s="37" t="str">
        <x:v>SET-001,BED-010</x:v>
      </x:c>
      <x:c r="M85" s="37" t="str">
        <x:v>TC-SET-016-01, TC-SET-016-02</x:v>
      </x:c>
      <x:c r="N85" s="37" t="str">
        <x:v>게임 기획서</x:v>
      </x:c>
      <x:c r="O85" s="37"/>
    </x:row>
    <x:row r="86" ht="42" customHeight="1">
      <x:c r="A86" s="37" t="str">
        <x:v>작업</x:v>
      </x:c>
      <x:c r="B86" s="37" t="str">
        <x:v>[SET-017] 사진 메모·메모 전달 기능 켜기·끄기</x:v>
      </x:c>
      <x:c r="C86" s="37" t="str">
        <x:v>게임 규칙, 운영 요구사항과 대상 플랫폼 제약을 충족하도록 사진 메모·메모 전달 기능 켜기·끄기 기능을 구현하고 검증한다.</x:v>
      </x:c>
      <x:c r="D86" s="37" t="str">
        <x:v>중간</x:v>
      </x:c>
      <x:c r="E86" s="37" t="str">
        <x:v>게임 설정·접근성</x:v>
      </x:c>
      <x:c r="F86" s="37" t="str">
        <x:v>출시 후</x:v>
      </x:c>
      <x:c r="G86" s="37" t="str">
        <x:v>SET-017;확장;출시 후</x:v>
      </x:c>
      <x:c r="H86" s="37" t="str">
        <x:v>룸 규칙</x:v>
      </x:c>
      <x:c r="I86" s="37"/>
      <x:c r="J86" s="37" t="str">
        <x:v>SET-017</x:v>
      </x:c>
      <x:c r="K86" s="37" t="str">
        <x:v>미구현 빌드에서는 설정 항목을 표시하지 않고 지원 빌드에서 활성화한 경우에만 필요한 UI, 서버 기능, 설명을 함께 활성화한다.</x:v>
      </x:c>
      <x:c r="L86" s="37" t="str">
        <x:v>SET-001,IGM-034,IGM-035</x:v>
      </x:c>
      <x:c r="M86" s="37" t="str">
        <x:v>TC-SET-017-01</x:v>
      </x:c>
      <x:c r="N86" s="37" t="str">
        <x:v>게임 기획서</x:v>
      </x:c>
      <x:c r="O86" s="37"/>
    </x:row>
    <x:row r="87" ht="42" customHeight="1">
      <x:c r="A87" s="37" t="str">
        <x:v>작업</x:v>
      </x:c>
      <x:c r="B87" s="37" t="str">
        <x:v>[SET-018] 복수 마피아·고독한 마피아·조수 설정</x:v>
      </x:c>
      <x:c r="C87" s="37" t="str">
        <x:v>게임 규칙, 운영 요구사항과 대상 플랫폼 제약을 충족하도록 복수 마피아·고독한 마피아·조수 설정 기능을 구현하고 검증한다.</x:v>
      </x:c>
      <x:c r="D87" s="37" t="str">
        <x:v>낮음</x:v>
      </x:c>
      <x:c r="E87" s="37" t="str">
        <x:v>게임 설정·접근성</x:v>
      </x:c>
      <x:c r="F87" s="37" t="str">
        <x:v>출시 후</x:v>
      </x:c>
      <x:c r="G87" s="37" t="str">
        <x:v>SET-018;확장;출시 후</x:v>
      </x:c>
      <x:c r="H87" s="37" t="str">
        <x:v>룸 규칙</x:v>
      </x:c>
      <x:c r="I87" s="37"/>
      <x:c r="J87" s="37" t="str">
        <x:v>SET-018</x:v>
      </x:c>
      <x:c r="K87" s="37" t="str">
        <x:v>인원 조건을 충족할 때만 표시·선택할 수 있고 조수 규칙 활성화 시 마피아 추방 즉시 승리 무효화 등 파생 규칙을 요약 표시한다.</x:v>
      </x:c>
      <x:c r="L87" s="37" t="str">
        <x:v>SET-010,IGM-037,IGM-038</x:v>
      </x:c>
      <x:c r="M87" s="37" t="str">
        <x:v>TC-SET-018-01</x:v>
      </x:c>
      <x:c r="N87" s="37" t="str">
        <x:v>게임 기획서</x:v>
      </x:c>
      <x:c r="O87" s="37"/>
    </x:row>
    <x:row r="88" ht="42" customHeight="1">
      <x:c r="A88" s="37" t="str">
        <x:v>작업</x:v>
      </x:c>
      <x:c r="B88" s="37" t="str">
        <x:v>[SET-019] 호스트 권한·매치 시작 후 설정 잠금</x:v>
      </x:c>
      <x:c r="C88" s="37" t="str">
        <x:v>게임 규칙, 운영 요구사항과 대상 플랫폼 제약을 충족하도록 호스트 권한·매치 시작 후 설정 잠금 기능을 구현하고 검증한다.</x:v>
      </x:c>
      <x:c r="D88" s="37" t="str">
        <x:v>최상</x:v>
      </x:c>
      <x:c r="E88" s="37" t="str">
        <x:v>게임 설정·접근성</x:v>
      </x:c>
      <x:c r="F88" s="37" t="str">
        <x:v>MVP</x:v>
      </x:c>
      <x:c r="G88" s="37" t="str">
        <x:v>SET-019;권한;MVP</x:v>
      </x:c>
      <x:c r="H88" s="37" t="str">
        <x:v>룸 운영 정책</x:v>
      </x:c>
      <x:c r="I88" s="37"/>
      <x:c r="J88" s="37" t="str">
        <x:v>SET-019</x:v>
      </x:c>
      <x:c r="K88" s="37" t="str">
        <x:v>룸 설정은 호스트 또는 권한 보유자만 변경할 수 있고 시작 준비 이후와 매치 진행 중에는 서버가 변경 요청을 거부한다.</x:v>
      </x:c>
      <x:c r="L88" s="37" t="str">
        <x:v>ONL-008,NET-006</x:v>
      </x:c>
      <x:c r="M88" s="37" t="str">
        <x:v>TC-SET-019-01, TC-SET-019-02</x:v>
      </x:c>
      <x:c r="N88" s="37" t="str">
        <x:v>게임 기획서</x:v>
      </x:c>
      <x:c r="O88" s="37"/>
    </x:row>
    <x:row r="89" ht="42" customHeight="1">
      <x:c r="A89" s="37" t="str">
        <x:v>작업</x:v>
      </x:c>
      <x:c r="B89" s="37" t="str">
        <x:v>[SET-020] 설정 조합 검증·호환성 확인</x:v>
      </x:c>
      <x:c r="C89" s="37" t="str">
        <x:v>게임 규칙, 운영 요구사항과 대상 플랫폼 제약을 충족하도록 설정 조합 검증·호환성 확인 기능을 구현하고 검증한다.</x:v>
      </x:c>
      <x:c r="D89" s="37" t="str">
        <x:v>최상</x:v>
      </x:c>
      <x:c r="E89" s="37" t="str">
        <x:v>게임 설정·접근성</x:v>
      </x:c>
      <x:c r="F89" s="37" t="str">
        <x:v>MVP</x:v>
      </x:c>
      <x:c r="G89" s="37" t="str">
        <x:v>SET-020;데이터 무결성;MVP</x:v>
      </x:c>
      <x:c r="H89" s="37" t="str">
        <x:v>룸 운영 정책</x:v>
      </x:c>
      <x:c r="I89" s="37"/>
      <x:c r="J89" s="37" t="str">
        <x:v>SET-020</x:v>
      </x:c>
      <x:c r="K89" s="37" t="str">
        <x:v>인원, 역할, 시간, 최종 재판, 확장 기능의 모순을 룸 생성, 설정 변경, 매치 시작의 세 단계에서 검증하고 오류 키를 반환한다.</x:v>
      </x:c>
      <x:c r="L89" s="37" t="str">
        <x:v>SET-009,SET-010,SET-013,SET-018</x:v>
      </x:c>
      <x:c r="M89" s="37" t="str">
        <x:v>TC-SET-020-01, TC-SET-020-02</x:v>
      </x:c>
      <x:c r="N89" s="37" t="str">
        <x:v>게임 기획서</x:v>
      </x:c>
      <x:c r="O89" s="37"/>
    </x:row>
    <x:row r="90" ht="42" customHeight="1">
      <x:c r="A90" s="37" t="str">
        <x:v>작업</x:v>
      </x:c>
      <x:c r="B90" s="37" t="str">
        <x:v>[SET-021] 확정 룸 설정 전체 동기화</x:v>
      </x:c>
      <x:c r="C90" s="37" t="str">
        <x:v>게임 규칙, 운영 요구사항과 대상 플랫폼 제약을 충족하도록 확정 룸 설정 전체 동기화 기능을 구현하고 검증한다.</x:v>
      </x:c>
      <x:c r="D90" s="37" t="str">
        <x:v>최상</x:v>
      </x:c>
      <x:c r="E90" s="37" t="str">
        <x:v>게임 설정·접근성</x:v>
      </x:c>
      <x:c r="F90" s="37" t="str">
        <x:v>MVP</x:v>
      </x:c>
      <x:c r="G90" s="37" t="str">
        <x:v>SET-021;네트워크;MVP</x:v>
      </x:c>
      <x:c r="H90" s="37" t="str">
        <x:v>룸 운영 정책</x:v>
      </x:c>
      <x:c r="I90" s="37"/>
      <x:c r="J90" s="37" t="str">
        <x:v>SET-021</x:v>
      </x:c>
      <x:c r="K90" s="37" t="str">
        <x:v>서버가 승인한 설정값과 설정 버전을 모든 참가자에게 동기화하고 차분 갱신, 재접속, 중도 참가 시에도 동일한 값을 유지한다.</x:v>
      </x:c>
      <x:c r="L90" s="37" t="str">
        <x:v>SET-019,SET-020,NET-007</x:v>
      </x:c>
      <x:c r="M90" s="37" t="str">
        <x:v>TC-SET-021-01, TC-SET-021-02</x:v>
      </x:c>
      <x:c r="N90" s="37" t="str">
        <x:v>게임 기획서</x:v>
      </x:c>
      <x:c r="O90" s="37"/>
    </x:row>
    <x:row r="91" ht="42" customHeight="1">
      <x:c r="A91" s="37" t="str">
        <x:v>작업</x:v>
      </x:c>
      <x:c r="B91" s="37" t="str">
        <x:v>[SET-022] 사용자 정의 룸 설정 저장·불러오기</x:v>
      </x:c>
      <x:c r="C91" s="37" t="str">
        <x:v>게임 규칙, 운영 요구사항과 대상 플랫폼 제약을 충족하도록 사용자 정의 룸 설정 저장·불러오기 기능을 구현하고 검증한다.</x:v>
      </x:c>
      <x:c r="D91" s="37" t="str">
        <x:v>중간</x:v>
      </x:c>
      <x:c r="E91" s="37" t="str">
        <x:v>게임 설정·접근성</x:v>
      </x:c>
      <x:c r="F91" s="37" t="str">
        <x:v>베타</x:v>
      </x:c>
      <x:c r="G91" s="37" t="str">
        <x:v>SET-022;UX;베타</x:v>
      </x:c>
      <x:c r="H91" s="37" t="str">
        <x:v>룸 운영 정책</x:v>
      </x:c>
      <x:c r="I91" s="37"/>
      <x:c r="J91" s="37" t="str">
        <x:v>SET-022</x:v>
      </x:c>
      <x:c r="K91" s="37" t="str">
        <x:v>호스트가 이름 있는 템플릿을 저장, 복제, 삭제할 수 있고 지원하지 않는 키를 포함한 이전 템플릿은 경고 후 마이그레이션한다.</x:v>
      </x:c>
      <x:c r="L91" s="37" t="str">
        <x:v>SET-002,SET-020,BED-003</x:v>
      </x:c>
      <x:c r="M91" s="37" t="str">
        <x:v>TC-SET-022-01</x:v>
      </x:c>
      <x:c r="N91" s="37" t="str">
        <x:v>게임 기획서</x:v>
      </x:c>
      <x:c r="O91" s="37"/>
    </x:row>
    <x:row r="92" ht="42" customHeight="1">
      <x:c r="A92" s="37" t="str">
        <x:v>작업</x:v>
      </x:c>
      <x:c r="B92" s="37" t="str">
        <x:v>[SET-023] 자막·텍스트 크기·읽기 보조</x:v>
      </x:c>
      <x:c r="C92" s="37" t="str">
        <x:v>게임 규칙, 운영 요구사항과 대상 플랫폼 제약을 충족하도록 자막·텍스트 크기·읽기 보조 기능을 구현하고 검증한다.</x:v>
      </x:c>
      <x:c r="D92" s="37" t="str">
        <x:v>최상</x:v>
      </x:c>
      <x:c r="E92" s="37" t="str">
        <x:v>게임 설정·접근성</x:v>
      </x:c>
      <x:c r="F92" s="37" t="str">
        <x:v>베타</x:v>
      </x:c>
      <x:c r="G92" s="37" t="str">
        <x:v>SET-023;접근성;베타</x:v>
      </x:c>
      <x:c r="H92" s="37" t="str">
        <x:v>접근성</x:v>
      </x:c>
      <x:c r="I92" s="37"/>
      <x:c r="J92" s="37" t="str">
        <x:v>SET-023</x:v>
      </x:c>
      <x:c r="K92" s="37" t="str">
        <x:v>시스템 사운드 자막, UI 텍스트 배율, 배경 불투명도, 길게 누르기 대체 입력을 설정할 수 있고 주요 화면에서 잘림과 겹침이 없다.</x:v>
      </x:c>
      <x:c r="L92" s="37" t="str">
        <x:v>SET-001,UIX-001,AUD-015</x:v>
      </x:c>
      <x:c r="M92" s="37" t="str">
        <x:v>TC-SET-023-01, TC-SET-023-02</x:v>
      </x:c>
      <x:c r="N92" s="37" t="str">
        <x:v>게임 기획서</x:v>
      </x:c>
      <x:c r="O92" s="37"/>
    </x:row>
    <x:row r="93" ht="42" customHeight="1">
      <x:c r="A93" s="37" t="str">
        <x:v>작업</x:v>
      </x:c>
      <x:c r="B93" s="37" t="str">
        <x:v>[SET-024] 색각 보조 프리셋</x:v>
      </x:c>
      <x:c r="C93" s="37" t="str">
        <x:v>게임 규칙, 운영 요구사항과 대상 플랫폼 제약을 충족하도록 색각 보조 프리셋 기능을 구현하고 검증한다.</x:v>
      </x:c>
      <x:c r="D93" s="37" t="str">
        <x:v>최상</x:v>
      </x:c>
      <x:c r="E93" s="37" t="str">
        <x:v>게임 설정·접근성</x:v>
      </x:c>
      <x:c r="F93" s="37" t="str">
        <x:v>베타</x:v>
      </x:c>
      <x:c r="G93" s="37" t="str">
        <x:v>SET-024;접근성;베타</x:v>
      </x:c>
      <x:c r="H93" s="37" t="str">
        <x:v>접근성</x:v>
      </x:c>
      <x:c r="I93" s="37"/>
      <x:c r="J93" s="37" t="str">
        <x:v>SET-024</x:v>
      </x:c>
      <x:c r="K93" s="37" t="str">
        <x:v>색상명, 패턴, 기호, 대비 보조를 조합한 프리셋을 제공하고 캐릭터 색상, 메모 색상, 투표 UI에 일관되게 적용한다.</x:v>
      </x:c>
      <x:c r="L93" s="37" t="str">
        <x:v>SET-001,UIX-028,CHR-015</x:v>
      </x:c>
      <x:c r="M93" s="37" t="str">
        <x:v>TC-SET-024-01, TC-SET-024-02</x:v>
      </x:c>
      <x:c r="N93" s="37" t="str">
        <x:v>게임 기획서</x:v>
      </x:c>
      <x:c r="O93" s="37"/>
    </x:row>
    <x:row r="94" ht="42" customHeight="1">
      <x:c r="A94" s="37" t="str">
        <x:v>작업</x:v>
      </x:c>
      <x:c r="B94" s="37" t="str">
        <x:v>[SET-025] 화면 흔들림·점멸·카메라 보조 설정</x:v>
      </x:c>
      <x:c r="C94" s="37" t="str">
        <x:v>게임 규칙, 운영 요구사항과 대상 플랫폼 제약을 충족하도록 화면 흔들림·점멸·카메라 보조 설정 기능을 구현하고 검증한다.</x:v>
      </x:c>
      <x:c r="D94" s="37" t="str">
        <x:v>높음</x:v>
      </x:c>
      <x:c r="E94" s="37" t="str">
        <x:v>게임 설정·접근성</x:v>
      </x:c>
      <x:c r="F94" s="37" t="str">
        <x:v>베타</x:v>
      </x:c>
      <x:c r="G94" s="37" t="str">
        <x:v>SET-025;접근성;베타</x:v>
      </x:c>
      <x:c r="H94" s="37" t="str">
        <x:v>접근성</x:v>
      </x:c>
      <x:c r="I94" s="37"/>
      <x:c r="J94" s="37" t="str">
        <x:v>SET-025</x:v>
      </x:c>
      <x:c r="K94" s="37" t="str">
        <x:v>화면 흔들림, 모션 블러, 점멸, 카메라 속도, 조준점을 조정할 수 있고 LED 표현과 페이즈 연출에 안전한 저자극 모드를 적용한다.</x:v>
      </x:c>
      <x:c r="L94" s="37" t="str">
        <x:v>SET-001,CHR-004,AUD-014</x:v>
      </x:c>
      <x:c r="M94" s="37" t="str">
        <x:v>TC-SET-025-01</x:v>
      </x:c>
      <x:c r="N94" s="37" t="str">
        <x:v>게임 기획서</x:v>
      </x:c>
      <x:c r="O94" s="37"/>
    </x:row>
    <x:row r="95" ht="42" customHeight="1">
      <x:c r="A95" s="37" t="str">
        <x:v>작업</x:v>
      </x:c>
      <x:c r="B95" s="37" t="str">
        <x:v>[SET-026] 텍스트·음성·초대 안전 설정</x:v>
      </x:c>
      <x:c r="C95" s="37" t="str">
        <x:v>게임 규칙, 운영 요구사항과 대상 플랫폼 제약을 충족하도록 텍스트·음성·초대 안전 설정 기능을 구현하고 검증한다.</x:v>
      </x:c>
      <x:c r="D95" s="37" t="str">
        <x:v>최상</x:v>
      </x:c>
      <x:c r="E95" s="37" t="str">
        <x:v>게임 설정·접근성</x:v>
      </x:c>
      <x:c r="F95" s="37" t="str">
        <x:v>출시</x:v>
      </x:c>
      <x:c r="G95" s="37" t="str">
        <x:v>SET-026;안전;출시</x:v>
      </x:c>
      <x:c r="H95" s="37" t="str">
        <x:v>안전</x:v>
      </x:c>
      <x:c r="I95" s="37"/>
      <x:c r="J95" s="37" t="str">
        <x:v>SET-026</x:v>
      </x:c>
      <x:c r="K95" s="37" t="str">
        <x:v>음성 채팅, 근거리 텍스트, 친구 초대, 크로스플레이, 사용자 생성 콘텐츠를 연령, 지역, 보호자 설정에 따라 제어한다.</x:v>
      </x:c>
      <x:c r="L95" s="37" t="str">
        <x:v>BED-009,BED-012,BED-013</x:v>
      </x:c>
      <x:c r="M95" s="37" t="str">
        <x:v>TC-SET-026-01, TC-SET-026-02</x:v>
      </x:c>
      <x:c r="N95" s="37" t="str">
        <x:v>게임 기획서</x:v>
      </x:c>
      <x:c r="O95" s="37"/>
    </x:row>
    <x:row r="96" ht="42" customHeight="1">
      <x:c r="A96" s="37" t="str">
        <x:v>작업</x:v>
      </x:c>
      <x:c r="B96" s="37" t="str">
        <x:v>[SET-027] 네트워크 진단 표시 설정</x:v>
      </x:c>
      <x:c r="C96" s="37" t="str">
        <x:v>게임 규칙, 운영 요구사항과 대상 플랫폼 제약을 충족하도록 네트워크 진단 표시 설정 기능을 구현하고 검증한다.</x:v>
      </x:c>
      <x:c r="D96" s="37" t="str">
        <x:v>중간</x:v>
      </x:c>
      <x:c r="E96" s="37" t="str">
        <x:v>게임 설정·접근성</x:v>
      </x:c>
      <x:c r="F96" s="37" t="str">
        <x:v>알파</x:v>
      </x:c>
      <x:c r="G96" s="37" t="str">
        <x:v>SET-027;운영;알파</x:v>
      </x:c>
      <x:c r="H96" s="37" t="str">
        <x:v>진단</x:v>
      </x:c>
      <x:c r="I96" s="37"/>
      <x:c r="J96" s="37" t="str">
        <x:v>SET-027</x:v>
      </x:c>
      <x:c r="K96" s="37" t="str">
        <x:v>선택적으로 핑, 패킷 손실, 지역, 음성 연결 상태를 표시할 수 있고 제품 빌드에서 비공개 서버 정보나 개인 식별자를 노출하지 않는다.</x:v>
      </x:c>
      <x:c r="L96" s="37" t="str">
        <x:v>NET-023,ONL-003</x:v>
      </x:c>
      <x:c r="M96" s="37" t="str">
        <x:v>TC-SET-027-01</x:v>
      </x:c>
      <x:c r="N96" s="37" t="str">
        <x:v>게임 기획서</x:v>
      </x:c>
      <x:c r="O96" s="37"/>
    </x:row>
    <x:row r="97" ht="42" customHeight="1">
      <x:c r="A97" s="37" t="str">
        <x:v>작업</x:v>
      </x:c>
      <x:c r="B97" s="37" t="str">
        <x:v>[SET-028] 안전한 원격 기본값·기능 플래그</x:v>
      </x:c>
      <x:c r="C97" s="37" t="str">
        <x:v>게임 규칙, 운영 요구사항과 대상 플랫폼 제약을 충족하도록 안전한 원격 기본값·기능 플래그 기능을 구현하고 검증한다.</x:v>
      </x:c>
      <x:c r="D97" s="37" t="str">
        <x:v>최상</x:v>
      </x:c>
      <x:c r="E97" s="37" t="str">
        <x:v>게임 설정·접근성</x:v>
      </x:c>
      <x:c r="F97" s="37" t="str">
        <x:v>출시</x:v>
      </x:c>
      <x:c r="G97" s="37" t="str">
        <x:v>SET-028;운영;출시</x:v>
      </x:c>
      <x:c r="H97" s="37" t="str">
        <x:v>라이브 설정</x:v>
      </x:c>
      <x:c r="I97" s="37"/>
      <x:c r="J97" s="37" t="str">
        <x:v>SET-028</x:v>
      </x:c>
      <x:c r="K97" s="37" t="str">
        <x:v>서명과 버전이 있는 원격 설정을 가져오고 허용 목록 밖의 키는 무시한다. 매치 진행 중에는 승패에 영향을 주는 값을 변경하지 않는다.</x:v>
      </x:c>
      <x:c r="L97" s="37" t="str">
        <x:v>BED-015,BED-016</x:v>
      </x:c>
      <x:c r="M97" s="37" t="str">
        <x:v>TC-SET-028-01, TC-SET-028-02</x:v>
      </x:c>
      <x:c r="N97" s="37" t="str">
        <x:v>게임 기획서</x:v>
      </x:c>
      <x:c r="O97" s="37"/>
    </x:row>
    <x:row r="98" ht="42" customHeight="1">
      <x:c r="A98" s="37" t="str">
        <x:v>작업</x:v>
      </x:c>
      <x:c r="B98" s="37" t="str">
        <x:v>[ONL-001] 온라인 서비스 초기화·연결 상태</x:v>
      </x:c>
      <x:c r="C98" s="37" t="str">
        <x:v>게임 규칙, 운영 요구사항과 대상 플랫폼 제약을 충족하도록 온라인 서비스 초기화·연결 상태 기능을 구현하고 검증한다.</x:v>
      </x:c>
      <x:c r="D98" s="37" t="str">
        <x:v>최상</x:v>
      </x:c>
      <x:c r="E98" s="37" t="str">
        <x:v>온라인·로비·매치메이킹</x:v>
      </x:c>
      <x:c r="F98" s="37" t="str">
        <x:v>MVP</x:v>
      </x:c>
      <x:c r="G98" s="37" t="str">
        <x:v>ONL-001;온라인 기반;MVP</x:v>
      </x:c>
      <x:c r="H98" s="37" t="str">
        <x:v>온라인 초기화</x:v>
      </x:c>
      <x:c r="I98" s="37"/>
      <x:c r="J98" s="37" t="str">
        <x:v>ONL-001</x:v>
      </x:c>
      <x:c r="K98" s="37" t="str">
        <x:v>시작 시 인증, 로비, 매치, 음성 서비스의 상태를 확인하고 사용할 수 없는 서비스는 사유와 함께 관련 기능을 제한한다.</x:v>
      </x:c>
      <x:c r="L98" s="37" t="str">
        <x:v>BED-001</x:v>
      </x:c>
      <x:c r="M98" s="37" t="str">
        <x:v>TC-ONL-001-01, TC-ONL-001-02</x:v>
      </x:c>
      <x:c r="N98" s="37" t="str">
        <x:v>게임 기획서</x:v>
      </x:c>
      <x:c r="O98" s="37"/>
    </x:row>
    <x:row r="99" ht="42" customHeight="1">
      <x:c r="A99" s="37" t="str">
        <x:v>작업</x:v>
      </x:c>
      <x:c r="B99" s="37" t="str">
        <x:v>[ONL-002] 플랫폼 ID·게임 내부 ID 연결</x:v>
      </x:c>
      <x:c r="C99" s="37" t="str">
        <x:v>게임 규칙, 운영 요구사항과 대상 플랫폼 제약을 충족하도록 플랫폼 ID·게임 내부 ID 연결 기능을 구현하고 검증한다.</x:v>
      </x:c>
      <x:c r="D99" s="37" t="str">
        <x:v>최상</x:v>
      </x:c>
      <x:c r="E99" s="37" t="str">
        <x:v>온라인·로비·매치메이킹</x:v>
      </x:c>
      <x:c r="F99" s="37" t="str">
        <x:v>MVP</x:v>
      </x:c>
      <x:c r="G99" s="37" t="str">
        <x:v>ONL-002;인증;MVP</x:v>
      </x:c>
      <x:c r="H99" s="37" t="str">
        <x:v>온라인 초기화</x:v>
      </x:c>
      <x:c r="I99" s="37"/>
      <x:c r="J99" s="37" t="str">
        <x:v>ONL-002</x:v>
      </x:c>
      <x:c r="K99" s="37" t="str">
        <x:v>중복 로그인, 만료 토큰, 계정 전환을 처리하고 표시 이름과 내부 식별자를 분리한다.</x:v>
      </x:c>
      <x:c r="L99" s="37" t="str">
        <x:v>BED-001,BED-002</x:v>
      </x:c>
      <x:c r="M99" s="37" t="str">
        <x:v>TC-ONL-002-01, TC-ONL-002-02</x:v>
      </x:c>
      <x:c r="N99" s="37" t="str">
        <x:v>게임 기획서</x:v>
      </x:c>
      <x:c r="O99" s="37"/>
    </x:row>
    <x:row r="100" ht="42" customHeight="1">
      <x:c r="A100" s="37" t="str">
        <x:v>작업</x:v>
      </x:c>
      <x:c r="B100" s="37" t="str">
        <x:v>[ONL-003] 자동 지역 선택·수동 재지정</x:v>
      </x:c>
      <x:c r="C100" s="37" t="str">
        <x:v>게임 규칙, 운영 요구사항과 대상 플랫폼 제약을 충족하도록 자동 지역 선택·수동 재지정 기능을 구현하고 검증한다.</x:v>
      </x:c>
      <x:c r="D100" s="37" t="str">
        <x:v>높음</x:v>
      </x:c>
      <x:c r="E100" s="37" t="str">
        <x:v>온라인·로비·매치메이킹</x:v>
      </x:c>
      <x:c r="F100" s="37" t="str">
        <x:v>알파</x:v>
      </x:c>
      <x:c r="G100" s="37" t="str">
        <x:v>ONL-003;연결 품질;알파</x:v>
      </x:c>
      <x:c r="H100" s="37" t="str">
        <x:v>연결성</x:v>
      </x:c>
      <x:c r="I100" s="37"/>
      <x:c r="J100" s="37" t="str">
        <x:v>ONL-003</x:v>
      </x:c>
      <x:c r="K100" s="37" t="str">
        <x:v>측정 핑과 서비스 가용성을 기준으로 지역을 선택하고 수동 선택 시 예상 지연을 표시한다. 지역 변경은 매치 시작 전에만 허용한다.</x:v>
      </x:c>
      <x:c r="L100" s="37" t="str">
        <x:v>NET-023</x:v>
      </x:c>
      <x:c r="M100" s="37" t="str">
        <x:v>TC-ONL-003-01</x:v>
      </x:c>
      <x:c r="N100" s="37" t="str">
        <x:v>게임 기획서</x:v>
      </x:c>
      <x:c r="O100" s="37"/>
    </x:row>
    <x:row r="101" ht="42" customHeight="1">
      <x:c r="A101" s="37" t="str">
        <x:v>작업</x:v>
      </x:c>
      <x:c r="B101" s="37" t="str">
        <x:v>[ONL-004] 룸 생성·고유 세션 ID 발급</x:v>
      </x:c>
      <x:c r="C101" s="37" t="str">
        <x:v>게임 규칙, 운영 요구사항과 대상 플랫폼 제약을 충족하도록 룸 생성·고유 세션 ID 발급 기능을 구현하고 검증한다.</x:v>
      </x:c>
      <x:c r="D101" s="37" t="str">
        <x:v>최상</x:v>
      </x:c>
      <x:c r="E101" s="37" t="str">
        <x:v>온라인·로비·매치메이킹</x:v>
      </x:c>
      <x:c r="F101" s="37" t="str">
        <x:v>MVP</x:v>
      </x:c>
      <x:c r="G101" s="37" t="str">
        <x:v>ONL-004;로비;MVP</x:v>
      </x:c>
      <x:c r="H101" s="37" t="str">
        <x:v>로비</x:v>
      </x:c>
      <x:c r="I101" s="37"/>
      <x:c r="J101" s="37" t="str">
        <x:v>ONL-004</x:v>
      </x:c>
      <x:c r="K101" s="37" t="str">
        <x:v>룸 생성 요청에 대해 고유 세션, 참가 코드, 설정 버전, 호스트 권한을 발급하고 실패할 경우 고립 세션을 남기지 않는다.</x:v>
      </x:c>
      <x:c r="L101" s="37" t="str">
        <x:v>ONL-001,SET-020</x:v>
      </x:c>
      <x:c r="M101" s="37" t="str">
        <x:v>TC-ONL-004-01, TC-ONL-004-02</x:v>
      </x:c>
      <x:c r="N101" s="37" t="str">
        <x:v>게임 기획서</x:v>
      </x:c>
      <x:c r="O101" s="37"/>
    </x:row>
    <x:row r="102" ht="42" customHeight="1">
      <x:c r="A102" s="37" t="str">
        <x:v>작업</x:v>
      </x:c>
      <x:c r="B102" s="37" t="str">
        <x:v>[ONL-005] 공개·비공개·초대 전용 룸</x:v>
      </x:c>
      <x:c r="C102" s="37" t="str">
        <x:v>게임 규칙, 운영 요구사항과 대상 플랫폼 제약을 충족하도록 공개·비공개·초대 전용 룸 기능을 구현하고 검증한다.</x:v>
      </x:c>
      <x:c r="D102" s="37" t="str">
        <x:v>높음</x:v>
      </x:c>
      <x:c r="E102" s="37" t="str">
        <x:v>온라인·로비·매치메이킹</x:v>
      </x:c>
      <x:c r="F102" s="37" t="str">
        <x:v>알파</x:v>
      </x:c>
      <x:c r="G102" s="37" t="str">
        <x:v>ONL-005;로비;알파</x:v>
      </x:c>
      <x:c r="H102" s="37" t="str">
        <x:v>로비</x:v>
      </x:c>
      <x:c r="I102" s="37"/>
      <x:c r="J102" s="37" t="str">
        <x:v>ONL-005</x:v>
      </x:c>
      <x:c r="K102" s="37" t="str">
        <x:v>공개 범위에 따라 검색, 코드 참가, 초대 참가를 제어하고 권한이 없는 클라이언트의 설정 변경 요청을 거부한다.</x:v>
      </x:c>
      <x:c r="L102" s="37" t="str">
        <x:v>ONL-004</x:v>
      </x:c>
      <x:c r="M102" s="37" t="str">
        <x:v>TC-ONL-005-01</x:v>
      </x:c>
      <x:c r="N102" s="37" t="str">
        <x:v>게임 기획서</x:v>
      </x:c>
      <x:c r="O102" s="37"/>
    </x:row>
    <x:row r="103" ht="42" customHeight="1">
      <x:c r="A103" s="37" t="str">
        <x:v>작업</x:v>
      </x:c>
      <x:c r="B103" s="37" t="str">
        <x:v>[ONL-006] 룸 코드 참가·유효 기간</x:v>
      </x:c>
      <x:c r="C103" s="37" t="str">
        <x:v>게임 규칙, 운영 요구사항과 대상 플랫폼 제약을 충족하도록 룸 코드 참가·유효 기간 기능을 구현하고 검증한다.</x:v>
      </x:c>
      <x:c r="D103" s="37" t="str">
        <x:v>최상</x:v>
      </x:c>
      <x:c r="E103" s="37" t="str">
        <x:v>온라인·로비·매치메이킹</x:v>
      </x:c>
      <x:c r="F103" s="37" t="str">
        <x:v>MVP</x:v>
      </x:c>
      <x:c r="G103" s="37" t="str">
        <x:v>ONL-006;로비;MVP</x:v>
      </x:c>
      <x:c r="H103" s="37" t="str">
        <x:v>로비</x:v>
      </x:c>
      <x:c r="I103" s="37"/>
      <x:c r="J103" s="37" t="str">
        <x:v>ONL-006</x:v>
      </x:c>
      <x:c r="K103" s="37" t="str">
        <x:v>대소문자와 혼동 문자를 정규화하고 만료, 만원, 시작됨, 차단, 버전 불일치 사유를 구분해 반환한다.</x:v>
      </x:c>
      <x:c r="L103" s="37" t="str">
        <x:v>ONL-004,ONL-020</x:v>
      </x:c>
      <x:c r="M103" s="37" t="str">
        <x:v>TC-ONL-006-01, TC-ONL-006-02</x:v>
      </x:c>
      <x:c r="N103" s="37" t="str">
        <x:v>게임 기획서</x:v>
      </x:c>
      <x:c r="O103" s="37"/>
    </x:row>
    <x:row r="104" ht="42" customHeight="1">
      <x:c r="A104" s="37" t="str">
        <x:v>작업</x:v>
      </x:c>
      <x:c r="B104" s="37" t="str">
        <x:v>[ONL-007] 4~6인 참가자 목록·정원·예약 슬롯</x:v>
      </x:c>
      <x:c r="C104" s="37" t="str">
        <x:v>게임 규칙, 운영 요구사항과 대상 플랫폼 제약을 충족하도록 4~6인 참가자 목록·정원·예약 슬롯 기능을 구현하고 검증한다.</x:v>
      </x:c>
      <x:c r="D104" s="37" t="str">
        <x:v>최상</x:v>
      </x:c>
      <x:c r="E104" s="37" t="str">
        <x:v>온라인·로비·매치메이킹</x:v>
      </x:c>
      <x:c r="F104" s="37" t="str">
        <x:v>MVP</x:v>
      </x:c>
      <x:c r="G104" s="37" t="str">
        <x:v>ONL-007;로비;MVP</x:v>
      </x:c>
      <x:c r="H104" s="37" t="str">
        <x:v>로비</x:v>
      </x:c>
      <x:c r="I104" s="37"/>
      <x:c r="J104" s="37" t="str">
        <x:v>ONL-007</x:v>
      </x:c>
      <x:c r="K104" s="37" t="str">
        <x:v>동시 참가 경쟁 상황에서도 정원을 넘지 않고 재접속 예약 슬롯을 고려해 입장 가능 여부를 원자적으로 결정한다.</x:v>
      </x:c>
      <x:c r="L104" s="37" t="str">
        <x:v>ONL-004,NET-006</x:v>
      </x:c>
      <x:c r="M104" s="37" t="str">
        <x:v>TC-ONL-007-01, TC-ONL-007-02</x:v>
      </x:c>
      <x:c r="N104" s="37" t="str">
        <x:v>게임 기획서</x:v>
      </x:c>
      <x:c r="O104" s="37"/>
    </x:row>
    <x:row r="105" ht="42" customHeight="1">
      <x:c r="A105" s="37" t="str">
        <x:v>작업</x:v>
      </x:c>
      <x:c r="B105" s="37" t="str">
        <x:v>[ONL-008] 호스트 권한·관리 기능</x:v>
      </x:c>
      <x:c r="C105" s="37" t="str">
        <x:v>게임 규칙, 운영 요구사항과 대상 플랫폼 제약을 충족하도록 호스트 권한·관리 기능 기능을 구현하고 검증한다.</x:v>
      </x:c>
      <x:c r="D105" s="37" t="str">
        <x:v>최상</x:v>
      </x:c>
      <x:c r="E105" s="37" t="str">
        <x:v>온라인·로비·매치메이킹</x:v>
      </x:c>
      <x:c r="F105" s="37" t="str">
        <x:v>MVP</x:v>
      </x:c>
      <x:c r="G105" s="37" t="str">
        <x:v>ONL-008;권한;MVP</x:v>
      </x:c>
      <x:c r="H105" s="37" t="str">
        <x:v>로비</x:v>
      </x:c>
      <x:c r="I105" s="37"/>
      <x:c r="J105" s="37" t="str">
        <x:v>ONL-008</x:v>
      </x:c>
      <x:c r="K105" s="37" t="str">
        <x:v>설정 변경, 시작, 강제 퇴장, 공개 범위 변경은 권한 보유자만 실행할 수 있으며 권한 이전 또는 호스트 이탈 정책을 정의한다.</x:v>
      </x:c>
      <x:c r="L105" s="37" t="str">
        <x:v>ONL-004</x:v>
      </x:c>
      <x:c r="M105" s="37" t="str">
        <x:v>TC-ONL-008-01, TC-ONL-008-02</x:v>
      </x:c>
      <x:c r="N105" s="37" t="str">
        <x:v>게임 기획서</x:v>
      </x:c>
      <x:c r="O105" s="37"/>
    </x:row>
    <x:row r="106" ht="42" customHeight="1">
      <x:c r="A106" s="37" t="str">
        <x:v>작업</x:v>
      </x:c>
      <x:c r="B106" s="37" t="str">
        <x:v>[ONL-009] 플레이어 색상 예약·충돌 해소</x:v>
      </x:c>
      <x:c r="C106" s="37" t="str">
        <x:v>게임 규칙, 운영 요구사항과 대상 플랫폼 제약을 충족하도록 플레이어 색상 예약·충돌 해소 기능을 구현하고 검증한다.</x:v>
      </x:c>
      <x:c r="D106" s="37" t="str">
        <x:v>최상</x:v>
      </x:c>
      <x:c r="E106" s="37" t="str">
        <x:v>온라인·로비·매치메이킹</x:v>
      </x:c>
      <x:c r="F106" s="37" t="str">
        <x:v>MVP</x:v>
      </x:c>
      <x:c r="G106" s="37" t="str">
        <x:v>ONL-009;핵심 규칙;MVP</x:v>
      </x:c>
      <x:c r="H106" s="37" t="str">
        <x:v>로비</x:v>
      </x:c>
      <x:c r="I106" s="37"/>
      <x:c r="J106" s="37" t="str">
        <x:v>ONL-009</x:v>
      </x:c>
      <x:c r="K106" s="37" t="str">
        <x:v>사용 가능한 색상 중 하나를 고유하게 예약하고 동시 선택, 연결 끊김, 재접속 시 중복이 생기지 않으며 예약 해제 시점을 명확히 한다.</x:v>
      </x:c>
      <x:c r="L106" s="37" t="str">
        <x:v>ONL-007,CHR-005</x:v>
      </x:c>
      <x:c r="M106" s="37" t="str">
        <x:v>TC-ONL-009-01, TC-ONL-009-02</x:v>
      </x:c>
      <x:c r="N106" s="37" t="str">
        <x:v>게임 기획서</x:v>
      </x:c>
      <x:c r="O106" s="37"/>
    </x:row>
    <x:row r="107" ht="42" customHeight="1">
      <x:c r="A107" s="37" t="str">
        <x:v>작업</x:v>
      </x:c>
      <x:c r="B107" s="37" t="str">
        <x:v>[ONL-010] 준비 상태 동기화</x:v>
      </x:c>
      <x:c r="C107" s="37" t="str">
        <x:v>게임 규칙, 운영 요구사항과 대상 플랫폼 제약을 충족하도록 준비 상태 동기화 기능을 구현하고 검증한다.</x:v>
      </x:c>
      <x:c r="D107" s="37" t="str">
        <x:v>최상</x:v>
      </x:c>
      <x:c r="E107" s="37" t="str">
        <x:v>온라인·로비·매치메이킹</x:v>
      </x:c>
      <x:c r="F107" s="37" t="str">
        <x:v>MVP</x:v>
      </x:c>
      <x:c r="G107" s="37" t="str">
        <x:v>ONL-010;로비;MVP</x:v>
      </x:c>
      <x:c r="H107" s="37" t="str">
        <x:v>로비</x:v>
      </x:c>
      <x:c r="I107" s="37"/>
      <x:c r="J107" s="37" t="str">
        <x:v>ONL-010</x:v>
      </x:c>
      <x:c r="K107" s="37" t="str">
        <x:v>서버가 참가자별 준비 상태를 보관하고 설정 변경이나 참가자 변동 시 규칙에 따라 준비 상태를 해제한다.</x:v>
      </x:c>
      <x:c r="L107" s="37" t="str">
        <x:v>ONL-007,SET-021</x:v>
      </x:c>
      <x:c r="M107" s="37" t="str">
        <x:v>TC-ONL-010-01, TC-ONL-010-02</x:v>
      </x:c>
      <x:c r="N107" s="37" t="str">
        <x:v>게임 기획서</x:v>
      </x:c>
      <x:c r="O107" s="37"/>
    </x:row>
    <x:row r="108" ht="42" customHeight="1">
      <x:c r="A108" s="37" t="str">
        <x:v>작업</x:v>
      </x:c>
      <x:c r="B108" s="37" t="str">
        <x:v>[ONL-011] 매치 시작 전 사전 점검</x:v>
      </x:c>
      <x:c r="C108" s="37" t="str">
        <x:v>게임 규칙, 운영 요구사항과 대상 플랫폼 제약을 충족하도록 매치 시작 전 사전 점검 기능을 구현하고 검증한다.</x:v>
      </x:c>
      <x:c r="D108" s="37" t="str">
        <x:v>최상</x:v>
      </x:c>
      <x:c r="E108" s="37" t="str">
        <x:v>온라인·로비·매치메이킹</x:v>
      </x:c>
      <x:c r="F108" s="37" t="str">
        <x:v>MVP</x:v>
      </x:c>
      <x:c r="G108" s="37" t="str">
        <x:v>ONL-011;시작;MVP</x:v>
      </x:c>
      <x:c r="H108" s="37" t="str">
        <x:v>로비</x:v>
      </x:c>
      <x:c r="I108" s="37"/>
      <x:c r="J108" s="37" t="str">
        <x:v>ONL-011</x:v>
      </x:c>
      <x:c r="K108" s="37" t="str">
        <x:v>최소 인원, 전원 준비, 설정 유효성, 콘텐츠 버전, 서버 확보, 음성 연결을 검사하고 모든 조건이 충족된 경우에만 매치를 시작한다.</x:v>
      </x:c>
      <x:c r="L108" s="37" t="str">
        <x:v>ONL-010,SET-020,ONL-015,CNT-028,AUD-003</x:v>
      </x:c>
      <x:c r="M108" s="37" t="str">
        <x:v>TC-ONL-011-01, TC-ONL-011-02</x:v>
      </x:c>
      <x:c r="N108" s="37" t="str">
        <x:v>게임 기획서</x:v>
      </x:c>
      <x:c r="O108" s="37"/>
    </x:row>
    <x:row r="109" ht="42" customHeight="1">
      <x:c r="A109" s="37" t="str">
        <x:v>작업</x:v>
      </x:c>
      <x:c r="B109" s="37" t="str">
        <x:v>[ONL-012] 플랫폼 초대·딥링크 참가</x:v>
      </x:c>
      <x:c r="C109" s="37" t="str">
        <x:v>게임 규칙, 운영 요구사항과 대상 플랫폼 제약을 충족하도록 플랫폼 초대·딥링크 참가 기능을 구현하고 검증한다.</x:v>
      </x:c>
      <x:c r="D109" s="37" t="str">
        <x:v>높음</x:v>
      </x:c>
      <x:c r="E109" s="37" t="str">
        <x:v>온라인·로비·매치메이킹</x:v>
      </x:c>
      <x:c r="F109" s="37" t="str">
        <x:v>베타</x:v>
      </x:c>
      <x:c r="G109" s="37" t="str">
        <x:v>ONL-012;소셜;베타</x:v>
      </x:c>
      <x:c r="H109" s="37" t="str">
        <x:v>소셜</x:v>
      </x:c>
      <x:c r="I109" s="37"/>
      <x:c r="J109" s="37" t="str">
        <x:v>ONL-012</x:v>
      </x:c>
      <x:c r="K109" s="37" t="str">
        <x:v>지원 플랫폼 초대에서 대상 룸으로 이동하며 게임 미실행, 만원, 매치 시작 상태에는 적절한 대체 경로를 제공한다.</x:v>
      </x:c>
      <x:c r="L109" s="37" t="str">
        <x:v>ONL-006,BED-002</x:v>
      </x:c>
      <x:c r="M109" s="37" t="str">
        <x:v>TC-ONL-012-01</x:v>
      </x:c>
      <x:c r="N109" s="37" t="str">
        <x:v>게임 기획서</x:v>
      </x:c>
      <x:c r="O109" s="37"/>
    </x:row>
    <x:row r="110" ht="42" customHeight="1">
      <x:c r="A110" s="37" t="str">
        <x:v>작업</x:v>
      </x:c>
      <x:c r="B110" s="37" t="str">
        <x:v>[ONL-013] 공개 매치메이킹 대기열</x:v>
      </x:c>
      <x:c r="C110" s="37" t="str">
        <x:v>게임 규칙, 운영 요구사항과 대상 플랫폼 제약을 충족하도록 공개 매치메이킹 대기열 기능을 구현하고 검증한다.</x:v>
      </x:c>
      <x:c r="D110" s="37" t="str">
        <x:v>높음</x:v>
      </x:c>
      <x:c r="E110" s="37" t="str">
        <x:v>온라인·로비·매치메이킹</x:v>
      </x:c>
      <x:c r="F110" s="37" t="str">
        <x:v>베타</x:v>
      </x:c>
      <x:c r="G110" s="37" t="str">
        <x:v>ONL-013;매치메이킹;베타</x:v>
      </x:c>
      <x:c r="H110" s="37" t="str">
        <x:v>매치메이킹</x:v>
      </x:c>
      <x:c r="I110" s="37"/>
      <x:c r="J110" s="37" t="str">
        <x:v>ONL-013</x:v>
      </x:c>
      <x:c r="K110" s="37" t="str">
        <x:v>인원, 지역, 크로스플레이, 실력·초보자 구간 등의 조건으로 대기열에 등록하고 매칭 성립 후 룸으로 원자적으로 이동한다.</x:v>
      </x:c>
      <x:c r="L110" s="37" t="str">
        <x:v>ONL-003,ONL-004,ONL-022</x:v>
      </x:c>
      <x:c r="M110" s="37" t="str">
        <x:v>TC-ONL-013-01</x:v>
      </x:c>
      <x:c r="N110" s="37" t="str">
        <x:v>게임 기획서</x:v>
      </x:c>
      <x:c r="O110" s="37"/>
    </x:row>
    <x:row r="111" ht="42" customHeight="1">
      <x:c r="A111" s="37" t="str">
        <x:v>작업</x:v>
      </x:c>
      <x:c r="B111" s="37" t="str">
        <x:v>[ONL-014] 검색 취소·시간 초과·재시도</x:v>
      </x:c>
      <x:c r="C111" s="37" t="str">
        <x:v>게임 규칙, 운영 요구사항과 대상 플랫폼 제약을 충족하도록 검색 취소·시간 초과·재시도 기능을 구현하고 검증한다.</x:v>
      </x:c>
      <x:c r="D111" s="37" t="str">
        <x:v>높음</x:v>
      </x:c>
      <x:c r="E111" s="37" t="str">
        <x:v>온라인·로비·매치메이킹</x:v>
      </x:c>
      <x:c r="F111" s="37" t="str">
        <x:v>베타</x:v>
      </x:c>
      <x:c r="G111" s="37" t="str">
        <x:v>ONL-014;매치메이킹;베타</x:v>
      </x:c>
      <x:c r="H111" s="37" t="str">
        <x:v>매치메이킹</x:v>
      </x:c>
      <x:c r="I111" s="37"/>
      <x:c r="J111" s="37" t="str">
        <x:v>ONL-014</x:v>
      </x:c>
      <x:c r="K111" s="37" t="str">
        <x:v>취소와 매칭 성립이 동시에 발생해도 중복 참가하지 않으며 시간 초과 후 조건 완화 또는 재시도 선택지를 표시한다.</x:v>
      </x:c>
      <x:c r="L111" s="37" t="str">
        <x:v>ONL-013</x:v>
      </x:c>
      <x:c r="M111" s="37" t="str">
        <x:v>TC-ONL-014-01</x:v>
      </x:c>
      <x:c r="N111" s="37" t="str">
        <x:v>게임 기획서</x:v>
      </x:c>
      <x:c r="O111" s="37"/>
    </x:row>
    <x:row r="112" ht="42" customHeight="1">
      <x:c r="A112" s="37" t="str">
        <x:v>작업</x:v>
      </x:c>
      <x:c r="B112" s="37" t="str">
        <x:v>[ONL-015] 클라이언트·서버·콘텐츠 호환성</x:v>
      </x:c>
      <x:c r="C112" s="37" t="str">
        <x:v>게임 규칙, 운영 요구사항과 대상 플랫폼 제약을 충족하도록 클라이언트·서버·콘텐츠 호환성 기능을 구현하고 검증한다.</x:v>
      </x:c>
      <x:c r="D112" s="37" t="str">
        <x:v>최상</x:v>
      </x:c>
      <x:c r="E112" s="37" t="str">
        <x:v>온라인·로비·매치메이킹</x:v>
      </x:c>
      <x:c r="F112" s="37" t="str">
        <x:v>MVP</x:v>
      </x:c>
      <x:c r="G112" s="37" t="str">
        <x:v>ONL-015;호환성;MVP</x:v>
      </x:c>
      <x:c r="H112" s="37" t="str">
        <x:v>호환성</x:v>
      </x:c>
      <x:c r="I112" s="37"/>
      <x:c r="J112" s="37" t="str">
        <x:v>ONL-015</x:v>
      </x:c>
      <x:c r="K112" s="37" t="str">
        <x:v>프로토콜, 게임 규칙, 콘텐츠, 설정 스키마의 호환 범위를 시작 전에 확인하고 호환되지 않는 클라이언트를 명확히 거부한다.</x:v>
      </x:c>
      <x:c r="L112" s="37" t="str">
        <x:v>NET-002,BED-015,CNT-028</x:v>
      </x:c>
      <x:c r="M112" s="37" t="str">
        <x:v>TC-ONL-015-01, TC-ONL-015-02</x:v>
      </x:c>
      <x:c r="N112" s="37" t="str">
        <x:v>게임 기획서</x:v>
      </x:c>
      <x:c r="O112" s="37"/>
    </x:row>
    <x:row r="113" ht="42" customHeight="1">
      <x:c r="A113" s="37" t="str">
        <x:v>작업</x:v>
      </x:c>
      <x:c r="B113" s="37" t="str">
        <x:v>[ONL-016] 매치 시작 후 참가·백필 정책</x:v>
      </x:c>
      <x:c r="C113" s="37" t="str">
        <x:v>게임 규칙, 운영 요구사항과 대상 플랫폼 제약을 충족하도록 매치 시작 후 참가·백필 정책 기능을 구현하고 검증한다.</x:v>
      </x:c>
      <x:c r="D113" s="37" t="str">
        <x:v>최상</x:v>
      </x:c>
      <x:c r="E113" s="37" t="str">
        <x:v>온라인·로비·매치메이킹</x:v>
      </x:c>
      <x:c r="F113" s="37" t="str">
        <x:v>MVP</x:v>
      </x:c>
      <x:c r="G113" s="37" t="str">
        <x:v>ONL-016;정보 비공개;MVP</x:v>
      </x:c>
      <x:c r="H113" s="37" t="str">
        <x:v>세션 정책</x:v>
      </x:c>
      <x:c r="I113" s="37"/>
      <x:c r="J113" s="37" t="str">
        <x:v>ONL-016</x:v>
      </x:c>
      <x:c r="K113" s="37" t="str">
        <x:v>MVP에서는 매치 시작 후 신규 참가를 금지하고 재접속만 허용한다. 향후 백필 기능은 역할 비공개와 공정성 검토를 필수로 한다.</x:v>
      </x:c>
      <x:c r="L113" s="37" t="str">
        <x:v>ONL-011</x:v>
      </x:c>
      <x:c r="M113" s="37" t="str">
        <x:v>TC-ONL-016-01, TC-ONL-016-02</x:v>
      </x:c>
      <x:c r="N113" s="37" t="str">
        <x:v>게임 기획서</x:v>
      </x:c>
      <x:c r="O113" s="37"/>
    </x:row>
    <x:row r="114" ht="42" customHeight="1">
      <x:c r="A114" s="37" t="str">
        <x:v>작업</x:v>
      </x:c>
      <x:c r="B114" s="37" t="str">
        <x:v>[ONL-017] 연결 끊김 감지·재접속 예약·유예</x:v>
      </x:c>
      <x:c r="C114" s="37" t="str">
        <x:v>게임 규칙, 운영 요구사항과 대상 플랫폼 제약을 충족하도록 연결 끊김 감지·재접속 예약·유예 기능을 구현하고 검증한다.</x:v>
      </x:c>
      <x:c r="D114" s="37" t="str">
        <x:v>최상</x:v>
      </x:c>
      <x:c r="E114" s="37" t="str">
        <x:v>온라인·로비·매치메이킹</x:v>
      </x:c>
      <x:c r="F114" s="37" t="str">
        <x:v>알파</x:v>
      </x:c>
      <x:c r="G114" s="37" t="str">
        <x:v>ONL-017;안정성;알파</x:v>
      </x:c>
      <x:c r="H114" s="37" t="str">
        <x:v>복원력</x:v>
      </x:c>
      <x:c r="I114" s="37"/>
      <x:c r="J114" s="37" t="str">
        <x:v>ONL-017</x:v>
      </x:c>
      <x:c r="K114" s="37" t="str">
        <x:v>연결 끊김 이후 설정된 시간 동안 같은 ID의 예약 슬롯을 유지하고 토큰 검증 후 동일한 플레이어 슬롯으로 복귀시킨다.</x:v>
      </x:c>
      <x:c r="L114" s="37" t="str">
        <x:v>ONL-002,ONL-007,NET-019</x:v>
      </x:c>
      <x:c r="M114" s="37" t="str">
        <x:v>TC-ONL-017-01, TC-ONL-017-02</x:v>
      </x:c>
      <x:c r="N114" s="37" t="str">
        <x:v>게임 기획서</x:v>
      </x:c>
      <x:c r="O114" s="37"/>
    </x:row>
    <x:row r="115" ht="42" customHeight="1">
      <x:c r="A115" s="37" t="str">
        <x:v>작업</x:v>
      </x:c>
      <x:c r="B115" s="37" t="str">
        <x:v>[ONL-018] 자발적 이탈·강제 퇴장·차단 처리</x:v>
      </x:c>
      <x:c r="C115" s="37" t="str">
        <x:v>게임 규칙, 운영 요구사항과 대상 플랫폼 제약을 충족하도록 자발적 이탈·강제 퇴장·차단 처리 기능을 구현하고 검증한다.</x:v>
      </x:c>
      <x:c r="D115" s="37" t="str">
        <x:v>높음</x:v>
      </x:c>
      <x:c r="E115" s="37" t="str">
        <x:v>온라인·로비·매치메이킹</x:v>
      </x:c>
      <x:c r="F115" s="37" t="str">
        <x:v>알파</x:v>
      </x:c>
      <x:c r="G115" s="37" t="str">
        <x:v>ONL-018;운영;알파</x:v>
      </x:c>
      <x:c r="H115" s="37" t="str">
        <x:v>로비</x:v>
      </x:c>
      <x:c r="I115" s="37"/>
      <x:c r="J115" s="37" t="str">
        <x:v>ONL-018</x:v>
      </x:c>
      <x:c r="K115" s="37" t="str">
        <x:v>이탈과 강제 퇴장을 모든 클라이언트에 알리고 호스트 이전, 색상 해제, 준비 취소, 재접속 불가 상태를 일관되게 처리한다.</x:v>
      </x:c>
      <x:c r="L115" s="37" t="str">
        <x:v>ONL-008,ONL-009,BED-009</x:v>
      </x:c>
      <x:c r="M115" s="37" t="str">
        <x:v>TC-ONL-018-01</x:v>
      </x:c>
      <x:c r="N115" s="37" t="str">
        <x:v>게임 기획서</x:v>
      </x:c>
      <x:c r="O115" s="37"/>
    </x:row>
    <x:row r="116" ht="42" customHeight="1">
      <x:c r="A116" s="37" t="str">
        <x:v>작업</x:v>
      </x:c>
      <x:c r="B116" s="37" t="str">
        <x:v>[ONL-019] 매치 종료·로비 복귀·세션 정리</x:v>
      </x:c>
      <x:c r="C116" s="37" t="str">
        <x:v>게임 규칙, 운영 요구사항과 대상 플랫폼 제약을 충족하도록 매치 종료·로비 복귀·세션 정리 기능을 구현하고 검증한다.</x:v>
      </x:c>
      <x:c r="D116" s="37" t="str">
        <x:v>최상</x:v>
      </x:c>
      <x:c r="E116" s="37" t="str">
        <x:v>온라인·로비·매치메이킹</x:v>
      </x:c>
      <x:c r="F116" s="37" t="str">
        <x:v>MVP</x:v>
      </x:c>
      <x:c r="G116" s="37" t="str">
        <x:v>ONL-019;데이터 무결성;MVP</x:v>
      </x:c>
      <x:c r="H116" s="37" t="str">
        <x:v>세션 수명주기</x:v>
      </x:c>
      <x:c r="I116" s="37"/>
      <x:c r="J116" s="37" t="str">
        <x:v>ONL-019</x:v>
      </x:c>
      <x:c r="K116" s="37" t="str">
        <x:v>결과 확정 후 모든 참가자를 동일 로비로 복귀시키고 보상·기록 저장이 완료되기 전에 세션을 삭제하지 않는다. 시간 초과 시 재전송할 수 있다.</x:v>
      </x:c>
      <x:c r="L116" s="37" t="str">
        <x:v>IGM-026,IGM-027,IGM-031,BED-006,BED-007</x:v>
      </x:c>
      <x:c r="M116" s="37" t="str">
        <x:v>TC-ONL-019-01, TC-ONL-019-02</x:v>
      </x:c>
      <x:c r="N116" s="37" t="str">
        <x:v>게임 기획서</x:v>
      </x:c>
      <x:c r="O116" s="37"/>
    </x:row>
    <x:row r="117" ht="42" customHeight="1">
      <x:c r="A117" s="37" t="str">
        <x:v>작업</x:v>
      </x:c>
      <x:c r="B117" s="37" t="str">
        <x:v>[ONL-020] 온라인 오류 코드 체계</x:v>
      </x:c>
      <x:c r="C117" s="37" t="str">
        <x:v>게임 규칙, 운영 요구사항과 대상 플랫폼 제약을 충족하도록 온라인 오류 코드 체계 기능을 구현하고 검증한다.</x:v>
      </x:c>
      <x:c r="D117" s="37" t="str">
        <x:v>최상</x:v>
      </x:c>
      <x:c r="E117" s="37" t="str">
        <x:v>온라인·로비·매치메이킹</x:v>
      </x:c>
      <x:c r="F117" s="37" t="str">
        <x:v>MVP</x:v>
      </x:c>
      <x:c r="G117" s="37" t="str">
        <x:v>ONL-020;운영;MVP</x:v>
      </x:c>
      <x:c r="H117" s="37" t="str">
        <x:v>오류 처리</x:v>
      </x:c>
      <x:c r="I117" s="37"/>
      <x:c r="J117" s="37" t="str">
        <x:v>ONL-020</x:v>
      </x:c>
      <x:c r="K117" s="37" t="str">
        <x:v>인증, 만원, 시작됨, 만료, 호환성, 점검, 요청 제한, 차단, 네트워크 끊김을 고유 코드와 현지화 키로 정의한다.</x:v>
      </x:c>
      <x:c r="L117" s="37" t="str">
        <x:v>ONL-001,BED-018</x:v>
      </x:c>
      <x:c r="M117" s="37" t="str">
        <x:v>TC-ONL-020-01, TC-ONL-020-02</x:v>
      </x:c>
      <x:c r="N117" s="37" t="str">
        <x:v>게임 기획서</x:v>
      </x:c>
      <x:c r="O117" s="37"/>
    </x:row>
    <x:row r="118" ht="42" customHeight="1">
      <x:c r="A118" s="37" t="str">
        <x:v>작업</x:v>
      </x:c>
      <x:c r="B118" s="37" t="str">
        <x:v>[ONL-021] 호스트 이탈·서버 장애 정책</x:v>
      </x:c>
      <x:c r="C118" s="37" t="str">
        <x:v>게임 규칙, 운영 요구사항과 대상 플랫폼 제약을 충족하도록 호스트 이탈·서버 장애 정책 기능을 구현하고 검증한다.</x:v>
      </x:c>
      <x:c r="D118" s="37" t="str">
        <x:v>최상</x:v>
      </x:c>
      <x:c r="E118" s="37" t="str">
        <x:v>온라인·로비·매치메이킹</x:v>
      </x:c>
      <x:c r="F118" s="37" t="str">
        <x:v>알파</x:v>
      </x:c>
      <x:c r="G118" s="37" t="str">
        <x:v>ONL-021;안정성;알파</x:v>
      </x:c>
      <x:c r="H118" s="37" t="str">
        <x:v>복원력</x:v>
      </x:c>
      <x:c r="I118" s="37"/>
      <x:c r="J118" s="37" t="str">
        <x:v>ONL-021</x:v>
      </x:c>
      <x:c r="K118" s="37" t="str">
        <x:v>전용 서버 구성에서는 호스트 이탈과 무관하게 매치를 계속하고 서버 장애 시 재접속 또는 무효 매치를 결정한다. P2P 적용 시 별도의 이전 사양을 정의한다.</x:v>
      </x:c>
      <x:c r="L118" s="37" t="str">
        <x:v>ONL-008,NET-020</x:v>
      </x:c>
      <x:c r="M118" s="37" t="str">
        <x:v>TC-ONL-021-01, TC-ONL-021-02</x:v>
      </x:c>
      <x:c r="N118" s="37" t="str">
        <x:v>게임 기획서</x:v>
      </x:c>
      <x:c r="O118" s="37"/>
    </x:row>
    <x:row r="119" ht="42" customHeight="1">
      <x:c r="A119" s="37" t="str">
        <x:v>작업</x:v>
      </x:c>
      <x:c r="B119" s="37" t="str">
        <x:v>[ONL-022] 크로스플레이·입력·지역 제한</x:v>
      </x:c>
      <x:c r="C119" s="37" t="str">
        <x:v>게임 규칙, 운영 요구사항과 대상 플랫폼 제약을 충족하도록 크로스플레이·입력·지역 제한 기능을 구현하고 검증한다.</x:v>
      </x:c>
      <x:c r="D119" s="37" t="str">
        <x:v>높음</x:v>
      </x:c>
      <x:c r="E119" s="37" t="str">
        <x:v>온라인·로비·매치메이킹</x:v>
      </x:c>
      <x:c r="F119" s="37" t="str">
        <x:v>베타</x:v>
      </x:c>
      <x:c r="G119" s="37" t="str">
        <x:v>ONL-022;호환성;베타</x:v>
      </x:c>
      <x:c r="H119" s="37" t="str">
        <x:v>호환성</x:v>
      </x:c>
      <x:c r="I119" s="37"/>
      <x:c r="J119" s="37" t="str">
        <x:v>ONL-022</x:v>
      </x:c>
      <x:c r="K119" s="37" t="str">
        <x:v>플랫폼, 크로스플레이 허용, 연령 제한, 지역 규제를 매칭 조건에 반영하고 지원하지 않는 조합은 대기열 등록 전에 거부한다.</x:v>
      </x:c>
      <x:c r="L119" s="37" t="str">
        <x:v>SET-026,BED-013</x:v>
      </x:c>
      <x:c r="M119" s="37" t="str">
        <x:v>TC-ONL-022-01</x:v>
      </x:c>
      <x:c r="N119" s="37" t="str">
        <x:v>게임 기획서</x:v>
      </x:c>
      <x:c r="O119" s="37"/>
    </x:row>
    <x:row r="120" ht="42" customHeight="1">
      <x:c r="A120" s="37" t="str">
        <x:v>작업</x:v>
      </x:c>
      <x:c r="B120" s="37" t="str">
        <x:v>[ONL-023] 룸 생성·참가·초대 요청 제한</x:v>
      </x:c>
      <x:c r="C120" s="37" t="str">
        <x:v>게임 규칙, 운영 요구사항과 대상 플랫폼 제약을 충족하도록 룸 생성·참가·초대 요청 제한 기능을 구현하고 검증한다.</x:v>
      </x:c>
      <x:c r="D120" s="37" t="str">
        <x:v>최상</x:v>
      </x:c>
      <x:c r="E120" s="37" t="str">
        <x:v>온라인·로비·매치메이킹</x:v>
      </x:c>
      <x:c r="F120" s="37" t="str">
        <x:v>출시</x:v>
      </x:c>
      <x:c r="G120" s="37" t="str">
        <x:v>ONL-023;보안;출시</x:v>
      </x:c>
      <x:c r="H120" s="37" t="str">
        <x:v>악용 방어</x:v>
      </x:c>
      <x:c r="I120" s="37"/>
      <x:c r="J120" s="37" t="str">
        <x:v>ONL-023</x:v>
      </x:c>
      <x:c r="K120" s="37" t="str">
        <x:v>IP, 계정, 기기 단위의 요청 제한과 점진적 대기 시간을 적용하되 정상 사용자의 재시도를 과도하게 방해하지 않는다.</x:v>
      </x:c>
      <x:c r="L120" s="37" t="str">
        <x:v>BED-017,BED-018</x:v>
      </x:c>
      <x:c r="M120" s="37" t="str">
        <x:v>TC-ONL-023-01, TC-ONL-023-02</x:v>
      </x:c>
      <x:c r="N120" s="37" t="str">
        <x:v>게임 기획서</x:v>
      </x:c>
      <x:c r="O120" s="37"/>
    </x:row>
    <x:row r="121" ht="42" customHeight="1">
      <x:c r="A121" s="37" t="str">
        <x:v>작업</x:v>
      </x:c>
      <x:c r="B121" s="37" t="str">
        <x:v>[ONL-024] 매치 품질 지표</x:v>
      </x:c>
      <x:c r="C121" s="37" t="str">
        <x:v>게임 규칙, 운영 요구사항과 대상 플랫폼 제약을 충족하도록 매치 품질 지표 기능을 구현하고 검증한다.</x:v>
      </x:c>
      <x:c r="D121" s="37" t="str">
        <x:v>높음</x:v>
      </x:c>
      <x:c r="E121" s="37" t="str">
        <x:v>온라인·로비·매치메이킹</x:v>
      </x:c>
      <x:c r="F121" s="37" t="str">
        <x:v>베타</x:v>
      </x:c>
      <x:c r="G121" s="37" t="str">
        <x:v>ONL-024;운영;베타</x:v>
      </x:c>
      <x:c r="H121" s="37" t="str">
        <x:v>매치메이킹</x:v>
      </x:c>
      <x:c r="I121" s="37"/>
      <x:c r="J121" s="37" t="str">
        <x:v>ONL-024</x:v>
      </x:c>
      <x:c r="K121" s="37" t="str">
        <x:v>검색 시간, 매칭 성립률, 예상·실측 핑, 이탈률, 재접속률을 익명화해 수집하고 지역과 버전별로 모니터링할 수 있다.</x:v>
      </x:c>
      <x:c r="L121" s="37" t="str">
        <x:v>ONL-013,BED-008</x:v>
      </x:c>
      <x:c r="M121" s="37" t="str">
        <x:v>TC-ONL-024-01</x:v>
      </x:c>
      <x:c r="N121" s="37" t="str">
        <x:v>게임 기획서</x:v>
      </x:c>
      <x:c r="O121" s="37"/>
    </x:row>
    <x:row r="122" ht="42" customHeight="1">
      <x:c r="A122" s="37" t="str">
        <x:v>작업</x:v>
      </x:c>
      <x:c r="B122" s="37" t="str">
        <x:v>[ONL-025] 점검·축소 운영·상태 공지</x:v>
      </x:c>
      <x:c r="C122" s="37" t="str">
        <x:v>게임 규칙, 운영 요구사항과 대상 플랫폼 제약을 충족하도록 점검·축소 운영·상태 공지 기능을 구현하고 검증한다.</x:v>
      </x:c>
      <x:c r="D122" s="37" t="str">
        <x:v>최상</x:v>
      </x:c>
      <x:c r="E122" s="37" t="str">
        <x:v>온라인·로비·매치메이킹</x:v>
      </x:c>
      <x:c r="F122" s="37" t="str">
        <x:v>출시</x:v>
      </x:c>
      <x:c r="G122" s="37" t="str">
        <x:v>ONL-025;운영;출시</x:v>
      </x:c>
      <x:c r="H122" s="37" t="str">
        <x:v>서비스 운영</x:v>
      </x:c>
      <x:c r="I122" s="37"/>
      <x:c r="J122" s="37" t="str">
        <x:v>ONL-025</x:v>
      </x:c>
      <x:c r="K122" s="37" t="str">
        <x:v>계획 점검, 부분 장애, 신규 매치 시작 중지, 기존 매치 지속 여부를 원격 제어하고 클라이언트에 일관된 안내 문구를 표시한다.</x:v>
      </x:c>
      <x:c r="L122" s="37" t="str">
        <x:v>BED-016,BED-019,UIX-026</x:v>
      </x:c>
      <x:c r="M122" s="37" t="str">
        <x:v>TC-ONL-025-01, TC-ONL-025-02</x:v>
      </x:c>
      <x:c r="N122" s="37" t="str">
        <x:v>게임 기획서</x:v>
      </x:c>
      <x:c r="O122" s="37"/>
    </x:row>
    <x:row r="123" ht="42" customHeight="1">
      <x:c r="A123" s="37" t="str">
        <x:v>작업</x:v>
      </x:c>
      <x:c r="B123" s="37" t="str">
        <x:v>[NET-001] 전용 서버 권한 모델</x:v>
      </x:c>
      <x:c r="C123" s="37" t="str">
        <x:v>게임 규칙, 운영 요구사항과 대상 플랫폼 제약을 충족하도록 전용 서버 권한 모델 기능을 구현하고 검증한다.</x:v>
      </x:c>
      <x:c r="D123" s="37" t="str">
        <x:v>최상</x:v>
      </x:c>
      <x:c r="E123" s="37" t="str">
        <x:v>네트워크 동기화·보안</x:v>
      </x:c>
      <x:c r="F123" s="37" t="str">
        <x:v>MVP</x:v>
      </x:c>
      <x:c r="G123" s="37" t="str">
        <x:v>NET-001;네트워크 기반;MVP</x:v>
      </x:c>
      <x:c r="H123" s="37" t="str">
        <x:v>네트워크 아키텍처</x:v>
      </x:c>
      <x:c r="I123" s="37"/>
      <x:c r="J123" s="37" t="str">
        <x:v>NET-001</x:v>
      </x:c>
      <x:c r="K123" s="37" t="str">
        <x:v>역할, 규칙, 메모, 투표, 승패는 전용 서버를 기준 데이터로 삼고 클라이언트는 표시와 예측만 수행한다. P2P 예외는 두지 않는다.</x:v>
      </x:c>
      <x:c r="L123" s="37"/>
      <x:c r="M123" s="37" t="str">
        <x:v>TC-NET-001-01, TC-NET-001-02</x:v>
      </x:c>
      <x:c r="N123" s="37" t="str">
        <x:v>게임 기획서</x:v>
      </x:c>
      <x:c r="O123" s="37"/>
    </x:row>
    <x:row r="124" ht="42" customHeight="1">
      <x:c r="A124" s="37" t="str">
        <x:v>작업</x:v>
      </x:c>
      <x:c r="B124" s="37" t="str">
        <x:v>[NET-002] 프로토콜·메시지 스키마 버전 관리</x:v>
      </x:c>
      <x:c r="C124" s="37" t="str">
        <x:v>게임 규칙, 운영 요구사항과 대상 플랫폼 제약을 충족하도록 프로토콜·메시지 스키마 버전 관리 기능을 구현하고 검증한다.</x:v>
      </x:c>
      <x:c r="D124" s="37" t="str">
        <x:v>최상</x:v>
      </x:c>
      <x:c r="E124" s="37" t="str">
        <x:v>네트워크 동기화·보안</x:v>
      </x:c>
      <x:c r="F124" s="37" t="str">
        <x:v>MVP</x:v>
      </x:c>
      <x:c r="G124" s="37" t="str">
        <x:v>NET-002;호환성;MVP</x:v>
      </x:c>
      <x:c r="H124" s="37" t="str">
        <x:v>네트워크 아키텍처</x:v>
      </x:c>
      <x:c r="I124" s="37"/>
      <x:c r="J124" s="37" t="str">
        <x:v>NET-002</x:v>
      </x:c>
      <x:c r="K124" s="37" t="str">
        <x:v>연결 시 프로토콜 버전과 호환 범위를 교환하고 필수 필드가 없거나 호환되지 않는 버전은 매치 참가 전에 거부한다.</x:v>
      </x:c>
      <x:c r="L124" s="37" t="str">
        <x:v>NET-001</x:v>
      </x:c>
      <x:c r="M124" s="37" t="str">
        <x:v>TC-NET-002-01, TC-NET-002-02</x:v>
      </x:c>
      <x:c r="N124" s="37" t="str">
        <x:v>게임 기획서</x:v>
      </x:c>
      <x:c r="O124" s="37"/>
    </x:row>
    <x:row r="125" ht="42" customHeight="1">
      <x:c r="A125" s="37" t="str">
        <x:v>작업</x:v>
      </x:c>
      <x:c r="B125" s="37" t="str">
        <x:v>[NET-003] 고정 틱·시뮬레이션 처리 순서</x:v>
      </x:c>
      <x:c r="C125" s="37" t="str">
        <x:v>게임 규칙, 운영 요구사항과 대상 플랫폼 제약을 충족하도록 고정 틱·시뮬레이션 처리 순서 기능을 구현하고 검증한다.</x:v>
      </x:c>
      <x:c r="D125" s="37" t="str">
        <x:v>최상</x:v>
      </x:c>
      <x:c r="E125" s="37" t="str">
        <x:v>네트워크 동기화·보안</x:v>
      </x:c>
      <x:c r="F125" s="37" t="str">
        <x:v>MVP</x:v>
      </x:c>
      <x:c r="G125" s="37" t="str">
        <x:v>NET-003;네트워크 기반;MVP</x:v>
      </x:c>
      <x:c r="H125" s="37" t="str">
        <x:v>네트워크 아키텍처</x:v>
      </x:c>
      <x:c r="I125" s="37"/>
      <x:c r="J125" s="37" t="str">
        <x:v>NET-003</x:v>
      </x:c>
      <x:c r="K125" s="37" t="str">
        <x:v>서버 틱, 입력 처리, 상태 전환, 이벤트 확정 순서를 정의하고 같은 입력에서 결정론적인 메모 순서와 투표 결과를 얻는다.</x:v>
      </x:c>
      <x:c r="L125" s="37" t="str">
        <x:v>NET-001</x:v>
      </x:c>
      <x:c r="M125" s="37" t="str">
        <x:v>TC-NET-003-01, TC-NET-003-02</x:v>
      </x:c>
      <x:c r="N125" s="37" t="str">
        <x:v>게임 기획서</x:v>
      </x:c>
      <x:c r="O125" s="37"/>
    </x:row>
    <x:row r="126" ht="42" customHeight="1">
      <x:c r="A126" s="37" t="str">
        <x:v>작업</x:v>
      </x:c>
      <x:c r="B126" s="37" t="str">
        <x:v>[NET-004] 연결 핸드셰이크·인증 토큰 검증</x:v>
      </x:c>
      <x:c r="C126" s="37" t="str">
        <x:v>게임 규칙, 운영 요구사항과 대상 플랫폼 제약을 충족하도록 연결 핸드셰이크·인증 토큰 검증 기능을 구현하고 검증한다.</x:v>
      </x:c>
      <x:c r="D126" s="37" t="str">
        <x:v>최상</x:v>
      </x:c>
      <x:c r="E126" s="37" t="str">
        <x:v>네트워크 동기화·보안</x:v>
      </x:c>
      <x:c r="F126" s="37" t="str">
        <x:v>MVP</x:v>
      </x:c>
      <x:c r="G126" s="37" t="str">
        <x:v>NET-004;보안;MVP</x:v>
      </x:c>
      <x:c r="H126" s="37" t="str">
        <x:v>연결</x:v>
      </x:c>
      <x:c r="I126" s="37"/>
      <x:c r="J126" s="37" t="str">
        <x:v>NET-004</x:v>
      </x:c>
      <x:c r="K126" s="37" t="str">
        <x:v>토큰의 만료, 서명, 대상, 세션 ID, 재사용 여부를 검증하고 성공하기 전에는 게임 상태나 비공개 정보를 전송하지 않는다.</x:v>
      </x:c>
      <x:c r="L126" s="37" t="str">
        <x:v>ONL-002,BED-001</x:v>
      </x:c>
      <x:c r="M126" s="37" t="str">
        <x:v>TC-NET-004-01, TC-NET-004-02</x:v>
      </x:c>
      <x:c r="N126" s="37" t="str">
        <x:v>게임 기획서</x:v>
      </x:c>
      <x:c r="O126" s="37"/>
    </x:row>
    <x:row r="127" ht="42" customHeight="1">
      <x:c r="A127" s="37" t="str">
        <x:v>작업</x:v>
      </x:c>
      <x:c r="B127" s="37" t="str">
        <x:v>[NET-005] 네트워크 객체 ID·플레이어 소유권</x:v>
      </x:c>
      <x:c r="C127" s="37" t="str">
        <x:v>게임 규칙, 운영 요구사항과 대상 플랫폼 제약을 충족하도록 네트워크 객체 ID·플레이어 소유권 기능을 구현하고 검증한다.</x:v>
      </x:c>
      <x:c r="D127" s="37" t="str">
        <x:v>최상</x:v>
      </x:c>
      <x:c r="E127" s="37" t="str">
        <x:v>네트워크 동기화·보안</x:v>
      </x:c>
      <x:c r="F127" s="37" t="str">
        <x:v>MVP</x:v>
      </x:c>
      <x:c r="G127" s="37" t="str">
        <x:v>NET-005;데이터 무결성;MVP</x:v>
      </x:c>
      <x:c r="H127" s="37" t="str">
        <x:v>연결</x:v>
      </x:c>
      <x:c r="I127" s="37"/>
      <x:c r="J127" s="37" t="str">
        <x:v>NET-005</x:v>
      </x:c>
      <x:c r="K127" s="37" t="str">
        <x:v>플레이어, 캐릭터, 미니게임, 메모, 투표 ID가 세션 안에서 고유하고 연결 끊김·재접속 시 다른 플레이어에게 잘못 귀속되지 않는다.</x:v>
      </x:c>
      <x:c r="L127" s="37" t="str">
        <x:v>NET-004</x:v>
      </x:c>
      <x:c r="M127" s="37" t="str">
        <x:v>TC-NET-005-01, TC-NET-005-02</x:v>
      </x:c>
      <x:c r="N127" s="37" t="str">
        <x:v>게임 기획서</x:v>
      </x:c>
      <x:c r="O127" s="37"/>
    </x:row>
    <x:row r="128" ht="42" customHeight="1">
      <x:c r="A128" s="37" t="str">
        <x:v>작업</x:v>
      </x:c>
      <x:c r="B128" s="37" t="str">
        <x:v>[NET-006] 로비·참가자·준비 상태 차분 동기화</x:v>
      </x:c>
      <x:c r="C128" s="37" t="str">
        <x:v>게임 규칙, 운영 요구사항과 대상 플랫폼 제약을 충족하도록 로비·참가자·준비 상태 차분 동기화 기능을 구현하고 검증한다.</x:v>
      </x:c>
      <x:c r="D128" s="37" t="str">
        <x:v>최상</x:v>
      </x:c>
      <x:c r="E128" s="37" t="str">
        <x:v>네트워크 동기화·보안</x:v>
      </x:c>
      <x:c r="F128" s="37" t="str">
        <x:v>MVP</x:v>
      </x:c>
      <x:c r="G128" s="37" t="str">
        <x:v>NET-006;동기화;MVP</x:v>
      </x:c>
      <x:c r="H128" s="37" t="str">
        <x:v>복제</x:v>
      </x:c>
      <x:c r="I128" s="37"/>
      <x:c r="J128" s="37" t="str">
        <x:v>NET-006</x:v>
      </x:c>
      <x:c r="K128" s="37" t="str">
        <x:v>입장, 이탈, 준비, 색상, 호스트 권한의 변경에 순번을 부여하고 누락 시 스냅샷을 다시 요청해 복구한다.</x:v>
      </x:c>
      <x:c r="L128" s="37" t="str">
        <x:v>NET-005,ONL-007</x:v>
      </x:c>
      <x:c r="M128" s="37" t="str">
        <x:v>TC-NET-006-01, TC-NET-006-02</x:v>
      </x:c>
      <x:c r="N128" s="37" t="str">
        <x:v>게임 기획서</x:v>
      </x:c>
      <x:c r="O128" s="37"/>
    </x:row>
    <x:row r="129" ht="42" customHeight="1">
      <x:c r="A129" s="37" t="str">
        <x:v>작업</x:v>
      </x:c>
      <x:c r="B129" s="37" t="str">
        <x:v>[NET-007] 확정 룸 설정 버전 동기화</x:v>
      </x:c>
      <x:c r="C129" s="37" t="str">
        <x:v>게임 규칙, 운영 요구사항과 대상 플랫폼 제약을 충족하도록 확정 룸 설정 버전 동기화 기능을 구현하고 검증한다.</x:v>
      </x:c>
      <x:c r="D129" s="37" t="str">
        <x:v>최상</x:v>
      </x:c>
      <x:c r="E129" s="37" t="str">
        <x:v>네트워크 동기화·보안</x:v>
      </x:c>
      <x:c r="F129" s="37" t="str">
        <x:v>MVP</x:v>
      </x:c>
      <x:c r="G129" s="37" t="str">
        <x:v>NET-007;동기화;MVP</x:v>
      </x:c>
      <x:c r="H129" s="37" t="str">
        <x:v>복제</x:v>
      </x:c>
      <x:c r="I129" s="37"/>
      <x:c r="J129" s="37" t="str">
        <x:v>NET-007</x:v>
      </x:c>
      <x:c r="K129" s="37" t="str">
        <x:v>설정 변경에 단조 증가 버전을 부여하고 매치 시작 시 모든 참가자의 수신 확인을 받는다. 이전 버전의 차분은 적용하지 않는다.</x:v>
      </x:c>
      <x:c r="L129" s="37" t="str">
        <x:v>NET-006,SET-021</x:v>
      </x:c>
      <x:c r="M129" s="37" t="str">
        <x:v>TC-NET-007-01, TC-NET-007-02</x:v>
      </x:c>
      <x:c r="N129" s="37" t="str">
        <x:v>게임 기획서</x:v>
      </x:c>
      <x:c r="O129" s="37"/>
    </x:row>
    <x:row r="130" ht="42" customHeight="1">
      <x:c r="A130" s="37" t="str">
        <x:v>작업</x:v>
      </x:c>
      <x:c r="B130" s="37" t="str">
        <x:v>[NET-008] 서버 시각 동기화·타이머 보정</x:v>
      </x:c>
      <x:c r="C130" s="37" t="str">
        <x:v>게임 규칙, 운영 요구사항과 대상 플랫폼 제약을 충족하도록 서버 시각 동기화·타이머 보정 기능을 구현하고 검증한다.</x:v>
      </x:c>
      <x:c r="D130" s="37" t="str">
        <x:v>최상</x:v>
      </x:c>
      <x:c r="E130" s="37" t="str">
        <x:v>네트워크 동기화·보안</x:v>
      </x:c>
      <x:c r="F130" s="37" t="str">
        <x:v>MVP</x:v>
      </x:c>
      <x:c r="G130" s="37" t="str">
        <x:v>NET-008;동기화;MVP</x:v>
      </x:c>
      <x:c r="H130" s="37" t="str">
        <x:v>시간 동기화</x:v>
      </x:c>
      <x:c r="I130" s="37"/>
      <x:c r="J130" s="37" t="str">
        <x:v>NET-008</x:v>
      </x:c>
      <x:c r="K130" s="37" t="str">
        <x:v>왕복 지연을 고려해 시각 차이를 추정하고 페이즈 시작 시각과 마감 시각을 절대 시각으로 배포한다. UI 보정은 부드럽게 처리하되 서버 마감이 우선한다.</x:v>
      </x:c>
      <x:c r="L130" s="37" t="str">
        <x:v>NET-004</x:v>
      </x:c>
      <x:c r="M130" s="37" t="str">
        <x:v>TC-NET-008-01, TC-NET-008-02</x:v>
      </x:c>
      <x:c r="N130" s="37" t="str">
        <x:v>게임 기획서</x:v>
      </x:c>
      <x:c r="O130" s="37"/>
    </x:row>
    <x:row r="131" ht="42" customHeight="1">
      <x:c r="A131" s="37" t="str">
        <x:v>작업</x:v>
      </x:c>
      <x:c r="B131" s="37" t="str">
        <x:v>[NET-009] 이동 동기화·보간·텔레포트</x:v>
      </x:c>
      <x:c r="C131" s="37" t="str">
        <x:v>게임 규칙, 운영 요구사항과 대상 플랫폼 제약을 충족하도록 이동 동기화·보간·텔레포트 기능을 구현하고 검증한다.</x:v>
      </x:c>
      <x:c r="D131" s="37" t="str">
        <x:v>최상</x:v>
      </x:c>
      <x:c r="E131" s="37" t="str">
        <x:v>네트워크 동기화·보안</x:v>
      </x:c>
      <x:c r="F131" s="37" t="str">
        <x:v>MVP</x:v>
      </x:c>
      <x:c r="G131" s="37" t="str">
        <x:v>NET-009;동기화;MVP</x:v>
      </x:c>
      <x:c r="H131" s="37" t="str">
        <x:v>복제</x:v>
      </x:c>
      <x:c r="I131" s="37"/>
      <x:c r="J131" s="37" t="str">
        <x:v>NET-009</x:v>
      </x:c>
      <x:c r="K131" s="37" t="str">
        <x:v>낮 이동을 대역폭 범위 안에서 부드럽게 보간하고 밤 집결은 명시적 텔레포트로 처리한다. 속도 변조와 범위 밖 좌표를 서버가 거부한다.</x:v>
      </x:c>
      <x:c r="L131" s="37" t="str">
        <x:v>NET-003,NET-005</x:v>
      </x:c>
      <x:c r="M131" s="37" t="str">
        <x:v>TC-NET-009-01, TC-NET-009-02</x:v>
      </x:c>
      <x:c r="N131" s="37" t="str">
        <x:v>게임 기획서</x:v>
      </x:c>
      <x:c r="O131" s="37"/>
    </x:row>
    <x:row r="132" ht="42" customHeight="1">
      <x:c r="A132" s="37" t="str">
        <x:v>작업</x:v>
      </x:c>
      <x:c r="B132" s="37" t="str">
        <x:v>[NET-010] 페이즈 전환 이벤트 신뢰성 전송</x:v>
      </x:c>
      <x:c r="C132" s="37" t="str">
        <x:v>게임 규칙, 운영 요구사항과 대상 플랫폼 제약을 충족하도록 페이즈 전환 이벤트 신뢰성 전송 기능을 구현하고 검증한다.</x:v>
      </x:c>
      <x:c r="D132" s="37" t="str">
        <x:v>최상</x:v>
      </x:c>
      <x:c r="E132" s="37" t="str">
        <x:v>네트워크 동기화·보안</x:v>
      </x:c>
      <x:c r="F132" s="37" t="str">
        <x:v>MVP</x:v>
      </x:c>
      <x:c r="G132" s="37" t="str">
        <x:v>NET-010;동기화;MVP</x:v>
      </x:c>
      <x:c r="H132" s="37" t="str">
        <x:v>복제</x:v>
      </x:c>
      <x:c r="I132" s="37"/>
      <x:c r="J132" s="37" t="str">
        <x:v>NET-010</x:v>
      </x:c>
      <x:c r="K132" s="37" t="str">
        <x:v>시작 시각, 상태 ID, 일차, 설정 버전을 신뢰성 채널로 전송하고 중복, 지연 도착, 재접속 상황에서도 한 번만 적용한다.</x:v>
      </x:c>
      <x:c r="L132" s="37" t="str">
        <x:v>NET-003,NET-008,IGM-001</x:v>
      </x:c>
      <x:c r="M132" s="37" t="str">
        <x:v>TC-NET-010-01, TC-NET-010-02</x:v>
      </x:c>
      <x:c r="N132" s="37" t="str">
        <x:v>게임 기획서</x:v>
      </x:c>
      <x:c r="O132" s="37"/>
    </x:row>
    <x:row r="133" ht="42" customHeight="1">
      <x:c r="A133" s="37" t="str">
        <x:v>작업</x:v>
      </x:c>
      <x:c r="B133" s="37" t="str">
        <x:v>[NET-011] 신뢰성·비신뢰성 채널 설계</x:v>
      </x:c>
      <x:c r="C133" s="37" t="str">
        <x:v>게임 규칙, 운영 요구사항과 대상 플랫폼 제약을 충족하도록 신뢰성·비신뢰성 채널 설계 기능을 구현하고 검증한다.</x:v>
      </x:c>
      <x:c r="D133" s="37" t="str">
        <x:v>최상</x:v>
      </x:c>
      <x:c r="E133" s="37" t="str">
        <x:v>네트워크 동기화·보안</x:v>
      </x:c>
      <x:c r="F133" s="37" t="str">
        <x:v>MVP</x:v>
      </x:c>
      <x:c r="G133" s="37" t="str">
        <x:v>NET-011;성능;MVP</x:v>
      </x:c>
      <x:c r="H133" s="37" t="str">
        <x:v>채널</x:v>
      </x:c>
      <x:c r="I133" s="37"/>
      <x:c r="J133" s="37" t="str">
        <x:v>NET-011</x:v>
      </x:c>
      <x:c r="K133" s="37" t="str">
        <x:v>역할, 메모, 투표, 설정, 승패는 신뢰성 채널을 사용하고 이동·일시 연출은 적절한 비신뢰성 채널을 사용해 우선순위 역전을 방지한다.</x:v>
      </x:c>
      <x:c r="L133" s="37" t="str">
        <x:v>NET-001</x:v>
      </x:c>
      <x:c r="M133" s="37" t="str">
        <x:v>TC-NET-011-01, TC-NET-011-02</x:v>
      </x:c>
      <x:c r="N133" s="37" t="str">
        <x:v>게임 기획서</x:v>
      </x:c>
      <x:c r="O133" s="37"/>
    </x:row>
    <x:row r="134" ht="42" customHeight="1">
      <x:c r="A134" s="37" t="str">
        <x:v>작업</x:v>
      </x:c>
      <x:c r="B134" s="37" t="str">
        <x:v>[NET-012] 공통 RPC 권한·상태·요청률 검증</x:v>
      </x:c>
      <x:c r="C134" s="37" t="str">
        <x:v>게임 규칙, 운영 요구사항과 대상 플랫폼 제약을 충족하도록 공통 RPC 권한·상태·요청률 검증 기능을 구현하고 검증한다.</x:v>
      </x:c>
      <x:c r="D134" s="37" t="str">
        <x:v>최상</x:v>
      </x:c>
      <x:c r="E134" s="37" t="str">
        <x:v>네트워크 동기화·보안</x:v>
      </x:c>
      <x:c r="F134" s="37" t="str">
        <x:v>MVP</x:v>
      </x:c>
      <x:c r="G134" s="37" t="str">
        <x:v>NET-012;보안;MVP</x:v>
      </x:c>
      <x:c r="H134" s="37" t="str">
        <x:v>보안</x:v>
      </x:c>
      <x:c r="I134" s="37"/>
      <x:c r="J134" s="37" t="str">
        <x:v>NET-012</x:v>
      </x:c>
      <x:c r="K134" s="37" t="str">
        <x:v>메시지별로 송신자 ID, 역할, 페이즈, 대상, 횟수, 거리, 권한, 요청률을 검증하고 거부 사유와 감사 이벤트를 기록한다.</x:v>
      </x:c>
      <x:c r="L134" s="37" t="str">
        <x:v>NET-004,NET-005</x:v>
      </x:c>
      <x:c r="M134" s="37" t="str">
        <x:v>TC-NET-012-01, TC-NET-012-02</x:v>
      </x:c>
      <x:c r="N134" s="37" t="str">
        <x:v>게임 기획서</x:v>
      </x:c>
      <x:c r="O134" s="37"/>
    </x:row>
    <x:row r="135" ht="42" customHeight="1">
      <x:c r="A135" s="37" t="str">
        <x:v>작업</x:v>
      </x:c>
      <x:c r="B135" s="37" t="str">
        <x:v>[NET-013] 메모 부착 요청 메시지</x:v>
      </x:c>
      <x:c r="C135" s="37" t="str">
        <x:v>게임 규칙, 운영 요구사항과 대상 플랫폼 제약을 충족하도록 메모 부착 요청 메시지 기능을 구현하고 검증한다.</x:v>
      </x:c>
      <x:c r="D135" s="37" t="str">
        <x:v>최상</x:v>
      </x:c>
      <x:c r="E135" s="37" t="str">
        <x:v>네트워크 동기화·보안</x:v>
      </x:c>
      <x:c r="F135" s="37" t="str">
        <x:v>MVP</x:v>
      </x:c>
      <x:c r="G135" s="37" t="str">
        <x:v>NET-013;메모;MVP</x:v>
      </x:c>
      <x:c r="H135" s="37" t="str">
        <x:v>게임 메시지</x:v>
      </x:c>
      <x:c r="I135" s="37"/>
      <x:c r="J135" s="37" t="str">
        <x:v>NET-013</x:v>
      </x:c>
      <x:c r="K135" s="37" t="str">
        <x:v>메모 ID, 대상 ID, 클라이언트 시작 틱을 수신하고 서버상의 위치, 등 뒤 각도, 페이즈, 소유권을 다시 검증한다.</x:v>
      </x:c>
      <x:c r="L135" s="37" t="str">
        <x:v>NET-012,IGM-016</x:v>
      </x:c>
      <x:c r="M135" s="37" t="str">
        <x:v>TC-NET-013-01, TC-NET-013-02</x:v>
      </x:c>
      <x:c r="N135" s="37" t="str">
        <x:v>게임 기획서</x:v>
      </x:c>
      <x:c r="O135" s="37"/>
    </x:row>
    <x:row r="136" ht="42" customHeight="1">
      <x:c r="A136" s="37" t="str">
        <x:v>작업</x:v>
      </x:c>
      <x:c r="B136" s="37" t="str">
        <x:v>[NET-014] 메모 확정·순서·멱등성</x:v>
      </x:c>
      <x:c r="C136" s="37" t="str">
        <x:v>게임 규칙, 운영 요구사항과 대상 플랫폼 제약을 충족하도록 메모 확정·순서·멱등성 기능을 구현하고 검증한다.</x:v>
      </x:c>
      <x:c r="D136" s="37" t="str">
        <x:v>최상</x:v>
      </x:c>
      <x:c r="E136" s="37" t="str">
        <x:v>네트워크 동기화·보안</x:v>
      </x:c>
      <x:c r="F136" s="37" t="str">
        <x:v>MVP</x:v>
      </x:c>
      <x:c r="G136" s="37" t="str">
        <x:v>NET-014;데이터 무결성;MVP</x:v>
      </x:c>
      <x:c r="H136" s="37" t="str">
        <x:v>게임 메시지</x:v>
      </x:c>
      <x:c r="I136" s="37"/>
      <x:c r="J136" s="37" t="str">
        <x:v>NET-014</x:v>
      </x:c>
      <x:c r="K136" s="37" t="str">
        <x:v>고유 작업 ID로 재전송을 흡수하고 서버 순번을 부여해 대상 메모를 볼 수 있는 클라이언트에 공개 모델만 배포한다.</x:v>
      </x:c>
      <x:c r="L136" s="37" t="str">
        <x:v>NET-013,IGM-018</x:v>
      </x:c>
      <x:c r="M136" s="37" t="str">
        <x:v>TC-NET-014-01, TC-NET-014-02</x:v>
      </x:c>
      <x:c r="N136" s="37" t="str">
        <x:v>게임 기획서</x:v>
      </x:c>
      <x:c r="O136" s="37"/>
    </x:row>
    <x:row r="137" ht="42" customHeight="1">
      <x:c r="A137" s="37" t="str">
        <x:v>작업</x:v>
      </x:c>
      <x:c r="B137" s="37" t="str">
        <x:v>[NET-015] 미니게임 완료·보상 멱등성</x:v>
      </x:c>
      <x:c r="C137" s="37" t="str">
        <x:v>게임 규칙, 운영 요구사항과 대상 플랫폼 제약을 충족하도록 미니게임 완료·보상 멱등성 기능을 구현하고 검증한다.</x:v>
      </x:c>
      <x:c r="D137" s="37" t="str">
        <x:v>최상</x:v>
      </x:c>
      <x:c r="E137" s="37" t="str">
        <x:v>네트워크 동기화·보안</x:v>
      </x:c>
      <x:c r="F137" s="37" t="str">
        <x:v>MVP</x:v>
      </x:c>
      <x:c r="G137" s="37" t="str">
        <x:v>NET-015;데이터 무결성;MVP</x:v>
      </x:c>
      <x:c r="H137" s="37" t="str">
        <x:v>게임 메시지</x:v>
      </x:c>
      <x:c r="I137" s="37"/>
      <x:c r="J137" s="37" t="str">
        <x:v>NET-015</x:v>
      </x:c>
      <x:c r="K137" s="37" t="str">
        <x:v>서버가 발급한 인스턴스 ID와 완료 Nonce를 검증하고 동일 완료 이벤트에 대한 보상은 한 번만 지급한다.</x:v>
      </x:c>
      <x:c r="L137" s="37" t="str">
        <x:v>NET-012,CNT-020,IGM-010</x:v>
      </x:c>
      <x:c r="M137" s="37" t="str">
        <x:v>TC-NET-015-01, TC-NET-015-02</x:v>
      </x:c>
      <x:c r="N137" s="37" t="str">
        <x:v>게임 기획서</x:v>
      </x:c>
      <x:c r="O137" s="37"/>
    </x:row>
    <x:row r="138" ht="42" customHeight="1">
      <x:c r="A138" s="37" t="str">
        <x:v>작업</x:v>
      </x:c>
      <x:c r="B138" s="37" t="str">
        <x:v>[NET-016] 투표 전송·비공개·마감 처리</x:v>
      </x:c>
      <x:c r="C138" s="37" t="str">
        <x:v>게임 규칙, 운영 요구사항과 대상 플랫폼 제약을 충족하도록 투표 전송·비공개·마감 처리 기능을 구현하고 검증한다.</x:v>
      </x:c>
      <x:c r="D138" s="37" t="str">
        <x:v>최상</x:v>
      </x:c>
      <x:c r="E138" s="37" t="str">
        <x:v>네트워크 동기화·보안</x:v>
      </x:c>
      <x:c r="F138" s="37" t="str">
        <x:v>MVP</x:v>
      </x:c>
      <x:c r="G138" s="37" t="str">
        <x:v>NET-016;정보 비공개;MVP</x:v>
      </x:c>
      <x:c r="H138" s="37" t="str">
        <x:v>게임 메시지</x:v>
      </x:c>
      <x:c r="I138" s="37"/>
      <x:c r="J138" s="37" t="str">
        <x:v>NET-016</x:v>
      </x:c>
      <x:c r="K138" s="37" t="str">
        <x:v>투표자와 대상을 인증하고 1회성, 마감, 대상 생존 여부를 검증한다. 집계 완료 전에는 다른 클라이언트에 투표 대상과 중간 득표 수를 전송하지 않는다.</x:v>
      </x:c>
      <x:c r="L138" s="37" t="str">
        <x:v>NET-012,IGM-023</x:v>
      </x:c>
      <x:c r="M138" s="37" t="str">
        <x:v>TC-NET-016-01, TC-NET-016-02</x:v>
      </x:c>
      <x:c r="N138" s="37" t="str">
        <x:v>게임 기획서</x:v>
      </x:c>
      <x:c r="O138" s="37"/>
    </x:row>
    <x:row r="139" ht="42" customHeight="1">
      <x:c r="A139" s="37" t="str">
        <x:v>작업</x:v>
      </x:c>
      <x:c r="B139" s="37" t="str">
        <x:v>[NET-017] 역할 정보 개인 전송·최소 배포</x:v>
      </x:c>
      <x:c r="C139" s="37" t="str">
        <x:v>게임 규칙, 운영 요구사항과 대상 플랫폼 제약을 충족하도록 역할 정보 개인 전송·최소 배포 기능을 구현하고 검증한다.</x:v>
      </x:c>
      <x:c r="D139" s="37" t="str">
        <x:v>최상</x:v>
      </x:c>
      <x:c r="E139" s="37" t="str">
        <x:v>네트워크 동기화·보안</x:v>
      </x:c>
      <x:c r="F139" s="37" t="str">
        <x:v>MVP</x:v>
      </x:c>
      <x:c r="G139" s="37" t="str">
        <x:v>NET-017;정보 비공개;MVP</x:v>
      </x:c>
      <x:c r="H139" s="37" t="str">
        <x:v>정보 보안</x:v>
      </x:c>
      <x:c r="I139" s="37"/>
      <x:c r="J139" s="37" t="str">
        <x:v>NET-017</x:v>
      </x:c>
      <x:c r="K139" s="37" t="str">
        <x:v>각 플레이어에게 본인 역할만 개인 전송하고 공통 스냅샷, 관전 데이터, 로그, 크래시 덤프에 다른 플레이어의 역할을 포함하지 않는다.</x:v>
      </x:c>
      <x:c r="L139" s="37" t="str">
        <x:v>NET-004,IGM-002</x:v>
      </x:c>
      <x:c r="M139" s="37" t="str">
        <x:v>TC-NET-017-01, TC-NET-017-02</x:v>
      </x:c>
      <x:c r="N139" s="37" t="str">
        <x:v>게임 기획서</x:v>
      </x:c>
      <x:c r="O139" s="37"/>
    </x:row>
    <x:row r="140" ht="42" customHeight="1">
      <x:c r="A140" s="37" t="str">
        <x:v>작업</x:v>
      </x:c>
      <x:c r="B140" s="37" t="str">
        <x:v>[NET-018] 수신자별 정보 공개 필터</x:v>
      </x:c>
      <x:c r="C140" s="37" t="str">
        <x:v>게임 규칙, 운영 요구사항과 대상 플랫폼 제약을 충족하도록 수신자별 정보 공개 필터 기능을 구현하고 검증한다.</x:v>
      </x:c>
      <x:c r="D140" s="37" t="str">
        <x:v>최상</x:v>
      </x:c>
      <x:c r="E140" s="37" t="str">
        <x:v>네트워크 동기화·보안</x:v>
      </x:c>
      <x:c r="F140" s="37" t="str">
        <x:v>MVP</x:v>
      </x:c>
      <x:c r="G140" s="37" t="str">
        <x:v>NET-018;정보 비공개;MVP</x:v>
      </x:c>
      <x:c r="H140" s="37" t="str">
        <x:v>정보 보안</x:v>
      </x:c>
      <x:c r="I140" s="37"/>
      <x:c r="J140" s="37" t="str">
        <x:v>NET-018</x:v>
      </x:c>
      <x:c r="K140" s="37" t="str">
        <x:v>본인 등 메모, 실제 작성자, 실제 부착자, 위조 여부, 중간 투표 결과를 수신자별 공개 모델에서 제외하고 재접속 스냅샷에도 같은 규칙을 적용한다.</x:v>
      </x:c>
      <x:c r="L140" s="37" t="str">
        <x:v>NET-017,IGM-019,IGM-029</x:v>
      </x:c>
      <x:c r="M140" s="37" t="str">
        <x:v>TC-NET-018-01, TC-NET-018-02</x:v>
      </x:c>
      <x:c r="N140" s="37" t="str">
        <x:v>게임 기획서</x:v>
      </x:c>
      <x:c r="O140" s="37"/>
    </x:row>
    <x:row r="141" ht="42" customHeight="1">
      <x:c r="A141" s="37" t="str">
        <x:v>작업</x:v>
      </x:c>
      <x:c r="B141" s="37" t="str">
        <x:v>[NET-019] 재접속 스냅샷·차분 스트림 재개</x:v>
      </x:c>
      <x:c r="C141" s="37" t="str">
        <x:v>게임 규칙, 운영 요구사항과 대상 플랫폼 제약을 충족하도록 재접속 스냅샷·차분 스트림 재개 기능을 구현하고 검증한다.</x:v>
      </x:c>
      <x:c r="D141" s="37" t="str">
        <x:v>최상</x:v>
      </x:c>
      <x:c r="E141" s="37" t="str">
        <x:v>네트워크 동기화·보안</x:v>
      </x:c>
      <x:c r="F141" s="37" t="str">
        <x:v>알파</x:v>
      </x:c>
      <x:c r="G141" s="37" t="str">
        <x:v>NET-019;안정성;알파</x:v>
      </x:c>
      <x:c r="H141" s="37" t="str">
        <x:v>복원력</x:v>
      </x:c>
      <x:c r="I141" s="37"/>
      <x:c r="J141" s="37" t="str">
        <x:v>NET-019</x:v>
      </x:c>
      <x:c r="K141" s="37" t="str">
        <x:v>스냅샷 버전, 마지막 이벤트 순번, 정보 공개 필터를 사용해 전체 상태를 복원하고 수신 완료 후 차분 스트림으로 전환한다.</x:v>
      </x:c>
      <x:c r="L141" s="37" t="str">
        <x:v>NET-006,NET-007,NET-010,NET-018,ONL-017</x:v>
      </x:c>
      <x:c r="M141" s="37" t="str">
        <x:v>TC-NET-019-01, TC-NET-019-02</x:v>
      </x:c>
      <x:c r="N141" s="37" t="str">
        <x:v>게임 기획서</x:v>
      </x:c>
      <x:c r="O141" s="37"/>
    </x:row>
    <x:row r="142" ht="42" customHeight="1">
      <x:c r="A142" s="37" t="str">
        <x:v>작업</x:v>
      </x:c>
      <x:c r="B142" s="37" t="str">
        <x:v>[NET-020] 하트비트·서버 장애 감지</x:v>
      </x:c>
      <x:c r="C142" s="37" t="str">
        <x:v>게임 규칙, 운영 요구사항과 대상 플랫폼 제약을 충족하도록 하트비트·서버 장애 감지 기능을 구현하고 검증한다.</x:v>
      </x:c>
      <x:c r="D142" s="37" t="str">
        <x:v>최상</x:v>
      </x:c>
      <x:c r="E142" s="37" t="str">
        <x:v>네트워크 동기화·보안</x:v>
      </x:c>
      <x:c r="F142" s="37" t="str">
        <x:v>알파</x:v>
      </x:c>
      <x:c r="G142" s="37" t="str">
        <x:v>NET-020;안정성;알파</x:v>
      </x:c>
      <x:c r="H142" s="37" t="str">
        <x:v>복원력</x:v>
      </x:c>
      <x:c r="I142" s="37"/>
      <x:c r="J142" s="37" t="str">
        <x:v>NET-020</x:v>
      </x:c>
      <x:c r="K142" s="37" t="str">
        <x:v>클라이언트와 서버 양쪽에서 시간 초과를 감지하고 일시 단절, 서버 종료, 인증 만료를 구분해 재접속 또는 무효 매치로 전환한다.</x:v>
      </x:c>
      <x:c r="L142" s="37" t="str">
        <x:v>NET-004,ONL-021</x:v>
      </x:c>
      <x:c r="M142" s="37" t="str">
        <x:v>TC-NET-020-01, TC-NET-020-02</x:v>
      </x:c>
      <x:c r="N142" s="37" t="str">
        <x:v>게임 기획서</x:v>
      </x:c>
      <x:c r="O142" s="37"/>
    </x:row>
    <x:row r="143" ht="42" customHeight="1">
      <x:c r="A143" s="37" t="str">
        <x:v>작업</x:v>
      </x:c>
      <x:c r="B143" s="37" t="str">
        <x:v>[NET-021] 재전송·재시도·지수 백오프</x:v>
      </x:c>
      <x:c r="C143" s="37" t="str">
        <x:v>게임 규칙, 운영 요구사항과 대상 플랫폼 제약을 충족하도록 재전송·재시도·지수 백오프 기능을 구현하고 검증한다.</x:v>
      </x:c>
      <x:c r="D143" s="37" t="str">
        <x:v>높음</x:v>
      </x:c>
      <x:c r="E143" s="37" t="str">
        <x:v>네트워크 동기화·보안</x:v>
      </x:c>
      <x:c r="F143" s="37" t="str">
        <x:v>알파</x:v>
      </x:c>
      <x:c r="G143" s="37" t="str">
        <x:v>NET-021;안정성;알파</x:v>
      </x:c>
      <x:c r="H143" s="37" t="str">
        <x:v>복원력</x:v>
      </x:c>
      <x:c r="I143" s="37"/>
      <x:c r="J143" s="37" t="str">
        <x:v>NET-021</x:v>
      </x:c>
      <x:c r="K143" s="37" t="str">
        <x:v>연결, 스냅샷, 중요 API에 상한이 있는 지수 백오프와 지터를 적용해 서비스 장애 중 재시도 폭주를 방지한다.</x:v>
      </x:c>
      <x:c r="L143" s="37" t="str">
        <x:v>NET-020</x:v>
      </x:c>
      <x:c r="M143" s="37" t="str">
        <x:v>TC-NET-021-01</x:v>
      </x:c>
      <x:c r="N143" s="37" t="str">
        <x:v>게임 기획서</x:v>
      </x:c>
      <x:c r="O143" s="37"/>
    </x:row>
    <x:row r="144" ht="42" customHeight="1">
      <x:c r="A144" s="37" t="str">
        <x:v>작업</x:v>
      </x:c>
      <x:c r="B144" s="37" t="str">
        <x:v>[NET-022] 관심 영역·대역폭 예산·갱신 주기</x:v>
      </x:c>
      <x:c r="C144" s="37" t="str">
        <x:v>게임 규칙, 운영 요구사항과 대상 플랫폼 제약을 충족하도록 관심 영역·대역폭 예산·갱신 주기 기능을 구현하고 검증한다.</x:v>
      </x:c>
      <x:c r="D144" s="37" t="str">
        <x:v>최상</x:v>
      </x:c>
      <x:c r="E144" s="37" t="str">
        <x:v>네트워크 동기화·보안</x:v>
      </x:c>
      <x:c r="F144" s="37" t="str">
        <x:v>알파</x:v>
      </x:c>
      <x:c r="G144" s="37" t="str">
        <x:v>NET-022;성능;알파</x:v>
      </x:c>
      <x:c r="H144" s="37" t="str">
        <x:v>성능</x:v>
      </x:c>
      <x:c r="I144" s="37"/>
      <x:c r="J144" s="37" t="str">
        <x:v>NET-022</x:v>
      </x:c>
      <x:c r="K144" s="37" t="str">
        <x:v>6명, 등 메모 최대 수, 모든 미니게임 동작 시 업로드·다운로드 예산을 정의하고 원거리 문구나 불필요한 이벤트를 전송하지 않는다.</x:v>
      </x:c>
      <x:c r="L144" s="37" t="str">
        <x:v>NET-011,NET-014</x:v>
      </x:c>
      <x:c r="M144" s="37" t="str">
        <x:v>TC-NET-022-01, TC-NET-022-02</x:v>
      </x:c>
      <x:c r="N144" s="37" t="str">
        <x:v>게임 기획서</x:v>
      </x:c>
      <x:c r="O144" s="37"/>
    </x:row>
    <x:row r="145" ht="42" customHeight="1">
      <x:c r="A145" s="37" t="str">
        <x:v>작업</x:v>
      </x:c>
      <x:c r="B145" s="37" t="str">
        <x:v>[NET-023] 핑·손실·지터·대역폭·재전송 계측</x:v>
      </x:c>
      <x:c r="C145" s="37" t="str">
        <x:v>게임 규칙, 운영 요구사항과 대상 플랫폼 제약을 충족하도록 핑·손실·지터·대역폭·재전송 계측 기능을 구현하고 검증한다.</x:v>
      </x:c>
      <x:c r="D145" s="37" t="str">
        <x:v>최상</x:v>
      </x:c>
      <x:c r="E145" s="37" t="str">
        <x:v>네트워크 동기화·보안</x:v>
      </x:c>
      <x:c r="F145" s="37" t="str">
        <x:v>알파</x:v>
      </x:c>
      <x:c r="G145" s="37" t="str">
        <x:v>NET-023;운영;알파</x:v>
      </x:c>
      <x:c r="H145" s="37" t="str">
        <x:v>관측성</x:v>
      </x:c>
      <x:c r="I145" s="37"/>
      <x:c r="J145" s="37" t="str">
        <x:v>NET-023</x:v>
      </x:c>
      <x:c r="K145" s="37" t="str">
        <x:v>세션 단위 네트워크 품질 지표를 수집해 지역, 빌드, 플랫폼별로 집계할 수 있으며 개인 정보는 포함하지 않는다.</x:v>
      </x:c>
      <x:c r="L145" s="37" t="str">
        <x:v>BED-008</x:v>
      </x:c>
      <x:c r="M145" s="37" t="str">
        <x:v>TC-NET-023-01, TC-NET-023-02</x:v>
      </x:c>
      <x:c r="N145" s="37" t="str">
        <x:v>게임 기획서</x:v>
      </x:c>
      <x:c r="O145" s="37"/>
    </x:row>
    <x:row r="146" ht="42" customHeight="1">
      <x:c r="A146" s="37" t="str">
        <x:v>작업</x:v>
      </x:c>
      <x:c r="B146" s="37" t="str">
        <x:v>[NET-024] 네트워크 열화 시험 프로파일</x:v>
      </x:c>
      <x:c r="C146" s="37" t="str">
        <x:v>게임 규칙, 운영 요구사항과 대상 플랫폼 제약을 충족하도록 네트워크 열화 시험 프로파일 기능을 구현하고 검증한다.</x:v>
      </x:c>
      <x:c r="D146" s="37" t="str">
        <x:v>최상</x:v>
      </x:c>
      <x:c r="E146" s="37" t="str">
        <x:v>네트워크 동기화·보안</x:v>
      </x:c>
      <x:c r="F146" s="37" t="str">
        <x:v>알파</x:v>
      </x:c>
      <x:c r="G146" s="37" t="str">
        <x:v>NET-024;테스트;알파</x:v>
      </x:c>
      <x:c r="H146" s="37" t="str">
        <x:v>테스트 용이성</x:v>
      </x:c>
      <x:c r="I146" s="37"/>
      <x:c r="J146" s="37" t="str">
        <x:v>NET-024</x:v>
      </x:c>
      <x:c r="K146" s="37" t="str">
        <x:v>50·100·200·350ms RTT, 0·1·3·5% 손실, 지터, 대역폭 제한, 단시간 단절을 재현하고 CI와 수동 시험에서 선택할 수 있다.</x:v>
      </x:c>
      <x:c r="L146" s="37" t="str">
        <x:v>NET-003</x:v>
      </x:c>
      <x:c r="M146" s="37" t="str">
        <x:v>TC-NET-024-01, TC-NET-024-02</x:v>
      </x:c>
      <x:c r="N146" s="37" t="str">
        <x:v>게임 기획서</x:v>
      </x:c>
      <x:c r="O146" s="37"/>
    </x:row>
    <x:row r="147" ht="42" customHeight="1">
      <x:c r="A147" s="37" t="str">
        <x:v>작업</x:v>
      </x:c>
      <x:c r="B147" s="37" t="str">
        <x:v>[NET-025] 네트워크 오류·연결 종료 사유 정규화</x:v>
      </x:c>
      <x:c r="C147" s="37" t="str">
        <x:v>게임 규칙, 운영 요구사항과 대상 플랫폼 제약을 충족하도록 네트워크 오류·연결 종료 사유 정규화 기능을 구현하고 검증한다.</x:v>
      </x:c>
      <x:c r="D147" s="37" t="str">
        <x:v>최상</x:v>
      </x:c>
      <x:c r="E147" s="37" t="str">
        <x:v>네트워크 동기화·보안</x:v>
      </x:c>
      <x:c r="F147" s="37" t="str">
        <x:v>알파</x:v>
      </x:c>
      <x:c r="G147" s="37" t="str">
        <x:v>NET-025;운영;알파</x:v>
      </x:c>
      <x:c r="H147" s="37" t="str">
        <x:v>오류 처리</x:v>
      </x:c>
      <x:c r="I147" s="37"/>
      <x:c r="J147" s="37" t="str">
        <x:v>NET-025</x:v>
      </x:c>
      <x:c r="K147" s="37" t="str">
        <x:v>저수준 SDK 오류를 제품 오류 코드로 변환하고 사용자 표시, 로그, 텔레메트리에서 동일한 상관관계 ID를 사용한다.</x:v>
      </x:c>
      <x:c r="L147" s="37" t="str">
        <x:v>ONL-020,BED-018</x:v>
      </x:c>
      <x:c r="M147" s="37" t="str">
        <x:v>TC-NET-025-01, TC-NET-025-02</x:v>
      </x:c>
      <x:c r="N147" s="37" t="str">
        <x:v>게임 기획서</x:v>
      </x:c>
      <x:c r="O147" s="37"/>
    </x:row>
    <x:row r="148" ht="42" customHeight="1">
      <x:c r="A148" s="37" t="str">
        <x:v>작업</x:v>
      </x:c>
      <x:c r="B148" s="37" t="str">
        <x:v>[NET-026] 비정상 요청·속도·연속 입력 탐지</x:v>
      </x:c>
      <x:c r="C148" s="37" t="str">
        <x:v>게임 규칙, 운영 요구사항과 대상 플랫폼 제약을 충족하도록 비정상 요청·속도·연속 입력 탐지 기능을 구현하고 검증한다.</x:v>
      </x:c>
      <x:c r="D148" s="37" t="str">
        <x:v>최상</x:v>
      </x:c>
      <x:c r="E148" s="37" t="str">
        <x:v>네트워크 동기화·보안</x:v>
      </x:c>
      <x:c r="F148" s="37" t="str">
        <x:v>알파</x:v>
      </x:c>
      <x:c r="G148" s="37" t="str">
        <x:v>NET-026;보안;알파</x:v>
      </x:c>
      <x:c r="H148" s="37" t="str">
        <x:v>보안</x:v>
      </x:c>
      <x:c r="I148" s="37"/>
      <x:c r="J148" s="37" t="str">
        <x:v>NET-026</x:v>
      </x:c>
      <x:c r="K148" s="37" t="str">
        <x:v>거리 밖 부착, 위조 횟수 초과, 보상 연속 요청, 중복 투표, 속도 초과를 탐지하고 단계적으로 거부, 연결 종료, 감사 기록을 수행한다.</x:v>
      </x:c>
      <x:c r="L148" s="37" t="str">
        <x:v>NET-012,NET-013,NET-015,NET-016</x:v>
      </x:c>
      <x:c r="M148" s="37" t="str">
        <x:v>TC-NET-026-01, TC-NET-026-02</x:v>
      </x:c>
      <x:c r="N148" s="37" t="str">
        <x:v>게임 기획서</x:v>
      </x:c>
      <x:c r="O148" s="37"/>
    </x:row>
    <x:row r="149" ht="42" customHeight="1">
      <x:c r="A149" s="37" t="str">
        <x:v>작업</x:v>
      </x:c>
      <x:c r="B149" s="37" t="str">
        <x:v>[NET-027] 통신 암호화·토큰 재사용 방지</x:v>
      </x:c>
      <x:c r="C149" s="37" t="str">
        <x:v>게임 규칙, 운영 요구사항과 대상 플랫폼 제약을 충족하도록 통신 암호화·토큰 재사용 방지 기능을 구현하고 검증한다.</x:v>
      </x:c>
      <x:c r="D149" s="37" t="str">
        <x:v>최상</x:v>
      </x:c>
      <x:c r="E149" s="37" t="str">
        <x:v>네트워크 동기화·보안</x:v>
      </x:c>
      <x:c r="F149" s="37" t="str">
        <x:v>출시</x:v>
      </x:c>
      <x:c r="G149" s="37" t="str">
        <x:v>NET-027;보안;출시</x:v>
      </x:c>
      <x:c r="H149" s="37" t="str">
        <x:v>보안</x:v>
      </x:c>
      <x:c r="I149" s="37"/>
      <x:c r="J149" s="37" t="str">
        <x:v>NET-027</x:v>
      </x:c>
      <x:c r="K149" s="37" t="str">
        <x:v>통신 경로를 암호화하고 짧은 수명의 토큰, Nonce, 세션 바인딩으로 재생 공격을 방지한다. 인증서와 키 교체 절차를 정의한다.</x:v>
      </x:c>
      <x:c r="L149" s="37" t="str">
        <x:v>NET-004,BED-001</x:v>
      </x:c>
      <x:c r="M149" s="37" t="str">
        <x:v>TC-NET-027-01, TC-NET-027-02</x:v>
      </x:c>
      <x:c r="N149" s="37" t="str">
        <x:v>게임 기획서</x:v>
      </x:c>
      <x:c r="O149" s="37"/>
    </x:row>
    <x:row r="150" ht="42" customHeight="1">
      <x:c r="A150" s="37" t="str">
        <x:v>작업</x:v>
      </x:c>
      <x:c r="B150" s="37" t="str">
        <x:v>[NET-028] 개발용 패킷 가시화·비공개 정보 마스킹</x:v>
      </x:c>
      <x:c r="C150" s="37" t="str">
        <x:v>게임 규칙, 운영 요구사항과 대상 플랫폼 제약을 충족하도록 개발용 패킷 가시화·비공개 정보 마스킹 기능을 구현하고 검증한다.</x:v>
      </x:c>
      <x:c r="D150" s="37" t="str">
        <x:v>높음</x:v>
      </x:c>
      <x:c r="E150" s="37" t="str">
        <x:v>네트워크 동기화·보안</x:v>
      </x:c>
      <x:c r="F150" s="37" t="str">
        <x:v>알파</x:v>
      </x:c>
      <x:c r="G150" s="37" t="str">
        <x:v>NET-028;개발 효율;알파</x:v>
      </x:c>
      <x:c r="H150" s="37" t="str">
        <x:v>개발자 도구</x:v>
      </x:c>
      <x:c r="I150" s="37"/>
      <x:c r="J150" s="37" t="str">
        <x:v>NET-028</x:v>
      </x:c>
      <x:c r="K150" s="37" t="str">
        <x:v>메시지 유형, 크기, 빈도, 순번을 확인할 수 있지만 역할, 실제 작성자, 음성, 개인 정보는 권한과 빌드 유형에 따라 마스킹한다.</x:v>
      </x:c>
      <x:c r="L150" s="37" t="str">
        <x:v>NET-011,NET-018</x:v>
      </x:c>
      <x:c r="M150" s="37" t="str">
        <x:v>TC-NET-028-01</x:v>
      </x:c>
      <x:c r="N150" s="37" t="str">
        <x:v>게임 기획서</x:v>
      </x:c>
      <x:c r="O150" s="37"/>
    </x:row>
    <x:row r="151" ht="42" customHeight="1">
      <x:c r="A151" s="37" t="str">
        <x:v>작업</x:v>
      </x:c>
      <x:c r="B151" s="37" t="str">
        <x:v>[NET-029] 다중 세션 부하·장시간 안정성 시험</x:v>
      </x:c>
      <x:c r="C151" s="37" t="str">
        <x:v>게임 규칙, 운영 요구사항과 대상 플랫폼 제약을 충족하도록 다중 세션 부하·장시간 안정성 시험 기능을 구현하고 검증한다.</x:v>
      </x:c>
      <x:c r="D151" s="37" t="str">
        <x:v>최상</x:v>
      </x:c>
      <x:c r="E151" s="37" t="str">
        <x:v>네트워크 동기화·보안</x:v>
      </x:c>
      <x:c r="F151" s="37" t="str">
        <x:v>릴리스 후보</x:v>
      </x:c>
      <x:c r="G151" s="37" t="str">
        <x:v>NET-029;성능;릴리스 후보</x:v>
      </x:c>
      <x:c r="H151" s="37" t="str">
        <x:v>성능</x:v>
      </x:c>
      <x:c r="I151" s="37"/>
      <x:c r="J151" s="37" t="str">
        <x:v>NET-029</x:v>
      </x:c>
      <x:c r="K151" s="37" t="str">
        <x:v>목표 동시 접속 수와 24시간 상당 연속 시험에서 메모리 증가, 틱 지연, 연결 종료율, 상태 불일치가 기준 안에 들어온다.</x:v>
      </x:c>
      <x:c r="L151" s="37" t="str">
        <x:v>NET-022,NET-023,QAR-020</x:v>
      </x:c>
      <x:c r="M151" s="37" t="str">
        <x:v>TC-NET-029-01, TC-NET-029-02</x:v>
      </x:c>
      <x:c r="N151" s="37" t="str">
        <x:v>게임 기획서</x:v>
      </x:c>
      <x:c r="O151" s="37"/>
    </x:row>
    <x:row r="152" ht="42" customHeight="1">
      <x:c r="A152" s="37" t="str">
        <x:v>작업</x:v>
      </x:c>
      <x:c r="B152" s="37" t="str">
        <x:v>[NET-030] 크로스플랫폼 직렬화·엔디언 검증</x:v>
      </x:c>
      <x:c r="C152" s="37" t="str">
        <x:v>게임 규칙, 운영 요구사항과 대상 플랫폼 제약을 충족하도록 크로스플랫폼 직렬화·엔디언 검증 기능을 구현하고 검증한다.</x:v>
      </x:c>
      <x:c r="D152" s="37" t="str">
        <x:v>최상</x:v>
      </x:c>
      <x:c r="E152" s="37" t="str">
        <x:v>네트워크 동기화·보안</x:v>
      </x:c>
      <x:c r="F152" s="37" t="str">
        <x:v>베타</x:v>
      </x:c>
      <x:c r="G152" s="37" t="str">
        <x:v>NET-030;호환성;베타</x:v>
      </x:c>
      <x:c r="H152" s="37" t="str">
        <x:v>호환성</x:v>
      </x:c>
      <x:c r="I152" s="37"/>
      <x:c r="J152" s="37" t="str">
        <x:v>NET-030</x:v>
      </x:c>
      <x:c r="K152" s="37" t="str">
        <x:v>지원 플랫폼 간 숫자, 열거형, 문자열, 시각, 선택 필드가 동일하게 해석되고 알 수 없는 필드 추가에도 전방 호환성을 유지한다.</x:v>
      </x:c>
      <x:c r="L152" s="37" t="str">
        <x:v>NET-002</x:v>
      </x:c>
      <x:c r="M152" s="37" t="str">
        <x:v>TC-NET-030-01, TC-NET-030-02</x:v>
      </x:c>
      <x:c r="N152" s="37" t="str">
        <x:v>게임 기획서</x:v>
      </x:c>
      <x:c r="O152" s="37"/>
    </x:row>
    <x:row r="153" ht="42" customHeight="1">
      <x:c r="A153" s="37" t="str">
        <x:v>작업</x:v>
      </x:c>
      <x:c r="B153" s="37" t="str">
        <x:v>[BED-001] 플랫폼 인증·게임 세션 토큰</x:v>
      </x:c>
      <x:c r="C153" s="37" t="str">
        <x:v>게임 규칙, 운영 요구사항과 대상 플랫폼 제약을 충족하도록 플랫폼 인증·게임 세션 토큰 기능을 구현하고 검증한다.</x:v>
      </x:c>
      <x:c r="D153" s="37" t="str">
        <x:v>최상</x:v>
      </x:c>
      <x:c r="E153" s="37" t="str">
        <x:v>백엔드·데이터·모더레이션</x:v>
      </x:c>
      <x:c r="F153" s="37" t="str">
        <x:v>MVP</x:v>
      </x:c>
      <x:c r="G153" s="37" t="str">
        <x:v>BED-001;인증;MVP</x:v>
      </x:c>
      <x:c r="H153" s="37" t="str">
        <x:v>식별</x:v>
      </x:c>
      <x:c r="I153" s="37"/>
      <x:c r="J153" s="37" t="str">
        <x:v>BED-001</x:v>
      </x:c>
      <x:c r="K153" s="37" t="str">
        <x:v>지원 플랫폼의 인증 결과를 검증하고 짧은 수명의 게임 토큰을 발급한다. 무효, 만료, 차단된 계정은 거부한다.</x:v>
      </x:c>
      <x:c r="L153" s="37"/>
      <x:c r="M153" s="37" t="str">
        <x:v>TC-BED-001-01, TC-BED-001-02</x:v>
      </x:c>
      <x:c r="N153" s="37" t="str">
        <x:v>게임 기획서</x:v>
      </x:c>
      <x:c r="O153" s="37"/>
    </x:row>
    <x:row r="154" ht="42" customHeight="1">
      <x:c r="A154" s="37" t="str">
        <x:v>작업</x:v>
      </x:c>
      <x:c r="B154" s="37" t="str">
        <x:v>[BED-002] 내부 플레이어 ID·플랫폼 ID 연동</x:v>
      </x:c>
      <x:c r="C154" s="37" t="str">
        <x:v>게임 규칙, 운영 요구사항과 대상 플랫폼 제약을 충족하도록 내부 플레이어 ID·플랫폼 ID 연동 기능을 구현하고 검증한다.</x:v>
      </x:c>
      <x:c r="D154" s="37" t="str">
        <x:v>최상</x:v>
      </x:c>
      <x:c r="E154" s="37" t="str">
        <x:v>백엔드·데이터·모더레이션</x:v>
      </x:c>
      <x:c r="F154" s="37" t="str">
        <x:v>알파</x:v>
      </x:c>
      <x:c r="G154" s="37" t="str">
        <x:v>BED-002;인증;알파</x:v>
      </x:c>
      <x:c r="H154" s="37" t="str">
        <x:v>식별</x:v>
      </x:c>
      <x:c r="I154" s="37"/>
      <x:c r="J154" s="37" t="str">
        <x:v>BED-002</x:v>
      </x:c>
      <x:c r="K154" s="37" t="str">
        <x:v>내부 ID를 고유하게 발급하고 복수 플랫폼 연동, 표시 이름 변경, 연동 해제, 계정 충돌을 감사 가능한 방식으로 처리한다.</x:v>
      </x:c>
      <x:c r="L154" s="37" t="str">
        <x:v>BED-001</x:v>
      </x:c>
      <x:c r="M154" s="37" t="str">
        <x:v>TC-BED-002-01, TC-BED-002-02</x:v>
      </x:c>
      <x:c r="N154" s="37" t="str">
        <x:v>게임 기획서</x:v>
      </x:c>
      <x:c r="O154" s="37"/>
    </x:row>
    <x:row r="155" ht="42" customHeight="1">
      <x:c r="A155" s="37" t="str">
        <x:v>작업</x:v>
      </x:c>
      <x:c r="B155" s="37" t="str">
        <x:v>[BED-003] 프로필·설정·튜토리얼 상태 저장</x:v>
      </x:c>
      <x:c r="C155" s="37" t="str">
        <x:v>게임 규칙, 운영 요구사항과 대상 플랫폼 제약을 충족하도록 프로필·설정·튜토리얼 상태 저장 기능을 구현하고 검증한다.</x:v>
      </x:c>
      <x:c r="D155" s="37" t="str">
        <x:v>높음</x:v>
      </x:c>
      <x:c r="E155" s="37" t="str">
        <x:v>백엔드·데이터·모더레이션</x:v>
      </x:c>
      <x:c r="F155" s="37" t="str">
        <x:v>알파</x:v>
      </x:c>
      <x:c r="G155" s="37" t="str">
        <x:v>BED-003;데이터;알파</x:v>
      </x:c>
      <x:c r="H155" s="37" t="str">
        <x:v>플레이어 데이터</x:v>
      </x:c>
      <x:c r="I155" s="37"/>
      <x:c r="J155" s="37" t="str">
        <x:v>BED-003</x:v>
      </x:c>
      <x:c r="K155" s="37" t="str">
        <x:v>언어, 접근성, 튜토리얼 완료, 기본 프로필을 버전 관리해 저장하고 기기 설정과 계정 설정의 우선순위를 정의한다.</x:v>
      </x:c>
      <x:c r="L155" s="37" t="str">
        <x:v>BED-001,SET-002</x:v>
      </x:c>
      <x:c r="M155" s="37" t="str">
        <x:v>TC-BED-003-01</x:v>
      </x:c>
      <x:c r="N155" s="37" t="str">
        <x:v>게임 기획서</x:v>
      </x:c>
      <x:c r="O155" s="37"/>
    </x:row>
    <x:row r="156" ht="42" customHeight="1">
      <x:c r="A156" s="37" t="str">
        <x:v>작업</x:v>
      </x:c>
      <x:c r="B156" s="37" t="str">
        <x:v>[BED-004] 외형 아이템 보유·장착 데이터</x:v>
      </x:c>
      <x:c r="C156" s="37" t="str">
        <x:v>게임 규칙, 운영 요구사항과 대상 플랫폼 제약을 충족하도록 외형 아이템 보유·장착 데이터 기능을 구현하고 검증한다.</x:v>
      </x:c>
      <x:c r="D156" s="37" t="str">
        <x:v>중간</x:v>
      </x:c>
      <x:c r="E156" s="37" t="str">
        <x:v>백엔드·데이터·모더레이션</x:v>
      </x:c>
      <x:c r="F156" s="37" t="str">
        <x:v>출시 후</x:v>
      </x:c>
      <x:c r="G156" s="37" t="str">
        <x:v>BED-004;커머스;출시 후</x:v>
      </x:c>
      <x:c r="H156" s="37" t="str">
        <x:v>플레이어 데이터</x:v>
      </x:c>
      <x:c r="I156" s="37"/>
      <x:c r="J156" s="37" t="str">
        <x:v>BED-004</x:v>
      </x:c>
      <x:c r="K156" s="37" t="str">
        <x:v>아이템 보유, 장착, 획득 경로, 중복 변환, 만료를 서버에서 관리하고 보유하지 않은 아이템의 장착 요청을 거부한다.</x:v>
      </x:c>
      <x:c r="L156" s="37" t="str">
        <x:v>CHR-020</x:v>
      </x:c>
      <x:c r="M156" s="37" t="str">
        <x:v>TC-BED-004-01</x:v>
      </x:c>
      <x:c r="N156" s="37" t="str">
        <x:v>게임 기획서</x:v>
      </x:c>
      <x:c r="O156" s="37"/>
    </x:row>
    <x:row r="157" ht="42" customHeight="1">
      <x:c r="A157" s="37" t="str">
        <x:v>작업</x:v>
      </x:c>
      <x:c r="B157" s="37" t="str">
        <x:v>[BED-005] 제품·DLC·플랫폼 권리 확인</x:v>
      </x:c>
      <x:c r="C157" s="37" t="str">
        <x:v>게임 규칙, 운영 요구사항과 대상 플랫폼 제약을 충족하도록 제품·DLC·플랫폼 권리 확인 기능을 구현하고 검증한다.</x:v>
      </x:c>
      <x:c r="D157" s="37" t="str">
        <x:v>최상</x:v>
      </x:c>
      <x:c r="E157" s="37" t="str">
        <x:v>백엔드·데이터·모더레이션</x:v>
      </x:c>
      <x:c r="F157" s="37" t="str">
        <x:v>출시</x:v>
      </x:c>
      <x:c r="G157" s="37" t="str">
        <x:v>BED-005;커머스;출시</x:v>
      </x:c>
      <x:c r="H157" s="37" t="str">
        <x:v>플레이어 데이터</x:v>
      </x:c>
      <x:c r="I157" s="37"/>
      <x:c r="J157" s="37" t="str">
        <x:v>BED-005</x:v>
      </x:c>
      <x:c r="K157" s="37" t="str">
        <x:v>상품 권리를 플랫폼에서 검증하고 캐시 만료, 환불, 오프라인, 복수 기기 사용을 일관되게 처리한다.</x:v>
      </x:c>
      <x:c r="L157" s="37" t="str">
        <x:v>BED-001</x:v>
      </x:c>
      <x:c r="M157" s="37" t="str">
        <x:v>TC-BED-005-01, TC-BED-005-02</x:v>
      </x:c>
      <x:c r="N157" s="37" t="str">
        <x:v>게임 기획서</x:v>
      </x:c>
      <x:c r="O157" s="37"/>
    </x:row>
    <x:row r="158" ht="42" customHeight="1">
      <x:c r="A158" s="37" t="str">
        <x:v>작업</x:v>
      </x:c>
      <x:c r="B158" s="37" t="str">
        <x:v>[BED-006] 매치 결과·역할·투표 이력 저장</x:v>
      </x:c>
      <x:c r="C158" s="37" t="str">
        <x:v>게임 규칙, 운영 요구사항과 대상 플랫폼 제약을 충족하도록 매치 결과·역할·투표 이력 저장 기능을 구현하고 검증한다.</x:v>
      </x:c>
      <x:c r="D158" s="37" t="str">
        <x:v>최상</x:v>
      </x:c>
      <x:c r="E158" s="37" t="str">
        <x:v>백엔드·데이터·모더레이션</x:v>
      </x:c>
      <x:c r="F158" s="37" t="str">
        <x:v>MVP</x:v>
      </x:c>
      <x:c r="G158" s="37" t="str">
        <x:v>BED-006;데이터 무결성;MVP</x:v>
      </x:c>
      <x:c r="H158" s="37" t="str">
        <x:v>매치 데이터</x:v>
      </x:c>
      <x:c r="I158" s="37"/>
      <x:c r="J158" s="37" t="str">
        <x:v>BED-006</x:v>
      </x:c>
      <x:c r="K158" s="37" t="str">
        <x:v>매치 ID, 참가자, 버전, 역할, 승패, 일차, 투표, 종료 사유를 저장하고 공개용 데이터와 내부 운영 데이터를 분리한다.</x:v>
      </x:c>
      <x:c r="L158" s="37" t="str">
        <x:v>IGM-026,IGM-027,IGM-031,NET-018</x:v>
      </x:c>
      <x:c r="M158" s="37" t="str">
        <x:v>TC-BED-006-01, TC-BED-006-02</x:v>
      </x:c>
      <x:c r="N158" s="37" t="str">
        <x:v>게임 기획서</x:v>
      </x:c>
      <x:c r="O158" s="37"/>
    </x:row>
    <x:row r="159" ht="42" customHeight="1">
      <x:c r="A159" s="37" t="str">
        <x:v>작업</x:v>
      </x:c>
      <x:c r="B159" s="37" t="str">
        <x:v>[BED-007] 보상·진행도 멱등 트랜잭션</x:v>
      </x:c>
      <x:c r="C159" s="37" t="str">
        <x:v>게임 규칙, 운영 요구사항과 대상 플랫폼 제약을 충족하도록 보상·진행도 멱등 트랜잭션 기능을 구현하고 검증한다.</x:v>
      </x:c>
      <x:c r="D159" s="37" t="str">
        <x:v>높음</x:v>
      </x:c>
      <x:c r="E159" s="37" t="str">
        <x:v>백엔드·데이터·모더레이션</x:v>
      </x:c>
      <x:c r="F159" s="37" t="str">
        <x:v>출시 후</x:v>
      </x:c>
      <x:c r="G159" s="37" t="str">
        <x:v>BED-007;데이터 무결성;출시 후</x:v>
      </x:c>
      <x:c r="H159" s="37" t="str">
        <x:v>매치 데이터</x:v>
      </x:c>
      <x:c r="I159" s="37"/>
      <x:c r="J159" s="37" t="str">
        <x:v>BED-007</x:v>
      </x:c>
      <x:c r="K159" s="37" t="str">
        <x:v>매치 ID와 플레이어 ID를 멱등 키로 사용해 보상을 한 번만 지급하고 실패 시 안전하게 재전송할 수 있는 상태를 유지한다.</x:v>
      </x:c>
      <x:c r="L159" s="37" t="str">
        <x:v>BED-006,BED-004</x:v>
      </x:c>
      <x:c r="M159" s="37" t="str">
        <x:v>TC-BED-007-01</x:v>
      </x:c>
      <x:c r="N159" s="37" t="str">
        <x:v>게임 기획서</x:v>
      </x:c>
      <x:c r="O159" s="37"/>
    </x:row>
    <x:row r="160" ht="42" customHeight="1">
      <x:c r="A160" s="37" t="str">
        <x:v>작업</x:v>
      </x:c>
      <x:c r="B160" s="37" t="str">
        <x:v>[BED-008] 게임플레이·UX·네트워크 이벤트 수집</x:v>
      </x:c>
      <x:c r="C160" s="37" t="str">
        <x:v>게임 규칙, 운영 요구사항과 대상 플랫폼 제약을 충족하도록 게임플레이·UX·네트워크 이벤트 수집 기능을 구현하고 검증한다.</x:v>
      </x:c>
      <x:c r="D160" s="37" t="str">
        <x:v>최상</x:v>
      </x:c>
      <x:c r="E160" s="37" t="str">
        <x:v>백엔드·데이터·모더레이션</x:v>
      </x:c>
      <x:c r="F160" s="37" t="str">
        <x:v>알파</x:v>
      </x:c>
      <x:c r="G160" s="37" t="str">
        <x:v>BED-008;분석;알파</x:v>
      </x:c>
      <x:c r="H160" s="37" t="str">
        <x:v>텔레메트리</x:v>
      </x:c>
      <x:c r="I160" s="37"/>
      <x:c r="J160" s="37" t="str">
        <x:v>BED-008</x:v>
      </x:c>
      <x:c r="K160" s="37" t="str">
        <x:v>페이즈, 메모 작성·부착, 투표, 최종 재판, 이탈, 연결 품질을 버전 있는 이벤트로 수집하고 비공개 정보와 개인 정보는 최소화한다.</x:v>
      </x:c>
      <x:c r="L160" s="37" t="str">
        <x:v>NET-023,IGM-001</x:v>
      </x:c>
      <x:c r="M160" s="37" t="str">
        <x:v>TC-BED-008-01, TC-BED-008-02</x:v>
      </x:c>
      <x:c r="N160" s="37" t="str">
        <x:v>게임 기획서</x:v>
      </x:c>
      <x:c r="O160" s="37"/>
    </x:row>
    <x:row r="161" ht="42" customHeight="1">
      <x:c r="A161" s="37" t="str">
        <x:v>작업</x:v>
      </x:c>
      <x:c r="B161" s="37" t="str">
        <x:v>[BED-009] 신고·음소거·차단 기반</x:v>
      </x:c>
      <x:c r="C161" s="37" t="str">
        <x:v>게임 규칙, 운영 요구사항과 대상 플랫폼 제약을 충족하도록 신고·음소거·차단 기반 기능을 구현하고 검증한다.</x:v>
      </x:c>
      <x:c r="D161" s="37" t="str">
        <x:v>최상</x:v>
      </x:c>
      <x:c r="E161" s="37" t="str">
        <x:v>백엔드·데이터·모더레이션</x:v>
      </x:c>
      <x:c r="F161" s="37" t="str">
        <x:v>베타</x:v>
      </x:c>
      <x:c r="G161" s="37" t="str">
        <x:v>BED-009;안전;베타</x:v>
      </x:c>
      <x:c r="H161" s="37" t="str">
        <x:v>안전</x:v>
      </x:c>
      <x:c r="I161" s="37"/>
      <x:c r="J161" s="37" t="str">
        <x:v>BED-009</x:v>
      </x:c>
      <x:c r="K161" s="37" t="str">
        <x:v>매치 중 또는 종료 후 플레이어를 신고하고 로컬 음소거와 계정 차단을 적용할 수 있으며 대상 매치 ID와 사유 코드를 저장한다.</x:v>
      </x:c>
      <x:c r="L161" s="37" t="str">
        <x:v>BED-002,AUD-011,UIX-024</x:v>
      </x:c>
      <x:c r="M161" s="37" t="str">
        <x:v>TC-BED-009-01, TC-BED-009-02</x:v>
      </x:c>
      <x:c r="N161" s="37" t="str">
        <x:v>게임 기획서</x:v>
      </x:c>
      <x:c r="O161" s="37"/>
    </x:row>
    <x:row r="162" ht="42" customHeight="1">
      <x:c r="A162" s="37" t="str">
        <x:v>작업</x:v>
      </x:c>
      <x:c r="B162" s="37" t="str">
        <x:v>[BED-010] 자유 텍스트·표시 이름 모더레이션</x:v>
      </x:c>
      <x:c r="C162" s="37" t="str">
        <x:v>게임 규칙, 운영 요구사항과 대상 플랫폼 제약을 충족하도록 자유 텍스트·표시 이름 모더레이션 기능을 구현하고 검증한다.</x:v>
      </x:c>
      <x:c r="D162" s="37" t="str">
        <x:v>최상</x:v>
      </x:c>
      <x:c r="E162" s="37" t="str">
        <x:v>백엔드·데이터·모더레이션</x:v>
      </x:c>
      <x:c r="F162" s="37" t="str">
        <x:v>출시</x:v>
      </x:c>
      <x:c r="G162" s="37" t="str">
        <x:v>BED-010;안전;출시</x:v>
      </x:c>
      <x:c r="H162" s="37" t="str">
        <x:v>안전</x:v>
      </x:c>
      <x:c r="I162" s="37"/>
      <x:c r="J162" s="37" t="str">
        <x:v>BED-010</x:v>
      </x:c>
      <x:c r="K162" s="37" t="str">
        <x:v>표시 이름과 향후 자유 입력을 금칙어, 개인 정보, 스팸, 지역 요건으로 검사하되 MVP 프리셋 문구에는 불필요한 오탐을 적용하지 않는다.</x:v>
      </x:c>
      <x:c r="L162" s="37" t="str">
        <x:v>BED-009,SET-016</x:v>
      </x:c>
      <x:c r="M162" s="37" t="str">
        <x:v>TC-BED-010-01, TC-BED-010-02</x:v>
      </x:c>
      <x:c r="N162" s="37" t="str">
        <x:v>게임 기획서</x:v>
      </x:c>
      <x:c r="O162" s="37"/>
    </x:row>
    <x:row r="163" ht="42" customHeight="1">
      <x:c r="A163" s="37" t="str">
        <x:v>작업</x:v>
      </x:c>
      <x:c r="B163" s="37" t="str">
        <x:v>[BED-011] 음성 신고 메타데이터·증거 정책</x:v>
      </x:c>
      <x:c r="C163" s="37" t="str">
        <x:v>게임 규칙, 운영 요구사항과 대상 플랫폼 제약을 충족하도록 음성 신고 메타데이터·증거 정책 기능을 구현하고 검증한다.</x:v>
      </x:c>
      <x:c r="D163" s="37" t="str">
        <x:v>최상</x:v>
      </x:c>
      <x:c r="E163" s="37" t="str">
        <x:v>백엔드·데이터·모더레이션</x:v>
      </x:c>
      <x:c r="F163" s="37" t="str">
        <x:v>출시</x:v>
      </x:c>
      <x:c r="G163" s="37" t="str">
        <x:v>BED-011;개인정보;출시</x:v>
      </x:c>
      <x:c r="H163" s="37" t="str">
        <x:v>안전</x:v>
      </x:c>
      <x:c r="I163" s="37"/>
      <x:c r="J163" s="37" t="str">
        <x:v>BED-011</x:v>
      </x:c>
      <x:c r="K163" s="37" t="str">
        <x:v>음성 녹음 여부, 사용자 동의, 보관 기간, 암호화, 접근 권한, 삭제 정책을 법무 승인하고 녹음하지 않더라도 세션 메타데이터를 신고와 연결한다.</x:v>
      </x:c>
      <x:c r="L163" s="37" t="str">
        <x:v>BED-009,BED-012,AUD-012</x:v>
      </x:c>
      <x:c r="M163" s="37" t="str">
        <x:v>TC-BED-011-01, TC-BED-011-02</x:v>
      </x:c>
      <x:c r="N163" s="37" t="str">
        <x:v>게임 기획서</x:v>
      </x:c>
      <x:c r="O163" s="37"/>
    </x:row>
    <x:row r="164" ht="42" customHeight="1">
      <x:c r="A164" s="37" t="str">
        <x:v>작업</x:v>
      </x:c>
      <x:c r="B164" s="37" t="str">
        <x:v>[BED-012] 음성·텔레메트리·개인정보 동의 관리</x:v>
      </x:c>
      <x:c r="C164" s="37" t="str">
        <x:v>게임 규칙, 운영 요구사항과 대상 플랫폼 제약을 충족하도록 음성·텔레메트리·개인정보 동의 관리 기능을 구현하고 검증한다.</x:v>
      </x:c>
      <x:c r="D164" s="37" t="str">
        <x:v>최상</x:v>
      </x:c>
      <x:c r="E164" s="37" t="str">
        <x:v>백엔드·데이터·모더레이션</x:v>
      </x:c>
      <x:c r="F164" s="37" t="str">
        <x:v>출시</x:v>
      </x:c>
      <x:c r="G164" s="37" t="str">
        <x:v>BED-012;개인정보;출시</x:v>
      </x:c>
      <x:c r="H164" s="37" t="str">
        <x:v>개인정보</x:v>
      </x:c>
      <x:c r="I164" s="37"/>
      <x:c r="J164" s="37" t="str">
        <x:v>BED-012</x:v>
      </x:c>
      <x:c r="K164" s="37" t="str">
        <x:v>동의 문구 버전, 지역, 시각, 철회 상태를 기록하고 동의 전에는 관련 기능을 시작하지 않는다. 문구가 변경되면 재동의를 요청할 수 있다.</x:v>
      </x:c>
      <x:c r="L164" s="37" t="str">
        <x:v>BED-001</x:v>
      </x:c>
      <x:c r="M164" s="37" t="str">
        <x:v>TC-BED-012-01, TC-BED-012-02</x:v>
      </x:c>
      <x:c r="N164" s="37" t="str">
        <x:v>게임 기획서</x:v>
      </x:c>
      <x:c r="O164" s="37"/>
    </x:row>
    <x:row r="165" ht="42" customHeight="1">
      <x:c r="A165" s="37" t="str">
        <x:v>작업</x:v>
      </x:c>
      <x:c r="B165" s="37" t="str">
        <x:v>[BED-013] 연령·지역·보호자·크로스플레이 제한</x:v>
      </x:c>
      <x:c r="C165" s="37" t="str">
        <x:v>게임 규칙, 운영 요구사항과 대상 플랫폼 제약을 충족하도록 연령·지역·보호자·크로스플레이 제한 기능을 구현하고 검증한다.</x:v>
      </x:c>
      <x:c r="D165" s="37" t="str">
        <x:v>최상</x:v>
      </x:c>
      <x:c r="E165" s="37" t="str">
        <x:v>백엔드·데이터·모더레이션</x:v>
      </x:c>
      <x:c r="F165" s="37" t="str">
        <x:v>출시</x:v>
      </x:c>
      <x:c r="G165" s="37" t="str">
        <x:v>BED-013;안전;출시</x:v>
      </x:c>
      <x:c r="H165" s="37" t="str">
        <x:v>개인정보</x:v>
      </x:c>
      <x:c r="I165" s="37"/>
      <x:c r="J165" s="37" t="str">
        <x:v>BED-013</x:v>
      </x:c>
      <x:c r="K165" s="37" t="str">
        <x:v>플랫폼 제공 정보와 동의 상태를 기준으로 음성, 텍스트, 초대, UGC, 상점을 제어하고 실제 연령 정보는 게임 클라이언트로 전송하지 않는다.</x:v>
      </x:c>
      <x:c r="L165" s="37" t="str">
        <x:v>BED-001,BED-012</x:v>
      </x:c>
      <x:c r="M165" s="37" t="str">
        <x:v>TC-BED-013-01, TC-BED-013-02</x:v>
      </x:c>
      <x:c r="N165" s="37" t="str">
        <x:v>게임 기획서</x:v>
      </x:c>
      <x:c r="O165" s="37"/>
    </x:row>
    <x:row r="166" ht="42" customHeight="1">
      <x:c r="A166" s="37" t="str">
        <x:v>작업</x:v>
      </x:c>
      <x:c r="B166" s="37" t="str">
        <x:v>[BED-014] 데이터 보관·내보내기·삭제 요청</x:v>
      </x:c>
      <x:c r="C166" s="37" t="str">
        <x:v>게임 규칙, 운영 요구사항과 대상 플랫폼 제약을 충족하도록 데이터 보관·내보내기·삭제 요청 기능을 구현하고 검증한다.</x:v>
      </x:c>
      <x:c r="D166" s="37" t="str">
        <x:v>최상</x:v>
      </x:c>
      <x:c r="E166" s="37" t="str">
        <x:v>백엔드·데이터·모더레이션</x:v>
      </x:c>
      <x:c r="F166" s="37" t="str">
        <x:v>출시</x:v>
      </x:c>
      <x:c r="G166" s="37" t="str">
        <x:v>BED-014;개인정보;출시</x:v>
      </x:c>
      <x:c r="H166" s="37" t="str">
        <x:v>개인정보</x:v>
      </x:c>
      <x:c r="I166" s="37"/>
      <x:c r="J166" s="37" t="str">
        <x:v>BED-014</x:v>
      </x:c>
      <x:c r="K166" s="37" t="str">
        <x:v>데이터 분류별 보관 기간을 적용하고 접근, 내보내기, 삭제 요청을 감사 가능하게 처리한다. 법적 보존 대상 데이터는 분리한다.</x:v>
      </x:c>
      <x:c r="L166" s="37" t="str">
        <x:v>BED-002,BED-006,BED-008,BED-009</x:v>
      </x:c>
      <x:c r="M166" s="37" t="str">
        <x:v>TC-BED-014-01, TC-BED-014-02</x:v>
      </x:c>
      <x:c r="N166" s="37" t="str">
        <x:v>게임 기획서</x:v>
      </x:c>
      <x:c r="O166" s="37"/>
    </x:row>
    <x:row r="167" ht="42" customHeight="1">
      <x:c r="A167" s="37" t="str">
        <x:v>작업</x:v>
      </x:c>
      <x:c r="B167" s="37" t="str">
        <x:v>[BED-015] 게임 규칙·콘텐츠 설정 버전 배포</x:v>
      </x:c>
      <x:c r="C167" s="37" t="str">
        <x:v>게임 규칙, 운영 요구사항과 대상 플랫폼 제약을 충족하도록 게임 규칙·콘텐츠 설정 버전 배포 기능을 구현하고 검증한다.</x:v>
      </x:c>
      <x:c r="D167" s="37" t="str">
        <x:v>최상</x:v>
      </x:c>
      <x:c r="E167" s="37" t="str">
        <x:v>백엔드·데이터·모더레이션</x:v>
      </x:c>
      <x:c r="F167" s="37" t="str">
        <x:v>MVP</x:v>
      </x:c>
      <x:c r="G167" s="37" t="str">
        <x:v>BED-015;운영;MVP</x:v>
      </x:c>
      <x:c r="H167" s="37" t="str">
        <x:v>라이브 설정</x:v>
      </x:c>
      <x:c r="I167" s="37"/>
      <x:c r="J167" s="37" t="str">
        <x:v>BED-015</x:v>
      </x:c>
      <x:c r="K167" s="37" t="str">
        <x:v>서명된 설정 버전을 환경, 빌드, 지역별로 배포하고 매치 시작 시 고정해 진행 중에는 변경하지 않는다. 과거 버전을 재현할 수 있다.</x:v>
      </x:c>
      <x:c r="L167" s="37" t="str">
        <x:v>SET-001</x:v>
      </x:c>
      <x:c r="M167" s="37" t="str">
        <x:v>TC-BED-015-01, TC-BED-015-02</x:v>
      </x:c>
      <x:c r="N167" s="37" t="str">
        <x:v>게임 기획서</x:v>
      </x:c>
      <x:c r="O167" s="37"/>
    </x:row>
    <x:row r="168" ht="42" customHeight="1">
      <x:c r="A168" s="37" t="str">
        <x:v>작업</x:v>
      </x:c>
      <x:c r="B168" s="37" t="str">
        <x:v>[BED-016] 기능 플래그·단계 배포·긴급 중지</x:v>
      </x:c>
      <x:c r="C168" s="37" t="str">
        <x:v>게임 규칙, 운영 요구사항과 대상 플랫폼 제약을 충족하도록 기능 플래그·단계 배포·긴급 중지 기능을 구현하고 검증한다.</x:v>
      </x:c>
      <x:c r="D168" s="37" t="str">
        <x:v>최상</x:v>
      </x:c>
      <x:c r="E168" s="37" t="str">
        <x:v>백엔드·데이터·모더레이션</x:v>
      </x:c>
      <x:c r="F168" s="37" t="str">
        <x:v>출시</x:v>
      </x:c>
      <x:c r="G168" s="37" t="str">
        <x:v>BED-016;운영;출시</x:v>
      </x:c>
      <x:c r="H168" s="37" t="str">
        <x:v>라이브 설정</x:v>
      </x:c>
      <x:c r="I168" s="37"/>
      <x:c r="J168" s="37" t="str">
        <x:v>BED-016</x:v>
      </x:c>
      <x:c r="K168" s="37" t="str">
        <x:v>기능을 환경, 플랫폼, 지역, 비율별로 전환하고 의존 기능이 준비되지 않은 조합을 막는다. 변경은 승인, 감사, 롤백할 수 있다.</x:v>
      </x:c>
      <x:c r="L168" s="37" t="str">
        <x:v>BED-015</x:v>
      </x:c>
      <x:c r="M168" s="37" t="str">
        <x:v>TC-BED-016-01, TC-BED-016-02</x:v>
      </x:c>
      <x:c r="N168" s="37" t="str">
        <x:v>게임 기획서</x:v>
      </x:c>
      <x:c r="O168" s="37"/>
    </x:row>
    <x:row r="169" ht="42" customHeight="1">
      <x:c r="A169" s="37" t="str">
        <x:v>작업</x:v>
      </x:c>
      <x:c r="B169" s="37" t="str">
        <x:v>[BED-017] 서비스별 요청 제한·할당량</x:v>
      </x:c>
      <x:c r="C169" s="37" t="str">
        <x:v>게임 규칙, 운영 요구사항과 대상 플랫폼 제약을 충족하도록 서비스별 요청 제한·할당량 기능을 구현하고 검증한다.</x:v>
      </x:c>
      <x:c r="D169" s="37" t="str">
        <x:v>최상</x:v>
      </x:c>
      <x:c r="E169" s="37" t="str">
        <x:v>백엔드·데이터·모더레이션</x:v>
      </x:c>
      <x:c r="F169" s="37" t="str">
        <x:v>출시</x:v>
      </x:c>
      <x:c r="G169" s="37" t="str">
        <x:v>BED-017;보안;출시</x:v>
      </x:c>
      <x:c r="H169" s="37" t="str">
        <x:v>플랫폼 보호</x:v>
      </x:c>
      <x:c r="I169" s="37"/>
      <x:c r="J169" s="37" t="str">
        <x:v>BED-017</x:v>
      </x:c>
      <x:c r="K169" s="37" t="str">
        <x:v>인증, 룸, 신고, 설정, 상점 API에 계정, IP, 기기 단위 제한을 적용하고 요청 제한 코드와 재시도 가능 시각을 반환한다.</x:v>
      </x:c>
      <x:c r="L169" s="37" t="str">
        <x:v>BED-001</x:v>
      </x:c>
      <x:c r="M169" s="37" t="str">
        <x:v>TC-BED-017-01, TC-BED-017-02</x:v>
      </x:c>
      <x:c r="N169" s="37" t="str">
        <x:v>게임 기획서</x:v>
      </x:c>
      <x:c r="O169" s="37"/>
    </x:row>
    <x:row r="170" ht="42" customHeight="1">
      <x:c r="A170" s="37" t="str">
        <x:v>작업</x:v>
      </x:c>
      <x:c r="B170" s="37" t="str">
        <x:v>[BED-018] 서비스 오류 코드·상관관계 ID</x:v>
      </x:c>
      <x:c r="C170" s="37" t="str">
        <x:v>게임 규칙, 운영 요구사항과 대상 플랫폼 제약을 충족하도록 서비스 오류 코드·상관관계 ID 기능을 구현하고 검증한다.</x:v>
      </x:c>
      <x:c r="D170" s="37" t="str">
        <x:v>최상</x:v>
      </x:c>
      <x:c r="E170" s="37" t="str">
        <x:v>백엔드·데이터·모더레이션</x:v>
      </x:c>
      <x:c r="F170" s="37" t="str">
        <x:v>MVP</x:v>
      </x:c>
      <x:c r="G170" s="37" t="str">
        <x:v>BED-018;운영;MVP</x:v>
      </x:c>
      <x:c r="H170" s="37" t="str">
        <x:v>관측성</x:v>
      </x:c>
      <x:c r="I170" s="37"/>
      <x:c r="J170" s="37" t="str">
        <x:v>BED-018</x:v>
      </x:c>
      <x:c r="K170" s="37" t="str">
        <x:v>모든 API가 기계 판독 코드, 사용자 표시 키, 재시도 가능 여부, 상관관계 ID를 반환해 로그, 클라이언트, 고객 지원에서 추적할 수 있다.</x:v>
      </x:c>
      <x:c r="L170" s="37" t="str">
        <x:v>BED-001</x:v>
      </x:c>
      <x:c r="M170" s="37" t="str">
        <x:v>TC-BED-018-01, TC-BED-018-02</x:v>
      </x:c>
      <x:c r="N170" s="37" t="str">
        <x:v>게임 기획서</x:v>
      </x:c>
      <x:c r="O170" s="37"/>
    </x:row>
    <x:row r="171" ht="42" customHeight="1">
      <x:c r="A171" s="37" t="str">
        <x:v>작업</x:v>
      </x:c>
      <x:c r="B171" s="37" t="str">
        <x:v>[BED-019] 서비스 상태·SLO·경보</x:v>
      </x:c>
      <x:c r="C171" s="37" t="str">
        <x:v>게임 규칙, 운영 요구사항과 대상 플랫폼 제약을 충족하도록 서비스 상태·SLO·경보 기능을 구현하고 검증한다.</x:v>
      </x:c>
      <x:c r="D171" s="37" t="str">
        <x:v>최상</x:v>
      </x:c>
      <x:c r="E171" s="37" t="str">
        <x:v>백엔드·데이터·모더레이션</x:v>
      </x:c>
      <x:c r="F171" s="37" t="str">
        <x:v>릴리스 후보</x:v>
      </x:c>
      <x:c r="G171" s="37" t="str">
        <x:v>BED-019;운영;릴리스 후보</x:v>
      </x:c>
      <x:c r="H171" s="37" t="str">
        <x:v>관측성</x:v>
      </x:c>
      <x:c r="I171" s="37"/>
      <x:c r="J171" s="37" t="str">
        <x:v>BED-019</x:v>
      </x:c>
      <x:c r="K171" s="37" t="str">
        <x:v>인증, 로비, 매치, 설정, 신고 서비스의 가용성, 지연, 오류율, 포화도를 모니터링하고 임계값 초과 시 담당자에게 알린다.</x:v>
      </x:c>
      <x:c r="L171" s="37" t="str">
        <x:v>BED-018</x:v>
      </x:c>
      <x:c r="M171" s="37" t="str">
        <x:v>TC-BED-019-01, TC-BED-019-02</x:v>
      </x:c>
      <x:c r="N171" s="37" t="str">
        <x:v>게임 기획서</x:v>
      </x:c>
      <x:c r="O171" s="37"/>
    </x:row>
    <x:row r="172" ht="42" customHeight="1">
      <x:c r="A172" s="37" t="str">
        <x:v>작업</x:v>
      </x:c>
      <x:c r="B172" s="37" t="str">
        <x:v>[BED-020] 관리 작업·권한 변경·제재 감사 로그</x:v>
      </x:c>
      <x:c r="C172" s="37" t="str">
        <x:v>게임 규칙, 운영 요구사항과 대상 플랫폼 제약을 충족하도록 관리 작업·권한 변경·제재 감사 로그 기능을 구현하고 검증한다.</x:v>
      </x:c>
      <x:c r="D172" s="37" t="str">
        <x:v>최상</x:v>
      </x:c>
      <x:c r="E172" s="37" t="str">
        <x:v>백엔드·데이터·모더레이션</x:v>
      </x:c>
      <x:c r="F172" s="37" t="str">
        <x:v>출시</x:v>
      </x:c>
      <x:c r="G172" s="37" t="str">
        <x:v>BED-020;보안;출시</x:v>
      </x:c>
      <x:c r="H172" s="37" t="str">
        <x:v>관리 정책</x:v>
      </x:c>
      <x:c r="I172" s="37"/>
      <x:c r="J172" s="37" t="str">
        <x:v>BED-020</x:v>
      </x:c>
      <x:c r="K172" s="37" t="str">
        <x:v>실행자, 대상, 작업, 사유, 변경 전후 값, 시각, 상관관계 ID를 변조 방지 로그에 저장하고 조회 권한을 제한한다.</x:v>
      </x:c>
      <x:c r="L172" s="37" t="str">
        <x:v>BED-002</x:v>
      </x:c>
      <x:c r="M172" s="37" t="str">
        <x:v>TC-BED-020-01, TC-BED-020-02</x:v>
      </x:c>
      <x:c r="N172" s="37" t="str">
        <x:v>게임 기획서</x:v>
      </x:c>
      <x:c r="O172" s="37"/>
    </x:row>
    <x:row r="173" ht="42" customHeight="1">
      <x:c r="A173" s="37" t="str">
        <x:v>작업</x:v>
      </x:c>
      <x:c r="B173" s="37" t="str">
        <x:v>[BED-021] 플레이어·매치·신고·설정 관리 도구</x:v>
      </x:c>
      <x:c r="C173" s="37" t="str">
        <x:v>게임 규칙, 운영 요구사항과 대상 플랫폼 제약을 충족하도록 플레이어·매치·신고·설정 관리 도구 기능을 구현하고 검증한다.</x:v>
      </x:c>
      <x:c r="D173" s="37" t="str">
        <x:v>최상</x:v>
      </x:c>
      <x:c r="E173" s="37" t="str">
        <x:v>백엔드·데이터·모더레이션</x:v>
      </x:c>
      <x:c r="F173" s="37" t="str">
        <x:v>출시</x:v>
      </x:c>
      <x:c r="G173" s="37" t="str">
        <x:v>BED-021;운영;출시</x:v>
      </x:c>
      <x:c r="H173" s="37" t="str">
        <x:v>운영</x:v>
      </x:c>
      <x:c r="I173" s="37"/>
      <x:c r="J173" s="37" t="str">
        <x:v>BED-021</x:v>
      </x:c>
      <x:c r="K173" s="37" t="str">
        <x:v>역할 기반 권한, 검색, 상세 조회, 제재·해제, 설정 배포, 감사 로그 조회를 제공하고 위험 작업은 2단계 확인 또는 승인을 요구한다.</x:v>
      </x:c>
      <x:c r="L173" s="37" t="str">
        <x:v>BED-006,BED-009,BED-016,BED-020</x:v>
      </x:c>
      <x:c r="M173" s="37" t="str">
        <x:v>TC-BED-021-01, TC-BED-021-02</x:v>
      </x:c>
      <x:c r="N173" s="37" t="str">
        <x:v>게임 기획서</x:v>
      </x:c>
      <x:c r="O173" s="37"/>
    </x:row>
    <x:row r="174" ht="42" customHeight="1">
      <x:c r="A174" s="37" t="str">
        <x:v>작업</x:v>
      </x:c>
      <x:c r="B174" s="37" t="str">
        <x:v>[BED-022] 경고·일시 정지·영구 정지·이의 제기</x:v>
      </x:c>
      <x:c r="C174" s="37" t="str">
        <x:v>게임 규칙, 운영 요구사항과 대상 플랫폼 제약을 충족하도록 경고·일시 정지·영구 정지·이의 제기 기능을 구현하고 검증한다.</x:v>
      </x:c>
      <x:c r="D174" s="37" t="str">
        <x:v>최상</x:v>
      </x:c>
      <x:c r="E174" s="37" t="str">
        <x:v>백엔드·데이터·모더레이션</x:v>
      </x:c>
      <x:c r="F174" s="37" t="str">
        <x:v>출시</x:v>
      </x:c>
      <x:c r="G174" s="37" t="str">
        <x:v>BED-022;안전;출시</x:v>
      </x:c>
      <x:c r="H174" s="37" t="str">
        <x:v>안전</x:v>
      </x:c>
      <x:c r="I174" s="37"/>
      <x:c r="J174" s="37" t="str">
        <x:v>BED-022</x:v>
      </x:c>
      <x:c r="K174" s="37" t="str">
        <x:v>제재 유형, 기간, 사유, 증거, 통지, 해제, 이의 제기를 관리하고 게임, 음성, 채팅, 상점 기능에 적절히 반영한다.</x:v>
      </x:c>
      <x:c r="L174" s="37" t="str">
        <x:v>BED-009,BED-021</x:v>
      </x:c>
      <x:c r="M174" s="37" t="str">
        <x:v>TC-BED-022-01, TC-BED-022-02</x:v>
      </x:c>
      <x:c r="N174" s="37" t="str">
        <x:v>게임 기획서</x:v>
      </x:c>
      <x:c r="O174" s="37"/>
    </x:row>
    <x:row r="175" ht="42" customHeight="1">
      <x:c r="A175" s="37" t="str">
        <x:v>작업</x:v>
      </x:c>
      <x:c r="B175" s="37" t="str">
        <x:v>[BED-023] 크래시·서버 로그 수집·마스킹</x:v>
      </x:c>
      <x:c r="C175" s="37" t="str">
        <x:v>게임 규칙, 운영 요구사항과 대상 플랫폼 제약을 충족하도록 크래시·서버 로그 수집·마스킹 기능을 구현하고 검증한다.</x:v>
      </x:c>
      <x:c r="D175" s="37" t="str">
        <x:v>최상</x:v>
      </x:c>
      <x:c r="E175" s="37" t="str">
        <x:v>백엔드·데이터·모더레이션</x:v>
      </x:c>
      <x:c r="F175" s="37" t="str">
        <x:v>알파</x:v>
      </x:c>
      <x:c r="G175" s="37" t="str">
        <x:v>BED-023;운영;알파</x:v>
      </x:c>
      <x:c r="H175" s="37" t="str">
        <x:v>진단</x:v>
      </x:c>
      <x:c r="I175" s="37"/>
      <x:c r="J175" s="37" t="str">
        <x:v>BED-023</x:v>
      </x:c>
      <x:c r="K175" s="37" t="str">
        <x:v>빌드, 플랫폼, 매치 ID, 상태 전환을 수집하고 역할, 채팅, 음성, 토큰, 개인 정보는 마스킹한다.</x:v>
      </x:c>
      <x:c r="L175" s="37" t="str">
        <x:v>BED-018,NET-018</x:v>
      </x:c>
      <x:c r="M175" s="37" t="str">
        <x:v>TC-BED-023-01, TC-BED-023-02</x:v>
      </x:c>
      <x:c r="N175" s="37" t="str">
        <x:v>게임 기획서</x:v>
      </x:c>
      <x:c r="O175" s="37"/>
    </x:row>
    <x:row r="176" ht="42" customHeight="1">
      <x:c r="A176" s="37" t="str">
        <x:v>작업</x:v>
      </x:c>
      <x:c r="B176" s="37" t="str">
        <x:v>[BED-024] 분석 이벤트 검증·데이터 마트</x:v>
      </x:c>
      <x:c r="C176" s="37" t="str">
        <x:v>게임 규칙, 운영 요구사항과 대상 플랫폼 제약을 충족하도록 분석 이벤트 검증·데이터 마트 기능을 구현하고 검증한다.</x:v>
      </x:c>
      <x:c r="D176" s="37" t="str">
        <x:v>높음</x:v>
      </x:c>
      <x:c r="E176" s="37" t="str">
        <x:v>백엔드·데이터·모더레이션</x:v>
      </x:c>
      <x:c r="F176" s="37" t="str">
        <x:v>베타</x:v>
      </x:c>
      <x:c r="G176" s="37" t="str">
        <x:v>BED-024;분석;베타</x:v>
      </x:c>
      <x:c r="H176" s="37" t="str">
        <x:v>분석</x:v>
      </x:c>
      <x:c r="I176" s="37"/>
      <x:c r="J176" s="37" t="str">
        <x:v>BED-024</x:v>
      </x:c>
      <x:c r="K176" s="37" t="str">
        <x:v>스키마 위반, 중복, 누락, 지연을 탐지하고 승률, 게임 시간, 메모 행동, 이탈, 네트워크 품질을 버전별로 분석할 수 있다.</x:v>
      </x:c>
      <x:c r="L176" s="37" t="str">
        <x:v>BED-008,BED-006</x:v>
      </x:c>
      <x:c r="M176" s="37" t="str">
        <x:v>TC-BED-024-01</x:v>
      </x:c>
      <x:c r="N176" s="37" t="str">
        <x:v>게임 기획서</x:v>
      </x:c>
      <x:c r="O176" s="37"/>
    </x:row>
    <x:row r="177" ht="42" customHeight="1">
      <x:c r="A177" s="37" t="str">
        <x:v>작업</x:v>
      </x:c>
      <x:c r="B177" s="37" t="str">
        <x:v>[BED-025] DB 스키마 마이그레이션·하위 호환</x:v>
      </x:c>
      <x:c r="C177" s="37" t="str">
        <x:v>게임 규칙, 운영 요구사항과 대상 플랫폼 제약을 충족하도록 DB 스키마 마이그레이션·하위 호환 기능을 구현하고 검증한다.</x:v>
      </x:c>
      <x:c r="D177" s="37" t="str">
        <x:v>최상</x:v>
      </x:c>
      <x:c r="E177" s="37" t="str">
        <x:v>백엔드·데이터·모더레이션</x:v>
      </x:c>
      <x:c r="F177" s="37" t="str">
        <x:v>릴리스 후보</x:v>
      </x:c>
      <x:c r="G177" s="37" t="str">
        <x:v>BED-025;운영;릴리스 후보</x:v>
      </x:c>
      <x:c r="H177" s="37" t="str">
        <x:v>데이터 플랫폼</x:v>
      </x:c>
      <x:c r="I177" s="37"/>
      <x:c r="J177" s="37" t="str">
        <x:v>BED-025</x:v>
      </x:c>
      <x:c r="K177" s="37" t="str">
        <x:v>확장→이관→정리 절차로 무중단 마이그레이션하고 이전 클라이언트와 병행 운영할 수 있다. 롤백 시 데이터 손실 범위를 정의한다.</x:v>
      </x:c>
      <x:c r="L177" s="37" t="str">
        <x:v>BED-003,BED-006,BED-015</x:v>
      </x:c>
      <x:c r="M177" s="37" t="str">
        <x:v>TC-BED-025-01, TC-BED-025-02</x:v>
      </x:c>
      <x:c r="N177" s="37" t="str">
        <x:v>게임 기획서</x:v>
      </x:c>
      <x:c r="O177" s="37"/>
    </x:row>
    <x:row r="178" ht="42" customHeight="1">
      <x:c r="A178" s="37" t="str">
        <x:v>작업</x:v>
      </x:c>
      <x:c r="B178" s="37" t="str">
        <x:v>[BED-026] 백업·복원·재해 복구</x:v>
      </x:c>
      <x:c r="C178" s="37" t="str">
        <x:v>게임 규칙, 운영 요구사항과 대상 플랫폼 제약을 충족하도록 백업·복원·재해 복구 기능을 구현하고 검증한다.</x:v>
      </x:c>
      <x:c r="D178" s="37" t="str">
        <x:v>최상</x:v>
      </x:c>
      <x:c r="E178" s="37" t="str">
        <x:v>백엔드·데이터·모더레이션</x:v>
      </x:c>
      <x:c r="F178" s="37" t="str">
        <x:v>릴리스 후보</x:v>
      </x:c>
      <x:c r="G178" s="37" t="str">
        <x:v>BED-026;운영;릴리스 후보</x:v>
      </x:c>
      <x:c r="H178" s="37" t="str">
        <x:v>신뢰성</x:v>
      </x:c>
      <x:c r="I178" s="37"/>
      <x:c r="J178" s="37" t="str">
        <x:v>BED-026</x:v>
      </x:c>
      <x:c r="K178" s="37" t="str">
        <x:v>중요 데이터의 RPO와 RTO를 정의하고 정기 복원 시험으로 계정, 설정, 신고, 상점 원장을 복구할 수 있다.</x:v>
      </x:c>
      <x:c r="L178" s="37" t="str">
        <x:v>BED-019,BED-025</x:v>
      </x:c>
      <x:c r="M178" s="37" t="str">
        <x:v>TC-BED-026-01, TC-BED-026-02</x:v>
      </x:c>
      <x:c r="N178" s="37" t="str">
        <x:v>게임 기획서</x:v>
      </x:c>
      <x:c r="O178" s="37"/>
    </x:row>
    <x:row r="179" ht="42" customHeight="1">
      <x:c r="A179" s="37" t="str">
        <x:v>작업</x:v>
      </x:c>
      <x:c r="B179" s="37" t="str">
        <x:v>[BED-027] 비밀 정보·키·인증서 관리</x:v>
      </x:c>
      <x:c r="C179" s="37" t="str">
        <x:v>게임 규칙, 운영 요구사항과 대상 플랫폼 제약을 충족하도록 비밀 정보·키·인증서 관리 기능을 구현하고 검증한다.</x:v>
      </x:c>
      <x:c r="D179" s="37" t="str">
        <x:v>최상</x:v>
      </x:c>
      <x:c r="E179" s="37" t="str">
        <x:v>백엔드·데이터·모더레이션</x:v>
      </x:c>
      <x:c r="F179" s="37" t="str">
        <x:v>릴리스 후보</x:v>
      </x:c>
      <x:c r="G179" s="37" t="str">
        <x:v>BED-027;보안;릴리스 후보</x:v>
      </x:c>
      <x:c r="H179" s="37" t="str">
        <x:v>보안</x:v>
      </x:c>
      <x:c r="I179" s="37"/>
      <x:c r="J179" s="37" t="str">
        <x:v>BED-027</x:v>
      </x:c>
      <x:c r="K179" s="37" t="str">
        <x:v>비밀 정보를 저장소, 로그, 클라이언트에 포함하지 않고 환경 분리, 최소 권한, 교체, 폐기 절차를 적용한다.</x:v>
      </x:c>
      <x:c r="L179" s="37" t="str">
        <x:v>BED-001,NET-027</x:v>
      </x:c>
      <x:c r="M179" s="37" t="str">
        <x:v>TC-BED-027-01, TC-BED-027-02</x:v>
      </x:c>
      <x:c r="N179" s="37" t="str">
        <x:v>게임 기획서</x:v>
      </x:c>
      <x:c r="O179" s="37"/>
    </x:row>
    <x:row r="180" ht="42" customHeight="1">
      <x:c r="A180" s="37" t="str">
        <x:v>작업</x:v>
      </x:c>
      <x:c r="B180" s="37" t="str">
        <x:v>[BED-028] 단계 배포·호환성 확인·롤백</x:v>
      </x:c>
      <x:c r="C180" s="37" t="str">
        <x:v>게임 규칙, 운영 요구사항과 대상 플랫폼 제약을 충족하도록 단계 배포·호환성 확인·롤백 기능을 구현하고 검증한다.</x:v>
      </x:c>
      <x:c r="D180" s="37" t="str">
        <x:v>최상</x:v>
      </x:c>
      <x:c r="E180" s="37" t="str">
        <x:v>백엔드·데이터·모더레이션</x:v>
      </x:c>
      <x:c r="F180" s="37" t="str">
        <x:v>릴리스 후보</x:v>
      </x:c>
      <x:c r="G180" s="37" t="str">
        <x:v>BED-028;릴리스;릴리스 후보</x:v>
      </x:c>
      <x:c r="H180" s="37" t="str">
        <x:v>릴리스 엔지니어링</x:v>
      </x:c>
      <x:c r="I180" s="37"/>
      <x:c r="J180" s="37" t="str">
        <x:v>BED-028</x:v>
      </x:c>
      <x:c r="K180" s="37" t="str">
        <x:v>카나리→단계 확대→전체 배포 절차, DB·설정·클라이언트 호환성, 중지 조건, 롤백을 자동화하고 변경 이력을 남긴다.</x:v>
      </x:c>
      <x:c r="L180" s="37" t="str">
        <x:v>BED-015,BED-016,BED-019,BED-025</x:v>
      </x:c>
      <x:c r="M180" s="37" t="str">
        <x:v>TC-BED-028-01, TC-BED-028-02</x:v>
      </x:c>
      <x:c r="N180" s="37" t="str">
        <x:v>게임 기획서</x:v>
      </x:c>
      <x:c r="O180" s="37"/>
    </x:row>
    <x:row r="181" ht="42" customHeight="1">
      <x:c r="A181" s="37" t="str">
        <x:v>작업</x:v>
      </x:c>
      <x:c r="B181" s="37" t="str">
        <x:v>[BED-029] 외형 랜덤 상자 거래</x:v>
      </x:c>
      <x:c r="C181" s="37" t="str">
        <x:v>게임 규칙, 운영 요구사항과 대상 플랫폼 제약을 충족하도록 외형 랜덤 상자 거래 기능을 구현하고 검증한다.</x:v>
      </x:c>
      <x:c r="D181" s="37" t="str">
        <x:v>낮음</x:v>
      </x:c>
      <x:c r="E181" s="37" t="str">
        <x:v>백엔드·데이터·모더레이션</x:v>
      </x:c>
      <x:c r="F181" s="37" t="str">
        <x:v>출시 후</x:v>
      </x:c>
      <x:c r="G181" s="37" t="str">
        <x:v>BED-029;커머스;출시 후</x:v>
      </x:c>
      <x:c r="H181" s="37" t="str">
        <x:v>커머스</x:v>
      </x:c>
      <x:c r="I181" s="37"/>
      <x:c r="J181" s="37" t="str">
        <x:v>BED-029</x:v>
      </x:c>
      <x:c r="K181" s="37" t="str">
        <x:v>구매, 소비, 추첨, 지급, 중복 변환을 서버에서 멱등 처리하고 게임 성능에 영향을 주는 아이템은 포함하지 않는다.</x:v>
      </x:c>
      <x:c r="L181" s="37" t="str">
        <x:v>BED-004,BED-005,CHR-024</x:v>
      </x:c>
      <x:c r="M181" s="37" t="str">
        <x:v>TC-BED-029-01</x:v>
      </x:c>
      <x:c r="N181" s="37" t="str">
        <x:v>게임 기획서</x:v>
      </x:c>
      <x:c r="O181" s="37"/>
    </x:row>
    <x:row r="182" ht="42" customHeight="1">
      <x:c r="A182" s="37" t="str">
        <x:v>작업</x:v>
      </x:c>
      <x:c r="B182" s="37" t="str">
        <x:v>[BED-030] 확률 표시·지역 규제·구매 한도</x:v>
      </x:c>
      <x:c r="C182" s="37" t="str">
        <x:v>게임 규칙, 운영 요구사항과 대상 플랫폼 제약을 충족하도록 확률 표시·지역 규제·구매 한도 기능을 구현하고 검증한다.</x:v>
      </x:c>
      <x:c r="D182" s="37" t="str">
        <x:v>낮음</x:v>
      </x:c>
      <x:c r="E182" s="37" t="str">
        <x:v>백엔드·데이터·모더레이션</x:v>
      </x:c>
      <x:c r="F182" s="37" t="str">
        <x:v>출시 후</x:v>
      </x:c>
      <x:c r="G182" s="37" t="str">
        <x:v>BED-030;법무;출시 후</x:v>
      </x:c>
      <x:c r="H182" s="37" t="str">
        <x:v>커머스</x:v>
      </x:c>
      <x:c r="I182" s="37"/>
      <x:c r="J182" s="37" t="str">
        <x:v>BED-030</x:v>
      </x:c>
      <x:c r="K182" s="37" t="str">
        <x:v>추첨 확률, 중복 처리, 제공 기간, 연령·지역 제한, 구매 이력, 환불, 한도를 규정에 맞게 적용하고 설정 버전을 감사 가능하게 관리한다.</x:v>
      </x:c>
      <x:c r="L182" s="37" t="str">
        <x:v>BED-029,BED-013</x:v>
      </x:c>
      <x:c r="M182" s="37" t="str">
        <x:v>TC-BED-030-01</x:v>
      </x:c>
      <x:c r="N182" s="37" t="str">
        <x:v>게임 기획서</x:v>
      </x:c>
      <x:c r="O182" s="37"/>
    </x:row>
    <x:row r="183" ht="42" customHeight="1">
      <x:c r="A183" s="37" t="str">
        <x:v>작업</x:v>
      </x:c>
      <x:c r="B183" s="37" t="str">
        <x:v>[CHR-001] 대형 LED 헤드 마스코트 비율 정의</x:v>
      </x:c>
      <x:c r="C183" s="37" t="str">
        <x:v>게임 규칙, 운영 요구사항과 대상 플랫폼 제약을 충족하도록 대형 LED 헤드 마스코트 비율 정의 기능을 구현하고 검증한다.</x:v>
      </x:c>
      <x:c r="D183" s="37" t="str">
        <x:v>최상</x:v>
      </x:c>
      <x:c r="E183" s="37" t="str">
        <x:v>캐릭터·커스터마이징·커머스</x:v>
      </x:c>
      <x:c r="F183" s="37" t="str">
        <x:v>MVP</x:v>
      </x:c>
      <x:c r="G183" s="37" t="str">
        <x:v>CHR-001;캐릭터;MVP</x:v>
      </x:c>
      <x:c r="H183" s="37" t="str">
        <x:v>캐릭터 기반</x:v>
      </x:c>
      <x:c r="I183" s="37"/>
      <x:c r="J183" s="37" t="str">
        <x:v>CHR-001</x:v>
      </x:c>
      <x:c r="K183" s="37" t="str">
        <x:v>머리 60~70%, 몸 20~25%, 손발 10~20%의 기준을 모델 시트로 만들고 원거리에서도 플레이어 식별과 등 메모 영역을 확보한다.</x:v>
      </x:c>
      <x:c r="L183" s="37"/>
      <x:c r="M183" s="37" t="str">
        <x:v>TC-CHR-001-01, TC-CHR-001-02</x:v>
      </x:c>
      <x:c r="N183" s="37" t="str">
        <x:v>캐릭터 사양서 §1-2</x:v>
      </x:c>
      <x:c r="O183" s="37"/>
    </x:row>
    <x:row r="184" ht="42" customHeight="1">
      <x:c r="A184" s="37" t="str">
        <x:v>작업</x:v>
      </x:c>
      <x:c r="B184" s="37" t="str">
        <x:v>[CHR-002] MVP 기본 캐릭터 모델</x:v>
      </x:c>
      <x:c r="C184" s="37" t="str">
        <x:v>게임 규칙, 운영 요구사항과 대상 플랫폼 제약을 충족하도록 MVP 기본 캐릭터 모델 기능을 구현하고 검증한다.</x:v>
      </x:c>
      <x:c r="D184" s="37" t="str">
        <x:v>최상</x:v>
      </x:c>
      <x:c r="E184" s="37" t="str">
        <x:v>캐릭터·커스터마이징·커머스</x:v>
      </x:c>
      <x:c r="F184" s="37" t="str">
        <x:v>MVP</x:v>
      </x:c>
      <x:c r="G184" s="37" t="str">
        <x:v>CHR-002;캐릭터;MVP</x:v>
      </x:c>
      <x:c r="H184" s="37" t="str">
        <x:v>캐릭터 기반</x:v>
      </x:c>
      <x:c r="I184" s="37"/>
      <x:c r="J184" s="37" t="str">
        <x:v>CHR-002</x:v>
      </x:c>
      <x:c r="K184" s="37" t="str">
        <x:v>둥근 사각형 LED 헤드, 기본 후드티, 장갑, 신발을 구현하고 지원 카메라 거리에서 형태와 재질이 깨지지 않는다.</x:v>
      </x:c>
      <x:c r="L184" s="37" t="str">
        <x:v>CHR-001</x:v>
      </x:c>
      <x:c r="M184" s="37" t="str">
        <x:v>TC-CHR-002-01, TC-CHR-002-02</x:v>
      </x:c>
      <x:c r="N184" s="37" t="str">
        <x:v>캐릭터 사양서 §2, §6, §12</x:v>
      </x:c>
      <x:c r="O184" s="37"/>
    </x:row>
    <x:row r="185" ht="42" customHeight="1">
      <x:c r="A185" s="37" t="str">
        <x:v>작업</x:v>
      </x:c>
      <x:c r="B185" s="37" t="str">
        <x:v>[CHR-003] 공통 리그·스키닝·IK</x:v>
      </x:c>
      <x:c r="C185" s="37" t="str">
        <x:v>게임 규칙, 운영 요구사항과 대상 플랫폼 제약을 충족하도록 공통 리그·스키닝·IK 기능을 구현하고 검증한다.</x:v>
      </x:c>
      <x:c r="D185" s="37" t="str">
        <x:v>최상</x:v>
      </x:c>
      <x:c r="E185" s="37" t="str">
        <x:v>캐릭터·커스터마이징·커머스</x:v>
      </x:c>
      <x:c r="F185" s="37" t="str">
        <x:v>MVP</x:v>
      </x:c>
      <x:c r="G185" s="37" t="str">
        <x:v>CHR-003;캐릭터;MVP</x:v>
      </x:c>
      <x:c r="H185" s="37" t="str">
        <x:v>캐릭터 기반</x:v>
      </x:c>
      <x:c r="I185" s="37"/>
      <x:c r="J185" s="37" t="str">
        <x:v>CHR-003</x:v>
      </x:c>
      <x:c r="K185" s="37" t="str">
        <x:v>이동, 메모 부착, 미니게임, 투표, 이모트에 필요한 본과 IK를 정의하고 머리 형태가 달라도 공통 애니메이션을 사용할 수 있다.</x:v>
      </x:c>
      <x:c r="L185" s="37" t="str">
        <x:v>CHR-002</x:v>
      </x:c>
      <x:c r="M185" s="37" t="str">
        <x:v>TC-CHR-003-01, TC-CHR-003-02</x:v>
      </x:c>
      <x:c r="N185" s="37" t="str">
        <x:v>게임 기획서</x:v>
      </x:c>
      <x:c r="O185" s="37"/>
    </x:row>
    <x:row r="186" ht="42" customHeight="1">
      <x:c r="A186" s="37" t="str">
        <x:v>작업</x:v>
      </x:c>
      <x:c r="B186" s="37" t="str">
        <x:v>[CHR-004] LED 도트 매트릭스 표시 기반</x:v>
      </x:c>
      <x:c r="C186" s="37" t="str">
        <x:v>게임 규칙, 운영 요구사항과 대상 플랫폼 제약을 충족하도록 LED 도트 매트릭스 표시 기반 기능을 구현하고 검증한다.</x:v>
      </x:c>
      <x:c r="D186" s="37" t="str">
        <x:v>최상</x:v>
      </x:c>
      <x:c r="E186" s="37" t="str">
        <x:v>캐릭터·커스터마이징·커머스</x:v>
      </x:c>
      <x:c r="F186" s="37" t="str">
        <x:v>MVP</x:v>
      </x:c>
      <x:c r="G186" s="37" t="str">
        <x:v>CHR-004;판독성;MVP</x:v>
      </x:c>
      <x:c r="H186" s="37" t="str">
        <x:v>LED 헤드</x:v>
      </x:c>
      <x:c r="I186" s="37"/>
      <x:c r="J186" s="37" t="str">
        <x:v>CHR-004</x:v>
      </x:c>
      <x:c r="K186" s="37" t="str">
        <x:v>머리 전면에 표정과 아이콘을 표시하고 밝기, 블룸, 점멸, 거리 LOD가 밤 관찰과 색상 판정을 방해하지 않으며 저자극 설정을 지원한다.</x:v>
      </x:c>
      <x:c r="L186" s="37" t="str">
        <x:v>CHR-002,SET-025</x:v>
      </x:c>
      <x:c r="M186" s="37" t="str">
        <x:v>TC-CHR-004-01, TC-CHR-004-02</x:v>
      </x:c>
      <x:c r="N186" s="37" t="str">
        <x:v>캐릭터 사양서 §4</x:v>
      </x:c>
      <x:c r="O186" s="37"/>
    </x:row>
    <x:row r="187" ht="42" customHeight="1">
      <x:c r="A187" s="37" t="str">
        <x:v>작업</x:v>
      </x:c>
      <x:c r="B187" s="37" t="str">
        <x:v>[CHR-005] 4~8색 플레이어 식별 팔레트</x:v>
      </x:c>
      <x:c r="C187" s="37" t="str">
        <x:v>게임 규칙, 운영 요구사항과 대상 플랫폼 제약을 충족하도록 4~8색 플레이어 식별 팔레트 기능을 구현하고 검증한다.</x:v>
      </x:c>
      <x:c r="D187" s="37" t="str">
        <x:v>최상</x:v>
      </x:c>
      <x:c r="E187" s="37" t="str">
        <x:v>캐릭터·커스터마이징·커머스</x:v>
      </x:c>
      <x:c r="F187" s="37" t="str">
        <x:v>MVP</x:v>
      </x:c>
      <x:c r="G187" s="37" t="str">
        <x:v>CHR-005;판독성;MVP</x:v>
      </x:c>
      <x:c r="H187" s="37" t="str">
        <x:v>플레이어 식별</x:v>
      </x:c>
      <x:c r="I187" s="37"/>
      <x:c r="J187" s="37" t="str">
        <x:v>CHR-005</x:v>
      </x:c>
      <x:c r="K187" s="37" t="str">
        <x:v>빨강, 파랑, 노랑, 초록, 보라, 주황 등을 조명, 색각 특성, 디스플레이 조건에서 검증하고 몸, LED, UI, 메모에 같은 색상 ID를 적용한다.</x:v>
      </x:c>
      <x:c r="L187" s="37" t="str">
        <x:v>CHR-004</x:v>
      </x:c>
      <x:c r="M187" s="37" t="str">
        <x:v>TC-CHR-005-01, TC-CHR-005-02</x:v>
      </x:c>
      <x:c r="N187" s="37" t="str">
        <x:v>캐릭터 사양서 §5</x:v>
      </x:c>
      <x:c r="O187" s="37"/>
    </x:row>
    <x:row r="188" ht="42" customHeight="1">
      <x:c r="A188" s="37" t="str">
        <x:v>작업</x:v>
      </x:c>
      <x:c r="B188" s="37" t="str">
        <x:v>[CHR-006] 몸·LED·포인트 색상 적용 규칙</x:v>
      </x:c>
      <x:c r="C188" s="37" t="str">
        <x:v>게임 규칙, 운영 요구사항과 대상 플랫폼 제약을 충족하도록 몸·LED·포인트 색상 적용 규칙 기능을 구현하고 검증한다.</x:v>
      </x:c>
      <x:c r="D188" s="37" t="str">
        <x:v>최상</x:v>
      </x:c>
      <x:c r="E188" s="37" t="str">
        <x:v>캐릭터·커스터마이징·커머스</x:v>
      </x:c>
      <x:c r="F188" s="37" t="str">
        <x:v>MVP</x:v>
      </x:c>
      <x:c r="G188" s="37" t="str">
        <x:v>CHR-006;판독성;MVP</x:v>
      </x:c>
      <x:c r="H188" s="37" t="str">
        <x:v>플레이어 식별</x:v>
      </x:c>
      <x:c r="I188" s="37"/>
      <x:c r="J188" s="37" t="str">
        <x:v>CHR-006</x:v>
      </x:c>
      <x:c r="K188" s="37" t="str">
        <x:v>의상을 변경해도 주요 면적에 본인 색상이 유지되고 다른 플레이어 색상이나 메모 색상으로 오인할 수 있는 보조 색상을 제한한다.</x:v>
      </x:c>
      <x:c r="L188" s="37" t="str">
        <x:v>CHR-005</x:v>
      </x:c>
      <x:c r="M188" s="37" t="str">
        <x:v>TC-CHR-006-01, TC-CHR-006-02</x:v>
      </x:c>
      <x:c r="N188" s="37" t="str">
        <x:v>게임 기획서</x:v>
      </x:c>
      <x:c r="O188" s="37"/>
    </x:row>
    <x:row r="189" ht="42" customHeight="1">
      <x:c r="A189" s="37" t="str">
        <x:v>작업</x:v>
      </x:c>
      <x:c r="B189" s="37" t="str">
        <x:v>[CHR-007] 이동·정지·회전·집결 텔레포트</x:v>
      </x:c>
      <x:c r="C189" s="37" t="str">
        <x:v>게임 규칙, 운영 요구사항과 대상 플랫폼 제약을 충족하도록 이동·정지·회전·집결 텔레포트 기능을 구현하고 검증한다.</x:v>
      </x:c>
      <x:c r="D189" s="37" t="str">
        <x:v>최상</x:v>
      </x:c>
      <x:c r="E189" s="37" t="str">
        <x:v>캐릭터·커스터마이징·커머스</x:v>
      </x:c>
      <x:c r="F189" s="37" t="str">
        <x:v>MVP</x:v>
      </x:c>
      <x:c r="G189" s="37" t="str">
        <x:v>CHR-007;애니메이션;MVP</x:v>
      </x:c>
      <x:c r="H189" s="37" t="str">
        <x:v>애니메이션</x:v>
      </x:c>
      <x:c r="I189" s="37"/>
      <x:c r="J189" s="37" t="str">
        <x:v>CHR-007</x:v>
      </x:c>
      <x:c r="K189" s="37" t="str">
        <x:v>작은 몸과 큰 머리 구성에서 발 미끄러짐, 머리 관통, 급회전 오류가 없고 밤 집결 전환을 안정적으로 재생한다.</x:v>
      </x:c>
      <x:c r="L189" s="37" t="str">
        <x:v>CHR-003,NET-009</x:v>
      </x:c>
      <x:c r="M189" s="37" t="str">
        <x:v>TC-CHR-007-01, TC-CHR-007-02</x:v>
      </x:c>
      <x:c r="N189" s="37" t="str">
        <x:v>게임 기획서</x:v>
      </x:c>
      <x:c r="O189" s="37"/>
    </x:row>
    <x:row r="190" ht="42" customHeight="1">
      <x:c r="A190" s="37" t="str">
        <x:v>작업</x:v>
      </x:c>
      <x:c r="B190" s="37" t="str">
        <x:v>[CHR-008] 관찰 가능한 메모 부착 애니메이션</x:v>
      </x:c>
      <x:c r="C190" s="37" t="str">
        <x:v>게임 규칙, 운영 요구사항과 대상 플랫폼 제약을 충족하도록 관찰 가능한 메모 부착 애니메이션 기능을 구현하고 검증한다.</x:v>
      </x:c>
      <x:c r="D190" s="37" t="str">
        <x:v>최상</x:v>
      </x:c>
      <x:c r="E190" s="37" t="str">
        <x:v>캐릭터·커스터마이징·커머스</x:v>
      </x:c>
      <x:c r="F190" s="37" t="str">
        <x:v>MVP</x:v>
      </x:c>
      <x:c r="G190" s="37" t="str">
        <x:v>CHR-008;핵심 규칙;MVP</x:v>
      </x:c>
      <x:c r="H190" s="37" t="str">
        <x:v>애니메이션</x:v>
      </x:c>
      <x:c r="I190" s="37"/>
      <x:c r="J190" s="37" t="str">
        <x:v>CHR-008</x:v>
      </x:c>
      <x:c r="K190" s="37" t="str">
        <x:v>등 뒤로 손을 뻗는 약 1.5초 동작을 주변 플레이어가 인지할 수 있지만 원거리에서 메모 색상이나 문구를 읽게 만드는 과도한 연출은 하지 않는다.</x:v>
      </x:c>
      <x:c r="L190" s="37" t="str">
        <x:v>CHR-003,IGM-017</x:v>
      </x:c>
      <x:c r="M190" s="37" t="str">
        <x:v>TC-CHR-008-01, TC-CHR-008-02</x:v>
      </x:c>
      <x:c r="N190" s="37" t="str">
        <x:v>게임 기획서 §7.4</x:v>
      </x:c>
      <x:c r="O190" s="37"/>
    </x:row>
    <x:row r="191" ht="42" customHeight="1">
      <x:c r="A191" s="37" t="str">
        <x:v>작업</x:v>
      </x:c>
      <x:c r="B191" s="37" t="str">
        <x:v>[CHR-009] 등 메모 소켓·기준면</x:v>
      </x:c>
      <x:c r="C191" s="37" t="str">
        <x:v>게임 규칙, 운영 요구사항과 대상 플랫폼 제약을 충족하도록 등 메모 소켓·기준면 기능을 구현하고 검증한다.</x:v>
      </x:c>
      <x:c r="D191" s="37" t="str">
        <x:v>최상</x:v>
      </x:c>
      <x:c r="E191" s="37" t="str">
        <x:v>캐릭터·커스터마이징·커머스</x:v>
      </x:c>
      <x:c r="F191" s="37" t="str">
        <x:v>MVP</x:v>
      </x:c>
      <x:c r="G191" s="37" t="str">
        <x:v>CHR-009;메모;MVP</x:v>
      </x:c>
      <x:c r="H191" s="37" t="str">
        <x:v>메모 표시</x:v>
      </x:c>
      <x:c r="I191" s="37"/>
      <x:c r="J191" s="37" t="str">
        <x:v>CHR-009</x:v>
      </x:c>
      <x:c r="K191" s="37" t="str">
        <x:v>등 중앙 또는 머리 뒤쪽 하단에 공통 기준면을 정의하고 모든 머리·의상에서 위치, 법선, 크기, 충돌 영역을 검증한다.</x:v>
      </x:c>
      <x:c r="L191" s="37" t="str">
        <x:v>CHR-002</x:v>
      </x:c>
      <x:c r="M191" s="37" t="str">
        <x:v>TC-CHR-009-01, TC-CHR-009-02</x:v>
      </x:c>
      <x:c r="N191" s="37" t="str">
        <x:v>캐릭터 사양서 §7</x:v>
      </x:c>
      <x:c r="O191" s="37"/>
    </x:row>
    <x:row r="192" ht="42" customHeight="1">
      <x:c r="A192" s="37" t="str">
        <x:v>작업</x:v>
      </x:c>
      <x:c r="B192" s="37" t="str">
        <x:v>[CHR-010] 최대 6장 등 메모 레이아웃</x:v>
      </x:c>
      <x:c r="C192" s="37" t="str">
        <x:v>게임 규칙, 운영 요구사항과 대상 플랫폼 제약을 충족하도록 최대 6장 등 메모 레이아웃 기능을 구현하고 검증한다.</x:v>
      </x:c>
      <x:c r="D192" s="37" t="str">
        <x:v>최상</x:v>
      </x:c>
      <x:c r="E192" s="37" t="str">
        <x:v>캐릭터·커스터마이징·커머스</x:v>
      </x:c>
      <x:c r="F192" s="37" t="str">
        <x:v>MVP</x:v>
      </x:c>
      <x:c r="G192" s="37" t="str">
        <x:v>CHR-010;판독성;MVP</x:v>
      </x:c>
      <x:c r="H192" s="37" t="str">
        <x:v>메모 표시</x:v>
      </x:c>
      <x:c r="I192" s="37"/>
      <x:c r="J192" s="37" t="str">
        <x:v>CHR-010</x:v>
      </x:c>
      <x:c r="K192" s="37" t="str">
        <x:v>오래된 메모부터 왼쪽 위→오른쪽 아래로 배치하고 크기, 겹침, 곡면 추종, 흔들림을 통일한다. 카메라 각도에 따라 순서가 반전되지 않는다.</x:v>
      </x:c>
      <x:c r="L192" s="37" t="str">
        <x:v>CHR-009,IGM-021</x:v>
      </x:c>
      <x:c r="M192" s="37" t="str">
        <x:v>TC-CHR-010-01, TC-CHR-010-02</x:v>
      </x:c>
      <x:c r="N192" s="37" t="str">
        <x:v>게임 기획서</x:v>
      </x:c>
      <x:c r="O192" s="37"/>
    </x:row>
    <x:row r="193" ht="42" customHeight="1">
      <x:c r="A193" s="37" t="str">
        <x:v>작업</x:v>
      </x:c>
      <x:c r="B193" s="37" t="str">
        <x:v>[CHR-011] 메모 재질·거리 LOD·최신 메모 표현</x:v>
      </x:c>
      <x:c r="C193" s="37" t="str">
        <x:v>게임 규칙, 운영 요구사항과 대상 플랫폼 제약을 충족하도록 메모 재질·거리 LOD·최신 메모 표현 기능을 구현하고 검증한다.</x:v>
      </x:c>
      <x:c r="D193" s="37" t="str">
        <x:v>높음</x:v>
      </x:c>
      <x:c r="E193" s="37" t="str">
        <x:v>캐릭터·커스터마이징·커머스</x:v>
      </x:c>
      <x:c r="F193" s="37" t="str">
        <x:v>MVP</x:v>
      </x:c>
      <x:c r="G193" s="37" t="str">
        <x:v>CHR-011;판독성;MVP</x:v>
      </x:c>
      <x:c r="H193" s="37" t="str">
        <x:v>메모 표시</x:v>
      </x:c>
      <x:c r="I193" s="37"/>
      <x:c r="J193" s="37" t="str">
        <x:v>CHR-011</x:v>
      </x:c>
      <x:c r="K193" s="37" t="str">
        <x:v>중거리에서는 색상 면, 근거리에서는 문구를 표시하고 최신 메모를 미세한 차이로 구분하되 정확한 시각을 추정할 정도의 단계 차이는 두지 않는다.</x:v>
      </x:c>
      <x:c r="L193" s="37" t="str">
        <x:v>CHR-010,UIX-014</x:v>
      </x:c>
      <x:c r="M193" s="37" t="str">
        <x:v>TC-CHR-011-01</x:v>
      </x:c>
      <x:c r="N193" s="37" t="str">
        <x:v>게임 기획서</x:v>
      </x:c>
      <x:c r="O193" s="37"/>
    </x:row>
    <x:row r="194" ht="42" customHeight="1">
      <x:c r="A194" s="37" t="str">
        <x:v>작업</x:v>
      </x:c>
      <x:c r="B194" s="37" t="str">
        <x:v>[CHR-012] 의상·머리·카메라에 의한 메모 가림 방지</x:v>
      </x:c>
      <x:c r="C194" s="37" t="str">
        <x:v>게임 규칙, 운영 요구사항과 대상 플랫폼 제약을 충족하도록 의상·머리·카메라에 의한 메모 가림 방지 기능을 구현하고 검증한다.</x:v>
      </x:c>
      <x:c r="D194" s="37" t="str">
        <x:v>최상</x:v>
      </x:c>
      <x:c r="E194" s="37" t="str">
        <x:v>캐릭터·커스터마이징·커머스</x:v>
      </x:c>
      <x:c r="F194" s="37" t="str">
        <x:v>MVP</x:v>
      </x:c>
      <x:c r="G194" s="37" t="str">
        <x:v>CHR-012;판독성;MVP</x:v>
      </x:c>
      <x:c r="H194" s="37" t="str">
        <x:v>메모 표시</x:v>
      </x:c>
      <x:c r="I194" s="37"/>
      <x:c r="J194" s="37" t="str">
        <x:v>CHR-012</x:v>
      </x:c>
      <x:c r="K194" s="37" t="str">
        <x:v>MVP 전체 장비, 굽힘 자세, 벽 근처, 근거리, 밤 관찰에서 등 메모 영역의 80% 이상을 볼 수 있고 심각하게 가리는 장비는 장착할 수 없다.</x:v>
      </x:c>
      <x:c r="L194" s="37" t="str">
        <x:v>CHR-009,CHR-010,CHR-014</x:v>
      </x:c>
      <x:c r="M194" s="37" t="str">
        <x:v>TC-CHR-012-01, TC-CHR-012-02</x:v>
      </x:c>
      <x:c r="N194" s="37" t="str">
        <x:v>캐릭터 사양서 §7, §11</x:v>
      </x:c>
      <x:c r="O194" s="37"/>
    </x:row>
    <x:row r="195" ht="42" customHeight="1">
      <x:c r="A195" s="37" t="str">
        <x:v>작업</x:v>
      </x:c>
      <x:c r="B195" s="37" t="str">
        <x:v>[CHR-013] 구형·정육면체형 헤드 지원</x:v>
      </x:c>
      <x:c r="C195" s="37" t="str">
        <x:v>게임 규칙, 운영 요구사항과 대상 플랫폼 제약을 충족하도록 구형·정육면체형 헤드 지원 기능을 구현하고 검증한다.</x:v>
      </x:c>
      <x:c r="D195" s="37" t="str">
        <x:v>중간</x:v>
      </x:c>
      <x:c r="E195" s="37" t="str">
        <x:v>캐릭터·커스터마이징·커머스</x:v>
      </x:c>
      <x:c r="F195" s="37" t="str">
        <x:v>출시 후</x:v>
      </x:c>
      <x:c r="G195" s="37" t="str">
        <x:v>CHR-013;외형;출시 후</x:v>
      </x:c>
      <x:c r="H195" s="37" t="str">
        <x:v>커스터마이징</x:v>
      </x:c>
      <x:c r="I195" s="37"/>
      <x:c r="J195" s="37" t="str">
        <x:v>CHR-013</x:v>
      </x:c>
      <x:c r="K195" s="37" t="str">
        <x:v>추가 머리 2종에서 LED 표시, 이름표, 메모 소켓, 카메라, 충돌, 표정이 기준 안에 들어오며 게임 성능 차이는 생기지 않는다.</x:v>
      </x:c>
      <x:c r="L195" s="37" t="str">
        <x:v>CHR-003,CHR-004,CHR-009</x:v>
      </x:c>
      <x:c r="M195" s="37" t="str">
        <x:v>TC-CHR-013-01</x:v>
      </x:c>
      <x:c r="N195" s="37" t="str">
        <x:v>캐릭터 사양서 §3</x:v>
      </x:c>
      <x:c r="O195" s="37"/>
    </x:row>
    <x:row r="196" ht="42" customHeight="1">
      <x:c r="A196" s="37" t="str">
        <x:v>작업</x:v>
      </x:c>
      <x:c r="B196" s="37" t="str">
        <x:v>[CHR-014] 의상·모자·액세서리 금지 형태 규칙</x:v>
      </x:c>
      <x:c r="C196" s="37" t="str">
        <x:v>게임 규칙, 운영 요구사항과 대상 플랫폼 제약을 충족하도록 의상·모자·액세서리 금지 형태 규칙 기능을 구현하고 검증한다.</x:v>
      </x:c>
      <x:c r="D196" s="37" t="str">
        <x:v>최상</x:v>
      </x:c>
      <x:c r="E196" s="37" t="str">
        <x:v>캐릭터·커스터마이징·커머스</x:v>
      </x:c>
      <x:c r="F196" s="37" t="str">
        <x:v>MVP</x:v>
      </x:c>
      <x:c r="G196" s="37" t="str">
        <x:v>CHR-014;판독성;MVP</x:v>
      </x:c>
      <x:c r="H196" s="37" t="str">
        <x:v>커스터마이징</x:v>
      </x:c>
      <x:c r="I196" s="37"/>
      <x:c r="J196" s="37" t="str">
        <x:v>CHR-014</x:v>
      </x:c>
      <x:c r="K196" s="37" t="str">
        <x:v>LED 화면, 본인 색상, 이름표, 등 메모를 가리는 모자, 망토, 날개, 대형 발광물, 오인 색상은 자동 검사 또는 리뷰에서 승인하지 않는다.</x:v>
      </x:c>
      <x:c r="L196" s="37" t="str">
        <x:v>CHR-005,CHR-009</x:v>
      </x:c>
      <x:c r="M196" s="37" t="str">
        <x:v>TC-CHR-014-01, TC-CHR-014-02</x:v>
      </x:c>
      <x:c r="N196" s="37" t="str">
        <x:v>캐릭터 사양서 §8, §11</x:v>
      </x:c>
      <x:c r="O196" s="37"/>
    </x:row>
    <x:row r="197" ht="42" customHeight="1">
      <x:c r="A197" s="37" t="str">
        <x:v>작업</x:v>
      </x:c>
      <x:c r="B197" s="37" t="str">
        <x:v>[CHR-015] 플레이어·메모 색상용 형태·패턴 에셋</x:v>
      </x:c>
      <x:c r="C197" s="37" t="str">
        <x:v>게임 규칙, 운영 요구사항과 대상 플랫폼 제약을 충족하도록 플레이어·메모 색상용 형태·패턴 에셋 기능을 구현하고 검증한다.</x:v>
      </x:c>
      <x:c r="D197" s="37" t="str">
        <x:v>최상</x:v>
      </x:c>
      <x:c r="E197" s="37" t="str">
        <x:v>캐릭터·커스터마이징·커머스</x:v>
      </x:c>
      <x:c r="F197" s="37" t="str">
        <x:v>베타</x:v>
      </x:c>
      <x:c r="G197" s="37" t="str">
        <x:v>CHR-015;접근성;베타</x:v>
      </x:c>
      <x:c r="H197" s="37" t="str">
        <x:v>접근성</x:v>
      </x:c>
      <x:c r="I197" s="37"/>
      <x:c r="J197" s="37" t="str">
        <x:v>CHR-015</x:v>
      </x:c>
      <x:c r="K197" s="37" t="str">
        <x:v>각 색상 ID에 고유한 기호와 패턴을 배정하고 몸, 이름표, 메모, 투표 UI에서 같은 의미를 유지한다.</x:v>
      </x:c>
      <x:c r="L197" s="37" t="str">
        <x:v>CHR-005,SET-024</x:v>
      </x:c>
      <x:c r="M197" s="37" t="str">
        <x:v>TC-CHR-015-01, TC-CHR-015-02</x:v>
      </x:c>
      <x:c r="N197" s="37" t="str">
        <x:v>게임 기획서</x:v>
      </x:c>
      <x:c r="O197" s="37"/>
    </x:row>
    <x:row r="198" ht="42" customHeight="1">
      <x:c r="A198" s="37" t="str">
        <x:v>작업</x:v>
      </x:c>
      <x:c r="B198" s="37" t="str">
        <x:v>[CHR-016] 이름표·상태 아이콘 앵커</x:v>
      </x:c>
      <x:c r="C198" s="37" t="str">
        <x:v>게임 규칙, 운영 요구사항과 대상 플랫폼 제약을 충족하도록 이름표·상태 아이콘 앵커 기능을 구현하고 검증한다.</x:v>
      </x:c>
      <x:c r="D198" s="37" t="str">
        <x:v>높음</x:v>
      </x:c>
      <x:c r="E198" s="37" t="str">
        <x:v>캐릭터·커스터마이징·커머스</x:v>
      </x:c>
      <x:c r="F198" s="37" t="str">
        <x:v>MVP</x:v>
      </x:c>
      <x:c r="G198" s="37" t="str">
        <x:v>CHR-016;판독성;MVP</x:v>
      </x:c>
      <x:c r="H198" s="37" t="str">
        <x:v>플레이어 식별</x:v>
      </x:c>
      <x:c r="I198" s="37"/>
      <x:c r="J198" s="37" t="str">
        <x:v>CHR-016</x:v>
      </x:c>
      <x:c r="K198" s="37" t="str">
        <x:v>머리 형태, 동작, 카메라 거리와 관계없이 이름과 상태 아이콘이 LED 화면이나 등 메모를 가리지 않는 위치에 표시된다.</x:v>
      </x:c>
      <x:c r="L198" s="37" t="str">
        <x:v>CHR-002,UIX-007</x:v>
      </x:c>
      <x:c r="M198" s="37" t="str">
        <x:v>TC-CHR-016-01</x:v>
      </x:c>
      <x:c r="N198" s="37" t="str">
        <x:v>게임 기획서</x:v>
      </x:c>
      <x:c r="O198" s="37"/>
    </x:row>
    <x:row r="199" ht="42" customHeight="1">
      <x:c r="A199" s="37" t="str">
        <x:v>작업</x:v>
      </x:c>
      <x:c r="B199" s="37" t="str">
        <x:v>[CHR-017] 커스터마이징 미리보기 환경</x:v>
      </x:c>
      <x:c r="C199" s="37" t="str">
        <x:v>게임 규칙, 운영 요구사항과 대상 플랫폼 제약을 충족하도록 커스터마이징 미리보기 환경 기능을 구현하고 검증한다.</x:v>
      </x:c>
      <x:c r="D199" s="37" t="str">
        <x:v>중간</x:v>
      </x:c>
      <x:c r="E199" s="37" t="str">
        <x:v>캐릭터·커스터마이징·커머스</x:v>
      </x:c>
      <x:c r="F199" s="37" t="str">
        <x:v>출시 후</x:v>
      </x:c>
      <x:c r="G199" s="37" t="str">
        <x:v>CHR-017;외형;출시 후</x:v>
      </x:c>
      <x:c r="H199" s="37" t="str">
        <x:v>커스터마이징 UX</x:v>
      </x:c>
      <x:c r="I199" s="37"/>
      <x:c r="J199" s="37" t="str">
        <x:v>CHR-017</x:v>
      </x:c>
      <x:c r="K199" s="37" t="str">
        <x:v>앞뒤 회전, LED, 본인 색상, 등 메모 더미, 조명 조건, 장비 조합을 확인하고 장착 전에 판독성 경고를 표시한다.</x:v>
      </x:c>
      <x:c r="L199" s="37" t="str">
        <x:v>CHR-012,UIX-002</x:v>
      </x:c>
      <x:c r="M199" s="37" t="str">
        <x:v>TC-CHR-017-01</x:v>
      </x:c>
      <x:c r="N199" s="37" t="str">
        <x:v>게임 기획서</x:v>
      </x:c>
      <x:c r="O199" s="37"/>
    </x:row>
    <x:row r="200" ht="42" customHeight="1">
      <x:c r="A200" s="37" t="str">
        <x:v>작업</x:v>
      </x:c>
      <x:c r="B200" s="37" t="str">
        <x:v>[CHR-018] 장착 슬롯·충돌 규칙</x:v>
      </x:c>
      <x:c r="C200" s="37" t="str">
        <x:v>게임 규칙, 운영 요구사항과 대상 플랫폼 제약을 충족하도록 장착 슬롯·충돌 규칙 기능을 구현하고 검증한다.</x:v>
      </x:c>
      <x:c r="D200" s="37" t="str">
        <x:v>중간</x:v>
      </x:c>
      <x:c r="E200" s="37" t="str">
        <x:v>캐릭터·커스터마이징·커머스</x:v>
      </x:c>
      <x:c r="F200" s="37" t="str">
        <x:v>출시 후</x:v>
      </x:c>
      <x:c r="G200" s="37" t="str">
        <x:v>CHR-018;외형;출시 후</x:v>
      </x:c>
      <x:c r="H200" s="37" t="str">
        <x:v>커스터마이징</x:v>
      </x:c>
      <x:c r="I200" s="37"/>
      <x:c r="J200" s="37" t="str">
        <x:v>CHR-018</x:v>
      </x:c>
      <x:c r="K200" s="37" t="str">
        <x:v>헤드, 의상, 신발, 장갑, 모자, 액세서리, LED 표정·효과의 장착 슬롯과 상호 배타 관계를 데이터로 정의한다.</x:v>
      </x:c>
      <x:c r="L200" s="37" t="str">
        <x:v>CHR-014</x:v>
      </x:c>
      <x:c r="M200" s="37" t="str">
        <x:v>TC-CHR-018-01</x:v>
      </x:c>
      <x:c r="N200" s="37" t="str">
        <x:v>게임 기획서</x:v>
      </x:c>
      <x:c r="O200" s="37"/>
    </x:row>
    <x:row r="201" ht="42" customHeight="1">
      <x:c r="A201" s="37" t="str">
        <x:v>작업</x:v>
      </x:c>
      <x:c r="B201" s="37" t="str">
        <x:v>[CHR-019] 장비 조합 서버·클라이언트 검증</x:v>
      </x:c>
      <x:c r="C201" s="37" t="str">
        <x:v>게임 규칙, 운영 요구사항과 대상 플랫폼 제약을 충족하도록 장비 조합 서버·클라이언트 검증 기능을 구현하고 검증한다.</x:v>
      </x:c>
      <x:c r="D201" s="37" t="str">
        <x:v>높음</x:v>
      </x:c>
      <x:c r="E201" s="37" t="str">
        <x:v>캐릭터·커스터마이징·커머스</x:v>
      </x:c>
      <x:c r="F201" s="37" t="str">
        <x:v>출시 후</x:v>
      </x:c>
      <x:c r="G201" s="37" t="str">
        <x:v>CHR-019;보안;출시 후</x:v>
      </x:c>
      <x:c r="H201" s="37" t="str">
        <x:v>커스터마이징</x:v>
      </x:c>
      <x:c r="I201" s="37"/>
      <x:c r="J201" s="37" t="str">
        <x:v>CHR-019</x:v>
      </x:c>
      <x:c r="K201" s="37" t="str">
        <x:v>미보유, 미지원, 지역 제한, 슬롯 충돌, 판독성 부적합 조합을 거부하고 안전한 기본 외형으로 복구한다.</x:v>
      </x:c>
      <x:c r="L201" s="37" t="str">
        <x:v>CHR-018,BED-004</x:v>
      </x:c>
      <x:c r="M201" s="37" t="str">
        <x:v>TC-CHR-019-01</x:v>
      </x:c>
      <x:c r="N201" s="37" t="str">
        <x:v>게임 기획서</x:v>
      </x:c>
      <x:c r="O201" s="37"/>
    </x:row>
    <x:row r="202" ht="42" customHeight="1">
      <x:c r="A202" s="37" t="str">
        <x:v>작업</x:v>
      </x:c>
      <x:c r="B202" s="37" t="str">
        <x:v>[CHR-020] 보유·장착·즐겨찾기 로드아웃</x:v>
      </x:c>
      <x:c r="C202" s="37" t="str">
        <x:v>게임 규칙, 운영 요구사항과 대상 플랫폼 제약을 충족하도록 보유·장착·즐겨찾기 로드아웃 기능을 구현하고 검증한다.</x:v>
      </x:c>
      <x:c r="D202" s="37" t="str">
        <x:v>중간</x:v>
      </x:c>
      <x:c r="E202" s="37" t="str">
        <x:v>캐릭터·커스터마이징·커머스</x:v>
      </x:c>
      <x:c r="F202" s="37" t="str">
        <x:v>출시 후</x:v>
      </x:c>
      <x:c r="G202" s="37" t="str">
        <x:v>CHR-020;외형;출시 후</x:v>
      </x:c>
      <x:c r="H202" s="37" t="str">
        <x:v>커스터마이징</x:v>
      </x:c>
      <x:c r="I202" s="37"/>
      <x:c r="J202" s="37" t="str">
        <x:v>CHR-020</x:v>
      </x:c>
      <x:c r="K202" s="37" t="str">
        <x:v>복수 로드아웃을 저장·동기화하고 매치 시작 시 확정 스냅샷을 사용하며 진행 중에는 변경하지 않는다.</x:v>
      </x:c>
      <x:c r="L202" s="37" t="str">
        <x:v>CHR-019,BED-004</x:v>
      </x:c>
      <x:c r="M202" s="37" t="str">
        <x:v>TC-CHR-020-01</x:v>
      </x:c>
      <x:c r="N202" s="37" t="str">
        <x:v>게임 기획서</x:v>
      </x:c>
      <x:c r="O202" s="37"/>
    </x:row>
    <x:row r="203" ht="42" customHeight="1">
      <x:c r="A203" s="37" t="str">
        <x:v>작업</x:v>
      </x:c>
      <x:c r="B203" s="37" t="str">
        <x:v>[CHR-021] 외형 에셋 대장·명명·버전 관리</x:v>
      </x:c>
      <x:c r="C203" s="37" t="str">
        <x:v>게임 규칙, 운영 요구사항과 대상 플랫폼 제약을 충족하도록 외형 에셋 대장·명명·버전 관리 기능을 구현하고 검증한다.</x:v>
      </x:c>
      <x:c r="D203" s="37" t="str">
        <x:v>높음</x:v>
      </x:c>
      <x:c r="E203" s="37" t="str">
        <x:v>캐릭터·커스터마이징·커머스</x:v>
      </x:c>
      <x:c r="F203" s="37" t="str">
        <x:v>출시 후</x:v>
      </x:c>
      <x:c r="G203" s="37" t="str">
        <x:v>CHR-021;제작 기반;출시 후</x:v>
      </x:c>
      <x:c r="H203" s="37" t="str">
        <x:v>콘텐츠 파이프라인</x:v>
      </x:c>
      <x:c r="I203" s="37"/>
      <x:c r="J203" s="37" t="str">
        <x:v>CHR-021</x:v>
      </x:c>
      <x:c r="K203" s="37" t="str">
        <x:v>SKU·에셋 ID, 범주, 지원 리그, LOD, 썸네일, 지역, 희귀도, 공개 기간, 판독성 승인을 한 곳에서 관리한다.</x:v>
      </x:c>
      <x:c r="L203" s="37" t="str">
        <x:v>CHR-018,BED-015</x:v>
      </x:c>
      <x:c r="M203" s="37" t="str">
        <x:v>TC-CHR-021-01</x:v>
      </x:c>
      <x:c r="N203" s="37" t="str">
        <x:v>게임 기획서</x:v>
      </x:c>
      <x:c r="O203" s="37"/>
    </x:row>
    <x:row r="204" ht="42" customHeight="1">
      <x:c r="A204" s="37" t="str">
        <x:v>작업</x:v>
      </x:c>
      <x:c r="B204" s="37" t="str">
        <x:v>[CHR-022] 외형 아이템 희귀도 정의</x:v>
      </x:c>
      <x:c r="C204" s="37" t="str">
        <x:v>게임 규칙, 운영 요구사항과 대상 플랫폼 제약을 충족하도록 외형 아이템 희귀도 정의 기능을 구현하고 검증한다.</x:v>
      </x:c>
      <x:c r="D204" s="37" t="str">
        <x:v>낮음</x:v>
      </x:c>
      <x:c r="E204" s="37" t="str">
        <x:v>캐릭터·커스터마이징·커머스</x:v>
      </x:c>
      <x:c r="F204" s="37" t="str">
        <x:v>출시 후</x:v>
      </x:c>
      <x:c r="G204" s="37" t="str">
        <x:v>CHR-022;커머스;출시 후</x:v>
      </x:c>
      <x:c r="H204" s="37" t="str">
        <x:v>경제 시스템</x:v>
      </x:c>
      <x:c r="I204" s="37"/>
      <x:c r="J204" s="37" t="str">
        <x:v>CHR-022</x:v>
      </x:c>
      <x:c r="K204" s="37" t="str">
        <x:v>Common, Rare, Epic, Legendary, Event 등급을 외형 희소성으로만 사용하고 충돌 크기, 속도, 시인성 등 게임 성능 차이를 만들지 않는다.</x:v>
      </x:c>
      <x:c r="L204" s="37" t="str">
        <x:v>CHR-021</x:v>
      </x:c>
      <x:c r="M204" s="37" t="str">
        <x:v>TC-CHR-022-01</x:v>
      </x:c>
      <x:c r="N204" s="37" t="str">
        <x:v>게임 기획서</x:v>
      </x:c>
      <x:c r="O204" s="37"/>
    </x:row>
    <x:row r="205" ht="42" customHeight="1">
      <x:c r="A205" s="37" t="str">
        <x:v>작업</x:v>
      </x:c>
      <x:c r="B205" s="37" t="str">
        <x:v>[CHR-023] 일반·시즌·이벤트 상점 표시</x:v>
      </x:c>
      <x:c r="C205" s="37" t="str">
        <x:v>게임 규칙, 운영 요구사항과 대상 플랫폼 제약을 충족하도록 일반·시즌·이벤트 상점 표시 기능을 구현하고 검증한다.</x:v>
      </x:c>
      <x:c r="D205" s="37" t="str">
        <x:v>낮음</x:v>
      </x:c>
      <x:c r="E205" s="37" t="str">
        <x:v>캐릭터·커스터마이징·커머스</x:v>
      </x:c>
      <x:c r="F205" s="37" t="str">
        <x:v>출시 후</x:v>
      </x:c>
      <x:c r="G205" s="37" t="str">
        <x:v>CHR-023;커머스;출시 후</x:v>
      </x:c>
      <x:c r="H205" s="37" t="str">
        <x:v>상점 UX</x:v>
      </x:c>
      <x:c r="I205" s="37"/>
      <x:c r="J205" s="37" t="str">
        <x:v>CHR-023</x:v>
      </x:c>
      <x:c r="K205" s="37" t="str">
        <x:v>가격, 보유 여부, 장착 가능 여부, 판매 기간, 미리보기, 환불 정책을 표시하고 미성년자, 지역, 플랫폼 제한을 반영한다.</x:v>
      </x:c>
      <x:c r="L205" s="37" t="str">
        <x:v>CHR-017,CHR-021,BED-005</x:v>
      </x:c>
      <x:c r="M205" s="37" t="str">
        <x:v>TC-CHR-023-01</x:v>
      </x:c>
      <x:c r="N205" s="37" t="str">
        <x:v>게임 기획서</x:v>
      </x:c>
      <x:c r="O205" s="37"/>
    </x:row>
    <x:row r="206" ht="42" customHeight="1">
      <x:c r="A206" s="37" t="str">
        <x:v>작업</x:v>
      </x:c>
      <x:c r="B206" s="37" t="str">
        <x:v>[CHR-024] 랜덤 상자 구성·확률·중복 규칙</x:v>
      </x:c>
      <x:c r="C206" s="37" t="str">
        <x:v>게임 규칙, 운영 요구사항과 대상 플랫폼 제약을 충족하도록 랜덤 상자 구성·확률·중복 규칙 기능을 구현하고 검증한다.</x:v>
      </x:c>
      <x:c r="D206" s="37" t="str">
        <x:v>낮음</x:v>
      </x:c>
      <x:c r="E206" s="37" t="str">
        <x:v>캐릭터·커스터마이징·커머스</x:v>
      </x:c>
      <x:c r="F206" s="37" t="str">
        <x:v>출시 후</x:v>
      </x:c>
      <x:c r="G206" s="37" t="str">
        <x:v>CHR-024;법무;출시 후</x:v>
      </x:c>
      <x:c r="H206" s="37" t="str">
        <x:v>상점 UX</x:v>
      </x:c>
      <x:c r="I206" s="37"/>
      <x:c r="J206" s="37" t="str">
        <x:v>CHR-024</x:v>
      </x:c>
      <x:c r="K206" s="37" t="str">
        <x:v>제공 아이템, 가중치, 확률 표시, 보장 여부, 중복 변환, 대상 지역·연령을 버전 있는 데이터로 관리하고 공개 전 승인을 필수로 한다.</x:v>
      </x:c>
      <x:c r="L206" s="37" t="str">
        <x:v>CHR-021,CHR-022,BED-029,BED-030</x:v>
      </x:c>
      <x:c r="M206" s="37" t="str">
        <x:v>TC-CHR-024-01</x:v>
      </x:c>
      <x:c r="N206" s="37" t="str">
        <x:v>게임 기획서</x:v>
      </x:c>
      <x:c r="O206" s="37"/>
    </x:row>
    <x:row r="207" ht="42" customHeight="1">
      <x:c r="A207" s="37" t="str">
        <x:v>작업</x:v>
      </x:c>
      <x:c r="B207" s="37" t="str">
        <x:v>[CHR-025] 중복 아이템 보상 변환</x:v>
      </x:c>
      <x:c r="C207" s="37" t="str">
        <x:v>게임 규칙, 운영 요구사항과 대상 플랫폼 제약을 충족하도록 중복 아이템 보상 변환 기능을 구현하고 검증한다.</x:v>
      </x:c>
      <x:c r="D207" s="37" t="str">
        <x:v>낮음</x:v>
      </x:c>
      <x:c r="E207" s="37" t="str">
        <x:v>캐릭터·커스터마이징·커머스</x:v>
      </x:c>
      <x:c r="F207" s="37" t="str">
        <x:v>출시 후</x:v>
      </x:c>
      <x:c r="G207" s="37" t="str">
        <x:v>CHR-025;커머스;출시 후</x:v>
      </x:c>
      <x:c r="H207" s="37" t="str">
        <x:v>경제 시스템</x:v>
      </x:c>
      <x:c r="I207" s="37"/>
      <x:c r="J207" s="37" t="str">
        <x:v>CHR-025</x:v>
      </x:c>
      <x:c r="K207" s="37" t="str">
        <x:v>중복 획득 시 변환 대상, 수량, 상한, 예외를 서버에서 결정하고 거래 이력과 사용자 표시가 일치한다.</x:v>
      </x:c>
      <x:c r="L207" s="37" t="str">
        <x:v>CHR-024,BED-029</x:v>
      </x:c>
      <x:c r="M207" s="37" t="str">
        <x:v>TC-CHR-025-01</x:v>
      </x:c>
      <x:c r="N207" s="37" t="str">
        <x:v>게임 기획서</x:v>
      </x:c>
      <x:c r="O207" s="37"/>
    </x:row>
    <x:row r="208" ht="42" customHeight="1">
      <x:c r="A208" s="37" t="str">
        <x:v>작업</x:v>
      </x:c>
      <x:c r="B208" s="37" t="str">
        <x:v>[CHR-026] 시즌·이벤트 외형 제작 템플릿</x:v>
      </x:c>
      <x:c r="C208" s="37" t="str">
        <x:v>게임 규칙, 운영 요구사항과 대상 플랫폼 제약을 충족하도록 시즌·이벤트 외형 제작 템플릿 기능을 구현하고 검증한다.</x:v>
      </x:c>
      <x:c r="D208" s="37" t="str">
        <x:v>낮음</x:v>
      </x:c>
      <x:c r="E208" s="37" t="str">
        <x:v>캐릭터·커스터마이징·커머스</x:v>
      </x:c>
      <x:c r="F208" s="37" t="str">
        <x:v>출시 후</x:v>
      </x:c>
      <x:c r="G208" s="37" t="str">
        <x:v>CHR-026;제작 기반;출시 후</x:v>
      </x:c>
      <x:c r="H208" s="37" t="str">
        <x:v>라이브 콘텐츠</x:v>
      </x:c>
      <x:c r="I208" s="37"/>
      <x:c r="J208" s="37" t="str">
        <x:v>CHR-026</x:v>
      </x:c>
      <x:c r="K208" s="37" t="str">
        <x:v>이벤트 아이템도 동일한 판독성, LOD, 플랫폼 성능 예산, 지역 표시, 공개 종료 검사를 통과한다.</x:v>
      </x:c>
      <x:c r="L208" s="37" t="str">
        <x:v>CHR-014,CHR-021</x:v>
      </x:c>
      <x:c r="M208" s="37" t="str">
        <x:v>TC-CHR-026-01</x:v>
      </x:c>
      <x:c r="N208" s="37" t="str">
        <x:v>게임 기획서</x:v>
      </x:c>
      <x:c r="O208" s="37"/>
    </x:row>
    <x:row r="209" ht="42" customHeight="1">
      <x:c r="A209" s="37" t="str">
        <x:v>작업</x:v>
      </x:c>
      <x:c r="B209" s="37" t="str">
        <x:v>[CHR-027] 캐릭터·LED·메모 LOD·메모리 예산</x:v>
      </x:c>
      <x:c r="C209" s="37" t="str">
        <x:v>게임 규칙, 운영 요구사항과 대상 플랫폼 제약을 충족하도록 캐릭터·LED·메모 LOD·메모리 예산 기능을 구현하고 검증한다.</x:v>
      </x:c>
      <x:c r="D209" s="37" t="str">
        <x:v>최상</x:v>
      </x:c>
      <x:c r="E209" s="37" t="str">
        <x:v>캐릭터·커스터마이징·커머스</x:v>
      </x:c>
      <x:c r="F209" s="37" t="str">
        <x:v>릴리스 후보</x:v>
      </x:c>
      <x:c r="G209" s="37" t="str">
        <x:v>CHR-027;성능;릴리스 후보</x:v>
      </x:c>
      <x:c r="H209" s="37" t="str">
        <x:v>성능</x:v>
      </x:c>
      <x:c r="I209" s="37"/>
      <x:c r="J209" s="37" t="str">
        <x:v>CHR-027</x:v>
      </x:c>
      <x:c r="K209" s="37" t="str">
        <x:v>6명, 최대 메모, LED 효과, 기본 외형 조건에서 목표 FPS와 메모리 예산을 충족하고 낮은 품질 설정에서도 중요 정보를 제거하지 않는다.</x:v>
      </x:c>
      <x:c r="L209" s="37" t="str">
        <x:v>CHR-004,CHR-010,CHR-021</x:v>
      </x:c>
      <x:c r="M209" s="37" t="str">
        <x:v>TC-CHR-027-01, TC-CHR-027-02</x:v>
      </x:c>
      <x:c r="N209" s="37" t="str">
        <x:v>게임 기획서</x:v>
      </x:c>
      <x:c r="O209" s="37"/>
    </x:row>
    <x:row r="210" ht="42" customHeight="1">
      <x:c r="A210" s="37" t="str">
        <x:v>작업</x:v>
      </x:c>
      <x:c r="B210" s="37" t="str">
        <x:v>[CHR-028] 외형 판독성 리뷰 게이트</x:v>
      </x:c>
      <x:c r="C210" s="37" t="str">
        <x:v>게임 규칙, 운영 요구사항과 대상 플랫폼 제약을 충족하도록 외형 판독성 리뷰 게이트 기능을 구현하고 검증한다.</x:v>
      </x:c>
      <x:c r="D210" s="37" t="str">
        <x:v>최상</x:v>
      </x:c>
      <x:c r="E210" s="37" t="str">
        <x:v>캐릭터·커스터마이징·커머스</x:v>
      </x:c>
      <x:c r="F210" s="37" t="str">
        <x:v>MVP</x:v>
      </x:c>
      <x:c r="G210" s="37" t="str">
        <x:v>CHR-028;판독성;MVP</x:v>
      </x:c>
      <x:c r="H210" s="37" t="str">
        <x:v>품질</x:v>
      </x:c>
      <x:c r="I210" s="37"/>
      <x:c r="J210" s="37" t="str">
        <x:v>CHR-028</x:v>
      </x:c>
      <x:c r="K210" s="37" t="str">
        <x:v>앞·뒤, 거리, 조명, 색각, 동작, 최대 메모 조건의 시험 이미지 또는 영상을 제출하고 UI/UX, 게임 디자인, QA 승인을 받는다.</x:v>
      </x:c>
      <x:c r="L210" s="37" t="str">
        <x:v>CHR-005,CHR-012,CHR-014</x:v>
      </x:c>
      <x:c r="M210" s="37" t="str">
        <x:v>TC-CHR-028-01, TC-CHR-028-02</x:v>
      </x:c>
      <x:c r="N210" s="37" t="str">
        <x:v>게임 기획서</x:v>
      </x:c>
      <x:c r="O210" s="37"/>
    </x:row>
    <x:row r="211" ht="42" customHeight="1">
      <x:c r="A211" s="37" t="str">
        <x:v>작업</x:v>
      </x:c>
      <x:c r="B211" s="37" t="str">
        <x:v>[CHR-029] 자동 에셋 검증 도구</x:v>
      </x:c>
      <x:c r="C211" s="37" t="str">
        <x:v>게임 규칙, 운영 요구사항과 대상 플랫폼 제약을 충족하도록 자동 에셋 검증 도구 기능을 구현하고 검증한다.</x:v>
      </x:c>
      <x:c r="D211" s="37" t="str">
        <x:v>높음</x:v>
      </x:c>
      <x:c r="E211" s="37" t="str">
        <x:v>캐릭터·커스터마이징·커머스</x:v>
      </x:c>
      <x:c r="F211" s="37" t="str">
        <x:v>알파</x:v>
      </x:c>
      <x:c r="G211" s="37" t="str">
        <x:v>CHR-029;제작 기반;알파</x:v>
      </x:c>
      <x:c r="H211" s="37" t="str">
        <x:v>품질</x:v>
      </x:c>
      <x:c r="I211" s="37"/>
      <x:c r="J211" s="37" t="str">
        <x:v>CHR-029</x:v>
      </x:c>
      <x:c r="K211" s="37" t="str">
        <x:v>명명, 스케일, 본, 소켓, 재질, LOD, 삼각형 수, 텍스처, 금지 영역, 색상을 CI에서 검사한다.</x:v>
      </x:c>
      <x:c r="L211" s="37" t="str">
        <x:v>CHR-009,CHR-014,CHR-021</x:v>
      </x:c>
      <x:c r="M211" s="37" t="str">
        <x:v>TC-CHR-029-01</x:v>
      </x:c>
      <x:c r="N211" s="37" t="str">
        <x:v>게임 기획서</x:v>
      </x:c>
      <x:c r="O211" s="37"/>
    </x:row>
    <x:row r="212" ht="42" customHeight="1">
      <x:c r="A212" s="37" t="str">
        <x:v>작업</x:v>
      </x:c>
      <x:c r="B212" s="37" t="str">
        <x:v>[CHR-030] MVP LED 표정·아이콘 프리셋</x:v>
      </x:c>
      <x:c r="C212" s="37" t="str">
        <x:v>게임 규칙, 운영 요구사항과 대상 플랫폼 제약을 충족하도록 MVP LED 표정·아이콘 프리셋 기능을 구현하고 검증한다.</x:v>
      </x:c>
      <x:c r="D212" s="37" t="str">
        <x:v>높음</x:v>
      </x:c>
      <x:c r="E212" s="37" t="str">
        <x:v>캐릭터·커스터마이징·커머스</x:v>
      </x:c>
      <x:c r="F212" s="37" t="str">
        <x:v>MVP</x:v>
      </x:c>
      <x:c r="G212" s="37" t="str">
        <x:v>CHR-030;표현;MVP</x:v>
      </x:c>
      <x:c r="H212" s="37" t="str">
        <x:v>LED 헤드</x:v>
      </x:c>
      <x:c r="I212" s="37"/>
      <x:c r="J212" s="37" t="str">
        <x:v>CHR-030</x:v>
      </x:c>
      <x:c r="K212" s="37" t="str">
        <x:v>미소, 분노, 의심, 슬픔, 물음표, 느낌표 등을 구현하고 다른 플레이어 색상 위조나 금지 표현에 사용할 수 없도록 한다.</x:v>
      </x:c>
      <x:c r="L212" s="37" t="str">
        <x:v>CHR-004,CHR-005</x:v>
      </x:c>
      <x:c r="M212" s="37" t="str">
        <x:v>TC-CHR-030-01</x:v>
      </x:c>
      <x:c r="N212" s="37" t="str">
        <x:v>캐릭터 사양서 §4</x:v>
      </x:c>
      <x:c r="O212" s="37"/>
    </x:row>
    <x:row r="213" ht="42" customHeight="1">
      <x:c r="A213" s="37" t="str">
        <x:v>작업</x:v>
      </x:c>
      <x:c r="B213" s="37" t="str">
        <x:v>[CHR-031] 자유 그리기·스탬프 안전 설계</x:v>
      </x:c>
      <x:c r="C213" s="37" t="str">
        <x:v>게임 규칙, 운영 요구사항과 대상 플랫폼 제약을 충족하도록 자유 그리기·스탬프 안전 설계 기능을 구현하고 검증한다.</x:v>
      </x:c>
      <x:c r="D213" s="37" t="str">
        <x:v>낮음</x:v>
      </x:c>
      <x:c r="E213" s="37" t="str">
        <x:v>캐릭터·커스터마이징·커머스</x:v>
      </x:c>
      <x:c r="F213" s="37" t="str">
        <x:v>출시 후</x:v>
      </x:c>
      <x:c r="G213" s="37" t="str">
        <x:v>CHR-031;안전;출시 후</x:v>
      </x:c>
      <x:c r="H213" s="37" t="str">
        <x:v>LED 헤드</x:v>
      </x:c>
      <x:c r="I213" s="37"/>
      <x:c r="J213" s="37" t="str">
        <x:v>CHR-031</x:v>
      </x:c>
      <x:c r="K213" s="37" t="str">
        <x:v>자유 그리기를 활성화할 경우 해상도, 색상, 지우기, 신고, 저장, 금지 표현, 다른 색상 오인 방지 요건을 충족한다. MVP에서는 프리셋만 제공한다.</x:v>
      </x:c>
      <x:c r="L213" s="37" t="str">
        <x:v>CHR-004,BED-009,BED-010</x:v>
      </x:c>
      <x:c r="M213" s="37" t="str">
        <x:v>TC-CHR-031-01</x:v>
      </x:c>
      <x:c r="N213" s="37" t="str">
        <x:v>게임 기획서</x:v>
      </x:c>
      <x:c r="O213" s="37"/>
    </x:row>
    <x:row r="214" ht="42" customHeight="1">
      <x:c r="A214" s="37" t="str">
        <x:v>작업</x:v>
      </x:c>
      <x:c r="B214" s="37" t="str">
        <x:v>[AUD-001] BGM·효과음·UI·음성 버스·스냅샷 설계</x:v>
      </x:c>
      <x:c r="C214" s="37" t="str">
        <x:v>게임 규칙, 운영 요구사항과 대상 플랫폼 제약을 충족하도록 BGM·효과음·UI·음성 버스·스냅샷 설계 기능을 구현하고 검증한다.</x:v>
      </x:c>
      <x:c r="D214" s="37" t="str">
        <x:v>최상</x:v>
      </x:c>
      <x:c r="E214" s="37" t="str">
        <x:v>오디오·보이스 채팅</x:v>
      </x:c>
      <x:c r="F214" s="37" t="str">
        <x:v>MVP</x:v>
      </x:c>
      <x:c r="G214" s="37" t="str">
        <x:v>AUD-001;오디오 기반;MVP</x:v>
      </x:c>
      <x:c r="H214" s="37" t="str">
        <x:v>오디오 기반</x:v>
      </x:c>
      <x:c r="I214" s="37"/>
      <x:c r="J214" s="37" t="str">
        <x:v>AUD-001</x:v>
      </x:c>
      <x:c r="K214" s="37" t="str">
        <x:v>주요 버스, 우선순위, 더킹, 낮·밤·최종 재판·결과 스냅샷을 정의하고 중요한 대화와 투표 알림이 다른 소리에 묻히지 않는다.</x:v>
      </x:c>
      <x:c r="L214" s="37"/>
      <x:c r="M214" s="37" t="str">
        <x:v>TC-AUD-001-01, TC-AUD-001-02</x:v>
      </x:c>
      <x:c r="N214" s="37" t="str">
        <x:v>게임 기획서</x:v>
      </x:c>
      <x:c r="O214" s="37"/>
    </x:row>
    <x:row r="215" ht="42" customHeight="1">
      <x:c r="A215" s="37" t="str">
        <x:v>작업</x:v>
      </x:c>
      <x:c r="B215" s="37" t="str">
        <x:v>[AUD-002] 음성 SDK 초기화·입출력 장치</x:v>
      </x:c>
      <x:c r="C215" s="37" t="str">
        <x:v>게임 규칙, 운영 요구사항과 대상 플랫폼 제약을 충족하도록 음성 SDK 초기화·입출력 장치 기능을 구현하고 검증한다.</x:v>
      </x:c>
      <x:c r="D215" s="37" t="str">
        <x:v>최상</x:v>
      </x:c>
      <x:c r="E215" s="37" t="str">
        <x:v>오디오·보이스 채팅</x:v>
      </x:c>
      <x:c r="F215" s="37" t="str">
        <x:v>알파</x:v>
      </x:c>
      <x:c r="G215" s="37" t="str">
        <x:v>AUD-002;음성;알파</x:v>
      </x:c>
      <x:c r="H215" s="37" t="str">
        <x:v>음성 채팅</x:v>
      </x:c>
      <x:c r="I215" s="37"/>
      <x:c r="J215" s="37" t="str">
        <x:v>AUD-002</x:v>
      </x:c>
      <x:c r="K215" s="37" t="str">
        <x:v>권한, 동의, 입력·출력 장치, 마이크 시험, 장치 전환·분리를 처리하고 실패해도 게임 참가 정책에 따라 안전하게 계속할 수 있다.</x:v>
      </x:c>
      <x:c r="L215" s="37" t="str">
        <x:v>SET-008,BED-012</x:v>
      </x:c>
      <x:c r="M215" s="37" t="str">
        <x:v>TC-AUD-002-01, TC-AUD-002-02</x:v>
      </x:c>
      <x:c r="N215" s="37" t="str">
        <x:v>게임 기획서</x:v>
      </x:c>
      <x:c r="O215" s="37"/>
    </x:row>
    <x:row r="216" ht="42" customHeight="1">
      <x:c r="A216" s="37" t="str">
        <x:v>작업</x:v>
      </x:c>
      <x:c r="B216" s="37" t="str">
        <x:v>[AUD-003] 로비 음성 연결·권한 사전 점검</x:v>
      </x:c>
      <x:c r="C216" s="37" t="str">
        <x:v>게임 규칙, 운영 요구사항과 대상 플랫폼 제약을 충족하도록 로비 음성 연결·권한 사전 점검 기능을 구현하고 검증한다.</x:v>
      </x:c>
      <x:c r="D216" s="37" t="str">
        <x:v>최상</x:v>
      </x:c>
      <x:c r="E216" s="37" t="str">
        <x:v>오디오·보이스 채팅</x:v>
      </x:c>
      <x:c r="F216" s="37" t="str">
        <x:v>알파</x:v>
      </x:c>
      <x:c r="G216" s="37" t="str">
        <x:v>AUD-003;음성;알파</x:v>
      </x:c>
      <x:c r="H216" s="37" t="str">
        <x:v>음성 채팅</x:v>
      </x:c>
      <x:c r="I216" s="37"/>
      <x:c r="J216" s="37" t="str">
        <x:v>AUD-003</x:v>
      </x:c>
      <x:c r="K216" s="37" t="str">
        <x:v>매치 시작 전에 채널 참가, 마이크 권한, 송수신 상태를 검사하고 문제가 있는 참가자에게 자가 해결 경로를 제공한다.</x:v>
      </x:c>
      <x:c r="L216" s="37" t="str">
        <x:v>AUD-002,ONL-011</x:v>
      </x:c>
      <x:c r="M216" s="37" t="str">
        <x:v>TC-AUD-003-01, TC-AUD-003-02</x:v>
      </x:c>
      <x:c r="N216" s="37" t="str">
        <x:v>게임 기획서</x:v>
      </x:c>
      <x:c r="O216" s="37"/>
    </x:row>
    <x:row r="217" ht="42" customHeight="1">
      <x:c r="A217" s="37" t="str">
        <x:v>작업</x:v>
      </x:c>
      <x:c r="B217" s="37" t="str">
        <x:v>[AUD-004] 낮 근거리 음성 거리 감쇠</x:v>
      </x:c>
      <x:c r="C217" s="37" t="str">
        <x:v>게임 규칙, 운영 요구사항과 대상 플랫폼 제약을 충족하도록 낮 근거리 음성 거리 감쇠 기능을 구현하고 검증한다.</x:v>
      </x:c>
      <x:c r="D217" s="37" t="str">
        <x:v>최상</x:v>
      </x:c>
      <x:c r="E217" s="37" t="str">
        <x:v>오디오·보이스 채팅</x:v>
      </x:c>
      <x:c r="F217" s="37" t="str">
        <x:v>MVP</x:v>
      </x:c>
      <x:c r="G217" s="37" t="str">
        <x:v>AUD-004;핵심 규칙;MVP</x:v>
      </x:c>
      <x:c r="H217" s="37" t="str">
        <x:v>음성 채팅</x:v>
      </x:c>
      <x:c r="I217" s="37"/>
      <x:c r="J217" s="37" t="str">
        <x:v>AUD-004</x:v>
      </x:c>
      <x:c r="K217" s="37" t="str">
        <x:v>근거리는 명확하게, 중거리는 감쇠하며 원거리에서는 들리지 않도록 하고 카메라가 아니라 캐릭터 위치를 기준으로 한다.</x:v>
      </x:c>
      <x:c r="L217" s="37" t="str">
        <x:v>AUD-002,NET-009</x:v>
      </x:c>
      <x:c r="M217" s="37" t="str">
        <x:v>TC-AUD-004-01, TC-AUD-004-02</x:v>
      </x:c>
      <x:c r="N217" s="37" t="str">
        <x:v>게임 기획서 §6</x:v>
      </x:c>
      <x:c r="O217" s="37"/>
    </x:row>
    <x:row r="218" ht="42" customHeight="1">
      <x:c r="A218" s="37" t="str">
        <x:v>작업</x:v>
      </x:c>
      <x:c r="B218" s="37" t="str">
        <x:v>[AUD-005] 벽·방에 따른 음성 차폐</x:v>
      </x:c>
      <x:c r="C218" s="37" t="str">
        <x:v>게임 규칙, 운영 요구사항과 대상 플랫폼 제약을 충족하도록 벽·방에 따른 음성 차폐 기능을 구현하고 검증한다.</x:v>
      </x:c>
      <x:c r="D218" s="37" t="str">
        <x:v>높음</x:v>
      </x:c>
      <x:c r="E218" s="37" t="str">
        <x:v>오디오·보이스 채팅</x:v>
      </x:c>
      <x:c r="F218" s="37" t="str">
        <x:v>알파</x:v>
      </x:c>
      <x:c r="G218" s="37" t="str">
        <x:v>AUD-005;음성;알파</x:v>
      </x:c>
      <x:c r="H218" s="37" t="str">
        <x:v>음성 채팅</x:v>
      </x:c>
      <x:c r="I218" s="37"/>
      <x:c r="J218" s="37" t="str">
        <x:v>AUD-005</x:v>
      </x:c>
      <x:c r="K218" s="37" t="str">
        <x:v>벽, 문, 방 경계에서 음량과 필터를 조절하고 맵 밖이나 시야 밖의 대화가 부자연스럽게 새지 않는다.</x:v>
      </x:c>
      <x:c r="L218" s="37" t="str">
        <x:v>AUD-004,CNT-007</x:v>
      </x:c>
      <x:c r="M218" s="37" t="str">
        <x:v>TC-AUD-005-01</x:v>
      </x:c>
      <x:c r="N218" s="37" t="str">
        <x:v>게임 기획서</x:v>
      </x:c>
      <x:c r="O218" s="37"/>
    </x:row>
    <x:row r="219" ht="42" customHeight="1">
      <x:c r="A219" s="37" t="str">
        <x:v>작업</x:v>
      </x:c>
      <x:c r="B219" s="37" t="str">
        <x:v>[AUD-006] 밤 관찰·밤 투표 완전 음소거</x:v>
      </x:c>
      <x:c r="C219" s="37" t="str">
        <x:v>게임 규칙, 운영 요구사항과 대상 플랫폼 제약을 충족하도록 밤 관찰·밤 투표 완전 음소거 기능을 구현하고 검증한다.</x:v>
      </x:c>
      <x:c r="D219" s="37" t="str">
        <x:v>최상</x:v>
      </x:c>
      <x:c r="E219" s="37" t="str">
        <x:v>오디오·보이스 채팅</x:v>
      </x:c>
      <x:c r="F219" s="37" t="str">
        <x:v>MVP</x:v>
      </x:c>
      <x:c r="G219" s="37" t="str">
        <x:v>AUD-006;핵심 규칙;MVP</x:v>
      </x:c>
      <x:c r="H219" s="37" t="str">
        <x:v>음성 채팅</x:v>
      </x:c>
      <x:c r="I219" s="37"/>
      <x:c r="J219" s="37" t="str">
        <x:v>AUD-006</x:v>
      </x:c>
      <x:c r="K219" s="37" t="str">
        <x:v>밤 시작 이벤트를 서버 기준으로 모든 송신 채널에 적용하고 PTT, 오픈 마이크, 재접속, 장치 전환 상황에서도 송수신할 수 없다.</x:v>
      </x:c>
      <x:c r="L219" s="37" t="str">
        <x:v>AUD-003,IGM-006,NET-010</x:v>
      </x:c>
      <x:c r="M219" s="37" t="str">
        <x:v>TC-AUD-006-01, TC-AUD-006-02</x:v>
      </x:c>
      <x:c r="N219" s="37" t="str">
        <x:v>게임 기획서</x:v>
      </x:c>
      <x:c r="O219" s="37"/>
    </x:row>
    <x:row r="220" ht="42" customHeight="1">
      <x:c r="A220" s="37" t="str">
        <x:v>작업</x:v>
      </x:c>
      <x:c r="B220" s="37" t="str">
        <x:v>[AUD-007] 페이즈별 채널·발언권 제어</x:v>
      </x:c>
      <x:c r="C220" s="37" t="str">
        <x:v>게임 규칙, 운영 요구사항과 대상 플랫폼 제약을 충족하도록 페이즈별 채널·발언권 제어 기능을 구현하고 검증한다.</x:v>
      </x:c>
      <x:c r="D220" s="37" t="str">
        <x:v>최상</x:v>
      </x:c>
      <x:c r="E220" s="37" t="str">
        <x:v>오디오·보이스 채팅</x:v>
      </x:c>
      <x:c r="F220" s="37" t="str">
        <x:v>MVP</x:v>
      </x:c>
      <x:c r="G220" s="37" t="str">
        <x:v>AUD-007;핵심 규칙;MVP</x:v>
      </x:c>
      <x:c r="H220" s="37" t="str">
        <x:v>음성 채팅</x:v>
      </x:c>
      <x:c r="I220" s="37"/>
      <x:c r="J220" s="37" t="str">
        <x:v>AUD-007</x:v>
      </x:c>
      <x:c r="K220" s="37" t="str">
        <x:v>로비, 낮, 밤, 최종 발언, 결과의 채널과 발언권을 상태표로 관리하고 지연 이벤트로 잘못된 채널에 남지 않는다.</x:v>
      </x:c>
      <x:c r="L220" s="37" t="str">
        <x:v>AUD-003,IGM-001,NET-010</x:v>
      </x:c>
      <x:c r="M220" s="37" t="str">
        <x:v>TC-AUD-007-01, TC-AUD-007-02</x:v>
      </x:c>
      <x:c r="N220" s="37" t="str">
        <x:v>게임 기획서</x:v>
      </x:c>
      <x:c r="O220" s="37"/>
    </x:row>
    <x:row r="221" ht="42" customHeight="1">
      <x:c r="A221" s="37" t="str">
        <x:v>작업</x:v>
      </x:c>
      <x:c r="B221" s="37" t="str">
        <x:v>[AUD-008] 최종 발언자만 송신 허용</x:v>
      </x:c>
      <x:c r="C221" s="37" t="str">
        <x:v>게임 규칙, 운영 요구사항과 대상 플랫폼 제약을 충족하도록 최종 발언자만 송신 허용 기능을 구현하고 검증한다.</x:v>
      </x:c>
      <x:c r="D221" s="37" t="str">
        <x:v>최상</x:v>
      </x:c>
      <x:c r="E221" s="37" t="str">
        <x:v>오디오·보이스 채팅</x:v>
      </x:c>
      <x:c r="F221" s="37" t="str">
        <x:v>MVP</x:v>
      </x:c>
      <x:c r="G221" s="37" t="str">
        <x:v>AUD-008;핵심 규칙;MVP</x:v>
      </x:c>
      <x:c r="H221" s="37" t="str">
        <x:v>음성 채팅</x:v>
      </x:c>
      <x:c r="I221" s="37"/>
      <x:c r="J221" s="37" t="str">
        <x:v>AUD-008</x:v>
      </x:c>
      <x:c r="K221" s="37" t="str">
        <x:v>서버가 지정한 플레이어 1명만 송신하고 다른 플레이어는 수신만 한다. 시간 종료, 연결 끊김, 건너뛰기 시 다음 발언자로 안전하게 전환한다.</x:v>
      </x:c>
      <x:c r="L221" s="37" t="str">
        <x:v>AUD-007,IGM-030</x:v>
      </x:c>
      <x:c r="M221" s="37" t="str">
        <x:v>TC-AUD-008-01, TC-AUD-008-02</x:v>
      </x:c>
      <x:c r="N221" s="37" t="str">
        <x:v>게임 기획서</x:v>
      </x:c>
      <x:c r="O221" s="37"/>
    </x:row>
    <x:row r="222" ht="42" customHeight="1">
      <x:c r="A222" s="37" t="str">
        <x:v>작업</x:v>
      </x:c>
      <x:c r="B222" s="37" t="str">
        <x:v>[AUD-009] 발언자·마이크 상태 표시</x:v>
      </x:c>
      <x:c r="C222" s="37" t="str">
        <x:v>게임 규칙, 운영 요구사항과 대상 플랫폼 제약을 충족하도록 발언자·마이크 상태 표시 기능을 구현하고 검증한다.</x:v>
      </x:c>
      <x:c r="D222" s="37" t="str">
        <x:v>높음</x:v>
      </x:c>
      <x:c r="E222" s="37" t="str">
        <x:v>오디오·보이스 채팅</x:v>
      </x:c>
      <x:c r="F222" s="37" t="str">
        <x:v>알파</x:v>
      </x:c>
      <x:c r="G222" s="37" t="str">
        <x:v>AUD-009;음성 UX;알파</x:v>
      </x:c>
      <x:c r="H222" s="37" t="str">
        <x:v>음성 채팅</x:v>
      </x:c>
      <x:c r="I222" s="37"/>
      <x:c r="J222" s="37" t="str">
        <x:v>AUD-009</x:v>
      </x:c>
      <x:c r="K222" s="37" t="str">
        <x:v>발언 중, 음소거, 연결 불량, 발언 금지를 색상만이 아닌 아이콘과 텍스트로 표시하고 개인 정보 설정을 따른다.</x:v>
      </x:c>
      <x:c r="L222" s="37" t="str">
        <x:v>AUD-002,UIX-001</x:v>
      </x:c>
      <x:c r="M222" s="37" t="str">
        <x:v>TC-AUD-009-01</x:v>
      </x:c>
      <x:c r="N222" s="37" t="str">
        <x:v>게임 기획서</x:v>
      </x:c>
      <x:c r="O222" s="37"/>
    </x:row>
    <x:row r="223" ht="42" customHeight="1">
      <x:c r="A223" s="37" t="str">
        <x:v>작업</x:v>
      </x:c>
      <x:c r="B223" s="37" t="str">
        <x:v>[AUD-010] PTT·오픈 마이크·VAD</x:v>
      </x:c>
      <x:c r="C223" s="37" t="str">
        <x:v>게임 규칙, 운영 요구사항과 대상 플랫폼 제약을 충족하도록 PTT·오픈 마이크·VAD 기능을 구현하고 검증한다.</x:v>
      </x:c>
      <x:c r="D223" s="37" t="str">
        <x:v>높음</x:v>
      </x:c>
      <x:c r="E223" s="37" t="str">
        <x:v>오디오·보이스 채팅</x:v>
      </x:c>
      <x:c r="F223" s="37" t="str">
        <x:v>알파</x:v>
      </x:c>
      <x:c r="G223" s="37" t="str">
        <x:v>AUD-010;음성;알파</x:v>
      </x:c>
      <x:c r="H223" s="37" t="str">
        <x:v>음성 채팅</x:v>
      </x:c>
      <x:c r="I223" s="37"/>
      <x:c r="J223" s="37" t="str">
        <x:v>AUD-010</x:v>
      </x:c>
      <x:c r="K223" s="37" t="str">
        <x:v>입력 방식 전환, 감도, 노이즈 게이트, 키·버튼 충돌을 처리하고 밤 또는 발언권이 없을 때는 로컬 UI에서도 송신 불가 상태를 표시한다.</x:v>
      </x:c>
      <x:c r="L223" s="37" t="str">
        <x:v>AUD-002,SET-006,SET-008</x:v>
      </x:c>
      <x:c r="M223" s="37" t="str">
        <x:v>TC-AUD-010-01</x:v>
      </x:c>
      <x:c r="N223" s="37" t="str">
        <x:v>게임 기획서</x:v>
      </x:c>
      <x:c r="O223" s="37"/>
    </x:row>
    <x:row r="224" ht="42" customHeight="1">
      <x:c r="A224" s="37" t="str">
        <x:v>작업</x:v>
      </x:c>
      <x:c r="B224" s="37" t="str">
        <x:v>[AUD-011] 개별 음소거·신고 경로</x:v>
      </x:c>
      <x:c r="C224" s="37" t="str">
        <x:v>게임 규칙, 운영 요구사항과 대상 플랫폼 제약을 충족하도록 개별 음소거·신고 경로 기능을 구현하고 검증한다.</x:v>
      </x:c>
      <x:c r="D224" s="37" t="str">
        <x:v>최상</x:v>
      </x:c>
      <x:c r="E224" s="37" t="str">
        <x:v>오디오·보이스 채팅</x:v>
      </x:c>
      <x:c r="F224" s="37" t="str">
        <x:v>베타</x:v>
      </x:c>
      <x:c r="G224" s="37" t="str">
        <x:v>AUD-011;안전;베타</x:v>
      </x:c>
      <x:c r="H224" s="37" t="str">
        <x:v>안전</x:v>
      </x:c>
      <x:c r="I224" s="37"/>
      <x:c r="J224" s="37" t="str">
        <x:v>AUD-011</x:v>
      </x:c>
      <x:c r="K224" s="37" t="str">
        <x:v>로비, 매치, 결과 화면에서 대상을 음소거·신고할 수 있고 음소거는 즉시 적용·기기 저장하며 신고에는 매치 ID와 대상 ID를 포함한다.</x:v>
      </x:c>
      <x:c r="L224" s="37" t="str">
        <x:v>AUD-002,BED-009</x:v>
      </x:c>
      <x:c r="M224" s="37" t="str">
        <x:v>TC-AUD-011-01, TC-AUD-011-02</x:v>
      </x:c>
      <x:c r="N224" s="37" t="str">
        <x:v>게임 기획서</x:v>
      </x:c>
      <x:c r="O224" s="37"/>
    </x:row>
    <x:row r="225" ht="42" customHeight="1">
      <x:c r="A225" s="37" t="str">
        <x:v>작업</x:v>
      </x:c>
      <x:c r="B225" s="37" t="str">
        <x:v>[AUD-012] 음성 동의·녹음·신고 증거 표시</x:v>
      </x:c>
      <x:c r="C225" s="37" t="str">
        <x:v>게임 규칙, 운영 요구사항과 대상 플랫폼 제약을 충족하도록 음성 동의·녹음·신고 증거 표시 기능을 구현하고 검증한다.</x:v>
      </x:c>
      <x:c r="D225" s="37" t="str">
        <x:v>최상</x:v>
      </x:c>
      <x:c r="E225" s="37" t="str">
        <x:v>오디오·보이스 채팅</x:v>
      </x:c>
      <x:c r="F225" s="37" t="str">
        <x:v>출시</x:v>
      </x:c>
      <x:c r="G225" s="37" t="str">
        <x:v>AUD-012;개인정보;출시</x:v>
      </x:c>
      <x:c r="H225" s="37" t="str">
        <x:v>개인정보</x:v>
      </x:c>
      <x:c r="I225" s="37"/>
      <x:c r="J225" s="37" t="str">
        <x:v>AUD-012</x:v>
      </x:c>
      <x:c r="K225" s="37" t="str">
        <x:v>최초 동의, 녹음 정책, 신고 시 처리, 지역 차이를 안내하고 동의하지 않으면 음성 송수신을 시작하지 않는다.</x:v>
      </x:c>
      <x:c r="L225" s="37" t="str">
        <x:v>AUD-002,BED-011,BED-012</x:v>
      </x:c>
      <x:c r="M225" s="37" t="str">
        <x:v>TC-AUD-012-01, TC-AUD-012-02</x:v>
      </x:c>
      <x:c r="N225" s="37" t="str">
        <x:v>게임 기획서</x:v>
      </x:c>
      <x:c r="O225" s="37"/>
    </x:row>
    <x:row r="226" ht="42" customHeight="1">
      <x:c r="A226" s="37" t="str">
        <x:v>작업</x:v>
      </x:c>
      <x:c r="B226" s="37" t="str">
        <x:v>[AUD-013] 패킷 손실·지터·대역폭 음성 적응</x:v>
      </x:c>
      <x:c r="C226" s="37" t="str">
        <x:v>게임 규칙, 운영 요구사항과 대상 플랫폼 제약을 충족하도록 패킷 손실·지터·대역폭 음성 적응 기능을 구현하고 검증한다.</x:v>
      </x:c>
      <x:c r="D226" s="37" t="str">
        <x:v>최상</x:v>
      </x:c>
      <x:c r="E226" s="37" t="str">
        <x:v>오디오·보이스 채팅</x:v>
      </x:c>
      <x:c r="F226" s="37" t="str">
        <x:v>알파</x:v>
      </x:c>
      <x:c r="G226" s="37" t="str">
        <x:v>AUD-013;성능;알파</x:v>
      </x:c>
      <x:c r="H226" s="37" t="str">
        <x:v>음성 채팅</x:v>
      </x:c>
      <x:c r="I226" s="37"/>
      <x:c r="J226" s="37" t="str">
        <x:v>AUD-013</x:v>
      </x:c>
      <x:c r="K226" s="37" t="str">
        <x:v>네트워크 열화 시 음질을 단계적으로 조절하고 게임 동기화 대역폭을 압박하지 않으며 품질 저하 상태는 본인에게만 적절히 표시한다.</x:v>
      </x:c>
      <x:c r="L226" s="37" t="str">
        <x:v>NET-022,NET-023</x:v>
      </x:c>
      <x:c r="M226" s="37" t="str">
        <x:v>TC-AUD-013-01, TC-AUD-013-02</x:v>
      </x:c>
      <x:c r="N226" s="37" t="str">
        <x:v>게임 기획서</x:v>
      </x:c>
      <x:c r="O226" s="37"/>
    </x:row>
    <x:row r="227" ht="42" customHeight="1">
      <x:c r="A227" s="37" t="str">
        <x:v>작업</x:v>
      </x:c>
      <x:c r="B227" s="37" t="str">
        <x:v>[AUD-014] 저자극 오디오·중요 알림 대체</x:v>
      </x:c>
      <x:c r="C227" s="37" t="str">
        <x:v>게임 규칙, 운영 요구사항과 대상 플랫폼 제약을 충족하도록 저자극 오디오·중요 알림 대체 기능을 구현하고 검증한다.</x:v>
      </x:c>
      <x:c r="D227" s="37" t="str">
        <x:v>높음</x:v>
      </x:c>
      <x:c r="E227" s="37" t="str">
        <x:v>오디오·보이스 채팅</x:v>
      </x:c>
      <x:c r="F227" s="37" t="str">
        <x:v>베타</x:v>
      </x:c>
      <x:c r="G227" s="37" t="str">
        <x:v>AUD-014;접근성;베타</x:v>
      </x:c>
      <x:c r="H227" s="37" t="str">
        <x:v>접근성</x:v>
      </x:c>
      <x:c r="I227" s="37"/>
      <x:c r="J227" s="37" t="str">
        <x:v>AUD-014</x:v>
      </x:c>
      <x:c r="K227" s="37" t="str">
        <x:v>갑작스러운 큰 소리, 과도한 저음, 반복 경고를 줄이는 설정을 제공하고 중요한 페이즈 알림은 시각 정보와 자막으로도 전달한다.</x:v>
      </x:c>
      <x:c r="L227" s="37" t="str">
        <x:v>AUD-001,SET-025</x:v>
      </x:c>
      <x:c r="M227" s="37" t="str">
        <x:v>TC-AUD-014-01</x:v>
      </x:c>
      <x:c r="N227" s="37" t="str">
        <x:v>게임 기획서</x:v>
      </x:c>
      <x:c r="O227" s="37"/>
    </x:row>
    <x:row r="228" ht="42" customHeight="1">
      <x:c r="A228" s="37" t="str">
        <x:v>작업</x:v>
      </x:c>
      <x:c r="B228" s="37" t="str">
        <x:v>[AUD-015] 시스템 소리·방향·중요도 자막</x:v>
      </x:c>
      <x:c r="C228" s="37" t="str">
        <x:v>게임 규칙, 운영 요구사항과 대상 플랫폼 제약을 충족하도록 시스템 소리·방향·중요도 자막 기능을 구현하고 검증한다.</x:v>
      </x:c>
      <x:c r="D228" s="37" t="str">
        <x:v>최상</x:v>
      </x:c>
      <x:c r="E228" s="37" t="str">
        <x:v>오디오·보이스 채팅</x:v>
      </x:c>
      <x:c r="F228" s="37" t="str">
        <x:v>베타</x:v>
      </x:c>
      <x:c r="G228" s="37" t="str">
        <x:v>AUD-015;접근성;베타</x:v>
      </x:c>
      <x:c r="H228" s="37" t="str">
        <x:v>접근성</x:v>
      </x:c>
      <x:c r="I228" s="37"/>
      <x:c r="J228" s="37" t="str">
        <x:v>AUD-015</x:v>
      </x:c>
      <x:c r="K228" s="37" t="str">
        <x:v>메모 부착, 투표 시작, 페이즈 변경, 미니게임 성공 등을 짧은 자막과 방향 정보로 표시하고 대화 자동 자막 기능과 분리한다.</x:v>
      </x:c>
      <x:c r="L228" s="37" t="str">
        <x:v>AUD-016,SET-023</x:v>
      </x:c>
      <x:c r="M228" s="37" t="str">
        <x:v>TC-AUD-015-01, TC-AUD-015-02</x:v>
      </x:c>
      <x:c r="N228" s="37" t="str">
        <x:v>게임 기획서</x:v>
      </x:c>
      <x:c r="O228" s="37"/>
    </x:row>
    <x:row r="229" ht="42" customHeight="1">
      <x:c r="A229" s="37" t="str">
        <x:v>작업</x:v>
      </x:c>
      <x:c r="B229" s="37" t="str">
        <x:v>[AUD-016] 오디오 이벤트 ID·우선순위·자막 키 대장</x:v>
      </x:c>
      <x:c r="C229" s="37" t="str">
        <x:v>게임 규칙, 운영 요구사항과 대상 플랫폼 제약을 충족하도록 오디오 이벤트 ID·우선순위·자막 키 대장 기능을 구현하고 검증한다.</x:v>
      </x:c>
      <x:c r="D229" s="37" t="str">
        <x:v>최상</x:v>
      </x:c>
      <x:c r="E229" s="37" t="str">
        <x:v>오디오·보이스 채팅</x:v>
      </x:c>
      <x:c r="F229" s="37" t="str">
        <x:v>MVP</x:v>
      </x:c>
      <x:c r="G229" s="37" t="str">
        <x:v>AUD-016;제작 기반;MVP</x:v>
      </x:c>
      <x:c r="H229" s="37" t="str">
        <x:v>오디오 콘텐츠</x:v>
      </x:c>
      <x:c r="I229" s="37"/>
      <x:c r="J229" s="37" t="str">
        <x:v>AUD-016</x:v>
      </x:c>
      <x:c r="K229" s="37" t="str">
        <x:v>모든 효과음, BGM, UI 이벤트에 고유 ID, 발생 조건, 버스, 우선순위, 최대 동시 재생 수, 자막 키, 반복 여부, 담당자를 정의한다.</x:v>
      </x:c>
      <x:c r="L229" s="37" t="str">
        <x:v>AUD-001</x:v>
      </x:c>
      <x:c r="M229" s="37" t="str">
        <x:v>TC-AUD-016-01, TC-AUD-016-02</x:v>
      </x:c>
      <x:c r="N229" s="37" t="str">
        <x:v>게임 기획서</x:v>
      </x:c>
      <x:c r="O229" s="37"/>
    </x:row>
    <x:row r="230" ht="42" customHeight="1">
      <x:c r="A230" s="37" t="str">
        <x:v>작업</x:v>
      </x:c>
      <x:c r="B230" s="37" t="str">
        <x:v>[AUD-017] 메모 작성·부착·실패 효과음</x:v>
      </x:c>
      <x:c r="C230" s="37" t="str">
        <x:v>게임 규칙, 운영 요구사항과 대상 플랫폼 제약을 충족하도록 메모 작성·부착·실패 효과음 기능을 구현하고 검증한다.</x:v>
      </x:c>
      <x:c r="D230" s="37" t="str">
        <x:v>높음</x:v>
      </x:c>
      <x:c r="E230" s="37" t="str">
        <x:v>오디오·보이스 채팅</x:v>
      </x:c>
      <x:c r="F230" s="37" t="str">
        <x:v>MVP</x:v>
      </x:c>
      <x:c r="G230" s="37" t="str">
        <x:v>AUD-017;밸런스;MVP</x:v>
      </x:c>
      <x:c r="H230" s="37" t="str">
        <x:v>오디오 콘텐츠</x:v>
      </x:c>
      <x:c r="I230" s="37"/>
      <x:c r="J230" s="37" t="str">
        <x:v>AUD-017</x:v>
      </x:c>
      <x:c r="K230" s="37" t="str">
        <x:v>주변 플레이어가 부착 행동을 인지할 수 있지만 원거리에서 색상, 내용, 성공 여부를 확정할 정도의 과도한 소리를 사용하지 않는다. 본인 보유 수 갱신은 별도 UI음으로 구분한다.</x:v>
      </x:c>
      <x:c r="L230" s="37" t="str">
        <x:v>AUD-016,IGM-017,IGM-018</x:v>
      </x:c>
      <x:c r="M230" s="37" t="str">
        <x:v>TC-AUD-017-01</x:v>
      </x:c>
      <x:c r="N230" s="37" t="str">
        <x:v>게임 기획서</x:v>
      </x:c>
      <x:c r="O230" s="37"/>
    </x:row>
    <x:row r="231" ht="42" customHeight="1">
      <x:c r="A231" s="37" t="str">
        <x:v>작업</x:v>
      </x:c>
      <x:c r="B231" s="37" t="str">
        <x:v>[AUD-018] 미니게임 공통·개별 효과음</x:v>
      </x:c>
      <x:c r="C231" s="37" t="str">
        <x:v>게임 규칙, 운영 요구사항과 대상 플랫폼 제약을 충족하도록 미니게임 공통·개별 효과음 기능을 구현하고 검증한다.</x:v>
      </x:c>
      <x:c r="D231" s="37" t="str">
        <x:v>높음</x:v>
      </x:c>
      <x:c r="E231" s="37" t="str">
        <x:v>오디오·보이스 채팅</x:v>
      </x:c>
      <x:c r="F231" s="37" t="str">
        <x:v>MVP</x:v>
      </x:c>
      <x:c r="G231" s="37" t="str">
        <x:v>AUD-018;콘텐츠;MVP</x:v>
      </x:c>
      <x:c r="H231" s="37" t="str">
        <x:v>오디오 콘텐츠</x:v>
      </x:c>
      <x:c r="I231" s="37"/>
      <x:c r="J231" s="37" t="str">
        <x:v>AUD-018</x:v>
      </x:c>
      <x:c r="K231" s="37" t="str">
        <x:v>시작, 입력, 정답, 오답, 성공, 실패에 즉각적인 피드백을 제공하되 음성 대화를 과도하게 가리지 않는 음량과 주파수 대역을 사용한다.</x:v>
      </x:c>
      <x:c r="L231" s="37" t="str">
        <x:v>AUD-016,CNT-020</x:v>
      </x:c>
      <x:c r="M231" s="37" t="str">
        <x:v>TC-AUD-018-01</x:v>
      </x:c>
      <x:c r="N231" s="37" t="str">
        <x:v>게임 기획서</x:v>
      </x:c>
      <x:c r="O231" s="37"/>
    </x:row>
    <x:row r="232" ht="42" customHeight="1">
      <x:c r="A232" s="37" t="str">
        <x:v>작업</x:v>
      </x:c>
      <x:c r="B232" s="37" t="str">
        <x:v>[AUD-019] 낮·밤·최종 재판·결과 음악 전환</x:v>
      </x:c>
      <x:c r="C232" s="37" t="str">
        <x:v>게임 규칙, 운영 요구사항과 대상 플랫폼 제약을 충족하도록 낮·밤·최종 재판·결과 음악 전환 기능을 구현하고 검증한다.</x:v>
      </x:c>
      <x:c r="D232" s="37" t="str">
        <x:v>높음</x:v>
      </x:c>
      <x:c r="E232" s="37" t="str">
        <x:v>오디오·보이스 채팅</x:v>
      </x:c>
      <x:c r="F232" s="37" t="str">
        <x:v>MVP</x:v>
      </x:c>
      <x:c r="G232" s="37" t="str">
        <x:v>AUD-019;연출;MVP</x:v>
      </x:c>
      <x:c r="H232" s="37" t="str">
        <x:v>오디오 콘텐츠</x:v>
      </x:c>
      <x:c r="I232" s="37"/>
      <x:c r="J232" s="37" t="str">
        <x:v>AUD-019</x:v>
      </x:c>
      <x:c r="K232" s="37" t="str">
        <x:v>페이즈 변경을 인지할 수 있지만 밤 시작 전에 역할이나 승패를 암시하지 않으며 반복, 교차 페이드, 재접속 복귀 위치를 정의한다.</x:v>
      </x:c>
      <x:c r="L232" s="37" t="str">
        <x:v>AUD-001,IGM-001</x:v>
      </x:c>
      <x:c r="M232" s="37" t="str">
        <x:v>TC-AUD-019-01</x:v>
      </x:c>
      <x:c r="N232" s="37" t="str">
        <x:v>게임 기획서</x:v>
      </x:c>
      <x:c r="O232" s="37"/>
    </x:row>
    <x:row r="233" ht="42" customHeight="1">
      <x:c r="A233" s="37" t="str">
        <x:v>작업</x:v>
      </x:c>
      <x:c r="B233" s="37" t="str">
        <x:v>[AUD-020] 마피아·조수 비밀 통신 채널</x:v>
      </x:c>
      <x:c r="C233" s="37" t="str">
        <x:v>게임 규칙, 운영 요구사항과 대상 플랫폼 제약을 충족하도록 마피아·조수 비밀 통신 채널 기능을 구현하고 검증한다.</x:v>
      </x:c>
      <x:c r="D233" s="37" t="str">
        <x:v>낮음</x:v>
      </x:c>
      <x:c r="E233" s="37" t="str">
        <x:v>오디오·보이스 채팅</x:v>
      </x:c>
      <x:c r="F233" s="37" t="str">
        <x:v>출시 후</x:v>
      </x:c>
      <x:c r="G233" s="37" t="str">
        <x:v>AUD-020;정보 비공개;출시 후</x:v>
      </x:c>
      <x:c r="H233" s="37" t="str">
        <x:v>확장</x:v>
      </x:c>
      <x:c r="I233" s="37"/>
      <x:c r="J233" s="37" t="str">
        <x:v>AUD-020</x:v>
      </x:c>
      <x:c r="K233" s="37" t="str">
        <x:v>조수 규칙이 켜졌을 때만 두 대상에게 채널을 열고 마피아 추방 후에도 정책에 따라 유지한다. 다른 플레이어, 관전자, 일반 로그에 내용이 유출되지 않는다.</x:v>
      </x:c>
      <x:c r="L233" s="37" t="str">
        <x:v>IGM-038,AUD-007,NET-018</x:v>
      </x:c>
      <x:c r="M233" s="37" t="str">
        <x:v>TC-AUD-020-01</x:v>
      </x:c>
      <x:c r="N233" s="37" t="str">
        <x:v>게임 기획서</x:v>
      </x:c>
      <x:c r="O233" s="37"/>
    </x:row>
    <x:row r="234" ht="42" customHeight="1">
      <x:c r="A234" s="37" t="str">
        <x:v>작업</x:v>
      </x:c>
      <x:c r="B234" s="37" t="str">
        <x:v>[AUD-021] 음성·자막·UI 문구 현지화</x:v>
      </x:c>
      <x:c r="C234" s="37" t="str">
        <x:v>게임 규칙, 운영 요구사항과 대상 플랫폼 제약을 충족하도록 음성·자막·UI 문구 현지화 기능을 구현하고 검증한다.</x:v>
      </x:c>
      <x:c r="D234" s="37" t="str">
        <x:v>높음</x:v>
      </x:c>
      <x:c r="E234" s="37" t="str">
        <x:v>오디오·보이스 채팅</x:v>
      </x:c>
      <x:c r="F234" s="37" t="str">
        <x:v>베타</x:v>
      </x:c>
      <x:c r="G234" s="37" t="str">
        <x:v>AUD-021;현지화;베타</x:v>
      </x:c>
      <x:c r="H234" s="37" t="str">
        <x:v>현지화</x:v>
      </x:c>
      <x:c r="I234" s="37"/>
      <x:c r="J234" s="37" t="str">
        <x:v>AUD-021</x:v>
      </x:c>
      <x:c r="K234" s="37" t="str">
        <x:v>자막 키, 음성 교체, 언어 대체 처리, 문맥 주석, 길이 제한을 관리하고 언어 변경 시 재시작이 필요한 범위를 명확히 한다.</x:v>
      </x:c>
      <x:c r="L234" s="37" t="str">
        <x:v>AUD-016,SET-004</x:v>
      </x:c>
      <x:c r="M234" s="37" t="str">
        <x:v>TC-AUD-021-01</x:v>
      </x:c>
      <x:c r="N234" s="37" t="str">
        <x:v>게임 기획서</x:v>
      </x:c>
      <x:c r="O234" s="37"/>
    </x:row>
    <x:row r="235" ht="42" customHeight="1">
      <x:c r="A235" s="37" t="str">
        <x:v>작업</x:v>
      </x:c>
      <x:c r="B235" s="37" t="str">
        <x:v>[AUD-022] 6인 음성·효과음 최대 부하·메모리 예산</x:v>
      </x:c>
      <x:c r="C235" s="37" t="str">
        <x:v>게임 규칙, 운영 요구사항과 대상 플랫폼 제약을 충족하도록 6인 음성·효과음 최대 부하·메모리 예산 기능을 구현하고 검증한다.</x:v>
      </x:c>
      <x:c r="D235" s="37" t="str">
        <x:v>최상</x:v>
      </x:c>
      <x:c r="E235" s="37" t="str">
        <x:v>오디오·보이스 채팅</x:v>
      </x:c>
      <x:c r="F235" s="37" t="str">
        <x:v>릴리스 후보</x:v>
      </x:c>
      <x:c r="G235" s="37" t="str">
        <x:v>AUD-022;성능;릴리스 후보</x:v>
      </x:c>
      <x:c r="H235" s="37" t="str">
        <x:v>성능</x:v>
      </x:c>
      <x:c r="I235" s="37"/>
      <x:c r="J235" s="37" t="str">
        <x:v>AUD-022</x:v>
      </x:c>
      <x:c r="K235" s="37" t="str">
        <x:v>전원 발언, 다중 효과음, 미니게임, 최대 메모 표시 조건에서 CPU, 메모리, 대역폭, 음 끊김이 목표 기준 안에 들어온다.</x:v>
      </x:c>
      <x:c r="L235" s="37" t="str">
        <x:v>AUD-004,AUD-013,AUD-018,QAR-020</x:v>
      </x:c>
      <x:c r="M235" s="37" t="str">
        <x:v>TC-AUD-022-01, TC-AUD-022-02</x:v>
      </x:c>
      <x:c r="N235" s="37" t="str">
        <x:v>게임 기획서</x:v>
      </x:c>
      <x:c r="O235" s="37"/>
    </x:row>
    <x:row r="236" ht="42" customHeight="1">
      <x:c r="A236" s="37" t="str">
        <x:v>작업</x:v>
      </x:c>
      <x:c r="B236" s="37" t="str">
        <x:v>[AUD-023] 플랫폼별 음성·음소거·차단 요건</x:v>
      </x:c>
      <x:c r="C236" s="37" t="str">
        <x:v>게임 규칙, 운영 요구사항과 대상 플랫폼 제약을 충족하도록 플랫폼별 음성·음소거·차단 요건 기능을 구현하고 검증한다.</x:v>
      </x:c>
      <x:c r="D236" s="37" t="str">
        <x:v>최상</x:v>
      </x:c>
      <x:c r="E236" s="37" t="str">
        <x:v>오디오·보이스 채팅</x:v>
      </x:c>
      <x:c r="F236" s="37" t="str">
        <x:v>출시</x:v>
      </x:c>
      <x:c r="G236" s="37" t="str">
        <x:v>AUD-023;인증·약관;출시</x:v>
      </x:c>
      <x:c r="H236" s="37" t="str">
        <x:v>플랫폼 규정 준수</x:v>
      </x:c>
      <x:c r="I236" s="37"/>
      <x:c r="J236" s="37" t="str">
        <x:v>AUD-023</x:v>
      </x:c>
      <x:c r="K236" s="37" t="str">
        <x:v>각 플랫폼의 개인정보, 보호자 설정, 시스템 음소거, 차단, 크로스플레이 음성 요건을 충족한다.</x:v>
      </x:c>
      <x:c r="L236" s="37" t="str">
        <x:v>AUD-011,AUD-012,BED-013</x:v>
      </x:c>
      <x:c r="M236" s="37" t="str">
        <x:v>TC-AUD-023-01, TC-AUD-023-02</x:v>
      </x:c>
      <x:c r="N236" s="37" t="str">
        <x:v>게임 기획서</x:v>
      </x:c>
      <x:c r="O236" s="37"/>
    </x:row>
    <x:row r="237" ht="42" customHeight="1">
      <x:c r="A237" s="37" t="str">
        <x:v>작업</x:v>
      </x:c>
      <x:c r="B237" s="37" t="str">
        <x:v>[AUD-024] 맵별 음성 감쇠·차폐 리뷰</x:v>
      </x:c>
      <x:c r="C237" s="37" t="str">
        <x:v>게임 규칙, 운영 요구사항과 대상 플랫폼 제약을 충족하도록 맵별 음성 감쇠·차폐 리뷰 기능을 구현하고 검증한다.</x:v>
      </x:c>
      <x:c r="D237" s="37" t="str">
        <x:v>최상</x:v>
      </x:c>
      <x:c r="E237" s="37" t="str">
        <x:v>오디오·보이스 채팅</x:v>
      </x:c>
      <x:c r="F237" s="37" t="str">
        <x:v>알파</x:v>
      </x:c>
      <x:c r="G237" s="37" t="str">
        <x:v>AUD-024;밸런스;알파</x:v>
      </x:c>
      <x:c r="H237" s="37" t="str">
        <x:v>품질</x:v>
      </x:c>
      <x:c r="I237" s="37"/>
      <x:c r="J237" s="37" t="str">
        <x:v>AUD-024</x:v>
      </x:c>
      <x:c r="K237" s="37" t="str">
        <x:v>모든 주요 방, 문, 통로, 중앙 관찰 구역에서 거리와 차폐를 측정하고 대화 도달 범위가 게임 디자인 의도와 일치한다.</x:v>
      </x:c>
      <x:c r="L237" s="37" t="str">
        <x:v>AUD-004,AUD-005,CNT-007</x:v>
      </x:c>
      <x:c r="M237" s="37" t="str">
        <x:v>TC-AUD-024-01, TC-AUD-024-02</x:v>
      </x:c>
      <x:c r="N237" s="37" t="str">
        <x:v>게임 기획서</x:v>
      </x:c>
      <x:c r="O237" s="37"/>
    </x:row>
    <x:row r="238" ht="42" customHeight="1">
      <x:c r="A238" s="37" t="str">
        <x:v>작업</x:v>
      </x:c>
      <x:c r="B238" s="37" t="str">
        <x:v>[CNT-001] MVP 맵 게임플레이 설계 원칙</x:v>
      </x:c>
      <x:c r="C238" s="37" t="str">
        <x:v>게임 규칙, 운영 요구사항과 대상 플랫폼 제약을 충족하도록 MVP 맵 게임플레이 설계 원칙 기능을 구현하고 검증한다.</x:v>
      </x:c>
      <x:c r="D238" s="37" t="str">
        <x:v>최상</x:v>
      </x:c>
      <x:c r="E238" s="37" t="str">
        <x:v>콘텐츠·맵·미니게임</x:v>
      </x:c>
      <x:c r="F238" s="37" t="str">
        <x:v>MVP</x:v>
      </x:c>
      <x:c r="G238" s="37" t="str">
        <x:v>CNT-001;맵;MVP</x:v>
      </x:c>
      <x:c r="H238" s="37" t="str">
        <x:v>맵 디자인</x:v>
      </x:c>
      <x:c r="I238" s="37"/>
      <x:c r="J238" s="37" t="str">
        <x:v>CNT-001</x:v>
      </x:c>
      <x:c r="K238" s="37" t="str">
        <x:v>근거리 대화, 등 뒤 접근, 관찰, 분산, 재집결이 자연스럽게 발생하는 동선과 4~6명에서 과밀·과소가 되지 않는 면적 기준을 정의한다.</x:v>
      </x:c>
      <x:c r="L238" s="37"/>
      <x:c r="M238" s="37" t="str">
        <x:v>TC-CNT-001-01, TC-CNT-001-02</x:v>
      </x:c>
      <x:c r="N238" s="37" t="str">
        <x:v>게임 기획서</x:v>
      </x:c>
      <x:c r="O238" s="37"/>
    </x:row>
    <x:row r="239" ht="42" customHeight="1">
      <x:c r="A239" s="37" t="str">
        <x:v>작업</x:v>
      </x:c>
      <x:c r="B239" s="37" t="str">
        <x:v>[CNT-002] 주요 순환 동선·이동 시간·분기</x:v>
      </x:c>
      <x:c r="C239" s="37" t="str">
        <x:v>게임 규칙, 운영 요구사항과 대상 플랫폼 제약을 충족하도록 주요 순환 동선·이동 시간·분기 기능을 구현하고 검증한다.</x:v>
      </x:c>
      <x:c r="D239" s="37" t="str">
        <x:v>최상</x:v>
      </x:c>
      <x:c r="E239" s="37" t="str">
        <x:v>콘텐츠·맵·미니게임</x:v>
      </x:c>
      <x:c r="F239" s="37" t="str">
        <x:v>MVP</x:v>
      </x:c>
      <x:c r="G239" s="37" t="str">
        <x:v>CNT-002;맵;MVP</x:v>
      </x:c>
      <x:c r="H239" s="37" t="str">
        <x:v>맵 디자인</x:v>
      </x:c>
      <x:c r="I239" s="37"/>
      <x:c r="J239" s="37" t="str">
        <x:v>CNT-002</x:v>
      </x:c>
      <x:c r="K239" s="37" t="str">
        <x:v>주요 지점 사이의 이동 시간, 순환로 수, 막다른 길, 지름길을 측정하고 한 플레이어가 항상 추적할 수 있는 지나치게 단순한 구조를 피한다.</x:v>
      </x:c>
      <x:c r="L239" s="37" t="str">
        <x:v>CNT-001</x:v>
      </x:c>
      <x:c r="M239" s="37" t="str">
        <x:v>TC-CNT-002-01, TC-CNT-002-02</x:v>
      </x:c>
      <x:c r="N239" s="37" t="str">
        <x:v>게임 기획서</x:v>
      </x:c>
      <x:c r="O239" s="37"/>
    </x:row>
    <x:row r="240" ht="42" customHeight="1">
      <x:c r="A240" s="37" t="str">
        <x:v>작업</x:v>
      </x:c>
      <x:c r="B240" s="37" t="str">
        <x:v>[CNT-003] 밤 중앙 관찰·투표 구역</x:v>
      </x:c>
      <x:c r="C240" s="37" t="str">
        <x:v>게임 규칙, 운영 요구사항과 대상 플랫폼 제약을 충족하도록 밤 중앙 관찰·투표 구역 기능을 구현하고 검증한다.</x:v>
      </x:c>
      <x:c r="D240" s="37" t="str">
        <x:v>최상</x:v>
      </x:c>
      <x:c r="E240" s="37" t="str">
        <x:v>콘텐츠·맵·미니게임</x:v>
      </x:c>
      <x:c r="F240" s="37" t="str">
        <x:v>MVP</x:v>
      </x:c>
      <x:c r="G240" s="37" t="str">
        <x:v>CNT-003;핵심 규칙;MVP</x:v>
      </x:c>
      <x:c r="H240" s="37" t="str">
        <x:v>맵 디자인</x:v>
      </x:c>
      <x:c r="I240" s="37"/>
      <x:c r="J240" s="37" t="str">
        <x:v>CNT-003</x:v>
      </x:c>
      <x:c r="K240" s="37" t="str">
        <x:v>모든 생존자가 서로의 등 메모를 관찰할 수 있고 차폐, 겹침, 이름표 간섭, 카메라 충돌이 적은 배치를 제공한다.</x:v>
      </x:c>
      <x:c r="L240" s="37" t="str">
        <x:v>CNT-001,CHR-012</x:v>
      </x:c>
      <x:c r="M240" s="37" t="str">
        <x:v>TC-CNT-003-01, TC-CNT-003-02</x:v>
      </x:c>
      <x:c r="N240" s="37" t="str">
        <x:v>게임 기획서</x:v>
      </x:c>
      <x:c r="O240" s="37"/>
    </x:row>
    <x:row r="241" ht="42" customHeight="1">
      <x:c r="A241" s="37" t="str">
        <x:v>작업</x:v>
      </x:c>
      <x:c r="B241" s="37" t="str">
        <x:v>[CNT-004] 시작·재접속·밤 집결 스폰</x:v>
      </x:c>
      <x:c r="C241" s="37" t="str">
        <x:v>게임 규칙, 운영 요구사항과 대상 플랫폼 제약을 충족하도록 시작·재접속·밤 집결 스폰 기능을 구현하고 검증한다.</x:v>
      </x:c>
      <x:c r="D241" s="37" t="str">
        <x:v>최상</x:v>
      </x:c>
      <x:c r="E241" s="37" t="str">
        <x:v>콘텐츠·맵·미니게임</x:v>
      </x:c>
      <x:c r="F241" s="37" t="str">
        <x:v>MVP</x:v>
      </x:c>
      <x:c r="G241" s="37" t="str">
        <x:v>CNT-004;맵;MVP</x:v>
      </x:c>
      <x:c r="H241" s="37" t="str">
        <x:v>맵 디자인</x:v>
      </x:c>
      <x:c r="I241" s="37"/>
      <x:c r="J241" s="37" t="str">
        <x:v>CNT-004</x:v>
      </x:c>
      <x:c r="K241" s="37" t="str">
        <x:v>참가 인원별 시작 위치, 재접속 위치, 중앙 집결 위치를 정의하고 다른 캐릭터, 벽, 위험 구역과 겹치지 않는다.</x:v>
      </x:c>
      <x:c r="L241" s="37" t="str">
        <x:v>CNT-002,CNT-003</x:v>
      </x:c>
      <x:c r="M241" s="37" t="str">
        <x:v>TC-CNT-004-01, TC-CNT-004-02</x:v>
      </x:c>
      <x:c r="N241" s="37" t="str">
        <x:v>게임 기획서</x:v>
      </x:c>
      <x:c r="O241" s="37"/>
    </x:row>
    <x:row r="242" ht="42" customHeight="1">
      <x:c r="A242" s="37" t="str">
        <x:v>작업</x:v>
      </x:c>
      <x:c r="B242" s="37" t="str">
        <x:v>[CNT-005] 대화·미니게임용 방 구성</x:v>
      </x:c>
      <x:c r="C242" s="37" t="str">
        <x:v>게임 규칙, 운영 요구사항과 대상 플랫폼 제약을 충족하도록 대화·미니게임용 방 구성 기능을 구현하고 검증한다.</x:v>
      </x:c>
      <x:c r="D242" s="37" t="str">
        <x:v>최상</x:v>
      </x:c>
      <x:c r="E242" s="37" t="str">
        <x:v>콘텐츠·맵·미니게임</x:v>
      </x:c>
      <x:c r="F242" s="37" t="str">
        <x:v>MVP</x:v>
      </x:c>
      <x:c r="G242" s="37" t="str">
        <x:v>CNT-005;맵;MVP</x:v>
      </x:c>
      <x:c r="H242" s="37" t="str">
        <x:v>맵 디자인</x:v>
      </x:c>
      <x:c r="I242" s="37"/>
      <x:c r="J242" s="37" t="str">
        <x:v>CNT-005</x:v>
      </x:c>
      <x:c r="K242" s="37" t="str">
        <x:v>여러 소형 방과 공유 공간을 구성해 근거리 대화가 지역화되면서도 완전히 고립되지 않도록 하고 각 방에 입구, 출구, 고유 이름을 둔다.</x:v>
      </x:c>
      <x:c r="L242" s="37" t="str">
        <x:v>CNT-002</x:v>
      </x:c>
      <x:c r="M242" s="37" t="str">
        <x:v>TC-CNT-005-01, TC-CNT-005-02</x:v>
      </x:c>
      <x:c r="N242" s="37" t="str">
        <x:v>게임 기획서</x:v>
      </x:c>
      <x:c r="O242" s="37"/>
    </x:row>
    <x:row r="243" ht="42" customHeight="1">
      <x:c r="A243" s="37" t="str">
        <x:v>작업</x:v>
      </x:c>
      <x:c r="B243" s="37" t="str">
        <x:v>[CNT-006] 등 뒤 접근·관찰·도주 시야 설계</x:v>
      </x:c>
      <x:c r="C243" s="37" t="str">
        <x:v>게임 규칙, 운영 요구사항과 대상 플랫폼 제약을 충족하도록 등 뒤 접근·관찰·도주 시야 설계 기능을 구현하고 검증한다.</x:v>
      </x:c>
      <x:c r="D243" s="37" t="str">
        <x:v>최상</x:v>
      </x:c>
      <x:c r="E243" s="37" t="str">
        <x:v>콘텐츠·맵·미니게임</x:v>
      </x:c>
      <x:c r="F243" s="37" t="str">
        <x:v>MVP</x:v>
      </x:c>
      <x:c r="G243" s="37" t="str">
        <x:v>CNT-006;핵심 규칙;MVP</x:v>
      </x:c>
      <x:c r="H243" s="37" t="str">
        <x:v>맵 디자인</x:v>
      </x:c>
      <x:c r="I243" s="37"/>
      <x:c r="J243" s="37" t="str">
        <x:v>CNT-006</x:v>
      </x:c>
      <x:c r="K243" s="37" t="str">
        <x:v>제3자가 메모 부착 동작을 관찰할 수 있는 시야와 완전 감시를 피하는 차폐를 함께 제공하고 카메라 각도 악용 지점을 제거한다.</x:v>
      </x:c>
      <x:c r="L243" s="37" t="str">
        <x:v>CNT-005,CHR-008</x:v>
      </x:c>
      <x:c r="M243" s="37" t="str">
        <x:v>TC-CNT-006-01, TC-CNT-006-02</x:v>
      </x:c>
      <x:c r="N243" s="37" t="str">
        <x:v>게임 기획서</x:v>
      </x:c>
      <x:c r="O243" s="37"/>
    </x:row>
    <x:row r="244" ht="42" customHeight="1">
      <x:c r="A244" s="37" t="str">
        <x:v>작업</x:v>
      </x:c>
      <x:c r="B244" s="37" t="str">
        <x:v>[CNT-007] 음성 거리·벽 차폐용 음향 볼륨</x:v>
      </x:c>
      <x:c r="C244" s="37" t="str">
        <x:v>게임 규칙, 운영 요구사항과 대상 플랫폼 제약을 충족하도록 음성 거리·벽 차폐용 음향 볼륨 기능을 구현하고 검증한다.</x:v>
      </x:c>
      <x:c r="D244" s="37" t="str">
        <x:v>높음</x:v>
      </x:c>
      <x:c r="E244" s="37" t="str">
        <x:v>콘텐츠·맵·미니게임</x:v>
      </x:c>
      <x:c r="F244" s="37" t="str">
        <x:v>알파</x:v>
      </x:c>
      <x:c r="G244" s="37" t="str">
        <x:v>CNT-007;음성;알파</x:v>
      </x:c>
      <x:c r="H244" s="37" t="str">
        <x:v>맵 디자인</x:v>
      </x:c>
      <x:c r="I244" s="37"/>
      <x:c r="J244" s="37" t="str">
        <x:v>CNT-007</x:v>
      </x:c>
      <x:c r="K244" s="37" t="str">
        <x:v>방, 문, 통로, 층간에 음향 경계를 설정하고 시각적 벽과 음성 차폐 결과가 일치한다.</x:v>
      </x:c>
      <x:c r="L244" s="37" t="str">
        <x:v>CNT-005,AUD-005</x:v>
      </x:c>
      <x:c r="M244" s="37" t="str">
        <x:v>TC-CNT-007-01</x:v>
      </x:c>
      <x:c r="N244" s="37" t="str">
        <x:v>게임 기획서</x:v>
      </x:c>
      <x:c r="O244" s="37"/>
    </x:row>
    <x:row r="245" ht="42" customHeight="1">
      <x:c r="A245" s="37" t="str">
        <x:v>작업</x:v>
      </x:c>
      <x:c r="B245" s="37" t="str">
        <x:v>[CNT-008] 메모 부착용 등 뒤 여유 공간</x:v>
      </x:c>
      <x:c r="C245" s="37" t="str">
        <x:v>게임 규칙, 운영 요구사항과 대상 플랫폼 제약을 충족하도록 메모 부착용 등 뒤 여유 공간 기능을 구현하고 검증한다.</x:v>
      </x:c>
      <x:c r="D245" s="37" t="str">
        <x:v>최상</x:v>
      </x:c>
      <x:c r="E245" s="37" t="str">
        <x:v>콘텐츠·맵·미니게임</x:v>
      </x:c>
      <x:c r="F245" s="37" t="str">
        <x:v>MVP</x:v>
      </x:c>
      <x:c r="G245" s="37" t="str">
        <x:v>CNT-008;메모;MVP</x:v>
      </x:c>
      <x:c r="H245" s="37" t="str">
        <x:v>맵 디자인</x:v>
      </x:c>
      <x:c r="I245" s="37"/>
      <x:c r="J245" s="37" t="str">
        <x:v>CNT-008</x:v>
      </x:c>
      <x:c r="K245" s="37" t="str">
        <x:v>미니게임 단말, 벽 근처, 좁은 통로에서도 등 뒤 판정이 불가능하거나 잘못 동작하지 않도록 필요한 폭을 확보하고 문제 지점을 자동 탐지한다.</x:v>
      </x:c>
      <x:c r="L245" s="37" t="str">
        <x:v>CNT-002,IGM-016</x:v>
      </x:c>
      <x:c r="M245" s="37" t="str">
        <x:v>TC-CNT-008-01, TC-CNT-008-02</x:v>
      </x:c>
      <x:c r="N245" s="37" t="str">
        <x:v>게임 기획서</x:v>
      </x:c>
      <x:c r="O245" s="37"/>
    </x:row>
    <x:row r="246" ht="42" customHeight="1">
      <x:c r="A246" s="37" t="str">
        <x:v>작업</x:v>
      </x:c>
      <x:c r="B246" s="37" t="str">
        <x:v>[CNT-009] 미니게임 단말 배치·분산</x:v>
      </x:c>
      <x:c r="C246" s="37" t="str">
        <x:v>게임 규칙, 운영 요구사항과 대상 플랫폼 제약을 충족하도록 미니게임 단말 배치·분산 기능을 구현하고 검증한다.</x:v>
      </x:c>
      <x:c r="D246" s="37" t="str">
        <x:v>최상</x:v>
      </x:c>
      <x:c r="E246" s="37" t="str">
        <x:v>콘텐츠·맵·미니게임</x:v>
      </x:c>
      <x:c r="F246" s="37" t="str">
        <x:v>MVP</x:v>
      </x:c>
      <x:c r="G246" s="37" t="str">
        <x:v>CNT-009;콘텐츠;MVP</x:v>
      </x:c>
      <x:c r="H246" s="37" t="str">
        <x:v>맵 디자인</x:v>
      </x:c>
      <x:c r="I246" s="37"/>
      <x:c r="J246" s="37" t="str">
        <x:v>CNT-009</x:v>
      </x:c>
      <x:c r="K246" s="37" t="str">
        <x:v>3~5종의 단말을 편중 없이 배치해 모든 플레이어가 한 지점에 지나치게 집중하지 않고 고립과 알리바이 선택이 발생하도록 한다.</x:v>
      </x:c>
      <x:c r="L246" s="37" t="str">
        <x:v>CNT-002,CNT-017</x:v>
      </x:c>
      <x:c r="M246" s="37" t="str">
        <x:v>TC-CNT-009-01, TC-CNT-009-02</x:v>
      </x:c>
      <x:c r="N246" s="37" t="str">
        <x:v>게임 기획서</x:v>
      </x:c>
      <x:c r="O246" s="37"/>
    </x:row>
    <x:row r="247" ht="42" customHeight="1">
      <x:c r="A247" s="37" t="str">
        <x:v>작업</x:v>
      </x:c>
      <x:c r="B247" s="37" t="str">
        <x:v>[CNT-010] 랜드마크·방 이름·방향 안내</x:v>
      </x:c>
      <x:c r="C247" s="37" t="str">
        <x:v>게임 규칙, 운영 요구사항과 대상 플랫폼 제약을 충족하도록 랜드마크·방 이름·방향 안내 기능을 구현하고 검증한다.</x:v>
      </x:c>
      <x:c r="D247" s="37" t="str">
        <x:v>높음</x:v>
      </x:c>
      <x:c r="E247" s="37" t="str">
        <x:v>콘텐츠·맵·미니게임</x:v>
      </x:c>
      <x:c r="F247" s="37" t="str">
        <x:v>MVP</x:v>
      </x:c>
      <x:c r="G247" s="37" t="str">
        <x:v>CNT-010;이해도;MVP</x:v>
      </x:c>
      <x:c r="H247" s="37" t="str">
        <x:v>맵 UX</x:v>
      </x:c>
      <x:c r="I247" s="37"/>
      <x:c r="J247" s="37" t="str">
        <x:v>CNT-010</x:v>
      </x:c>
      <x:c r="K247" s="37" t="str">
        <x:v>플레이어가 대화로 위치를 공유할 수 있는 고유한 외형과 이름을 제공하고 색상만에 의존하지 않는 길 안내를 사용한다.</x:v>
      </x:c>
      <x:c r="L247" s="37" t="str">
        <x:v>CNT-005,UIX-001</x:v>
      </x:c>
      <x:c r="M247" s="37" t="str">
        <x:v>TC-CNT-010-01</x:v>
      </x:c>
      <x:c r="N247" s="37" t="str">
        <x:v>게임 기획서</x:v>
      </x:c>
      <x:c r="O247" s="37"/>
    </x:row>
    <x:row r="248" ht="42" customHeight="1">
      <x:c r="A248" s="37" t="str">
        <x:v>작업</x:v>
      </x:c>
      <x:c r="B248" s="37" t="str">
        <x:v>[CNT-011] 색상·LED·메모 판독성 조명</x:v>
      </x:c>
      <x:c r="C248" s="37" t="str">
        <x:v>게임 규칙, 운영 요구사항과 대상 플랫폼 제약을 충족하도록 색상·LED·메모 판독성 조명 기능을 구현하고 검증한다.</x:v>
      </x:c>
      <x:c r="D248" s="37" t="str">
        <x:v>최상</x:v>
      </x:c>
      <x:c r="E248" s="37" t="str">
        <x:v>콘텐츠·맵·미니게임</x:v>
      </x:c>
      <x:c r="F248" s="37" t="str">
        <x:v>MVP</x:v>
      </x:c>
      <x:c r="G248" s="37" t="str">
        <x:v>CNT-011;판독성;MVP</x:v>
      </x:c>
      <x:c r="H248" s="37" t="str">
        <x:v>맵 아트</x:v>
      </x:c>
      <x:c r="I248" s="37"/>
      <x:c r="J248" s="37" t="str">
        <x:v>CNT-011</x:v>
      </x:c>
      <x:c r="K248" s="37" t="str">
        <x:v>낮·밤 연출에서도 플레이어 색상과 메모 색상을 식별할 수 있고 과도한 색 번짐, 블룸, 암부, 점멸을 피한다.</x:v>
      </x:c>
      <x:c r="L248" s="37" t="str">
        <x:v>CHR-005,CHR-011,CNT-003</x:v>
      </x:c>
      <x:c r="M248" s="37" t="str">
        <x:v>TC-CNT-011-01, TC-CNT-011-02</x:v>
      </x:c>
      <x:c r="N248" s="37" t="str">
        <x:v>게임 기획서</x:v>
      </x:c>
      <x:c r="O248" s="37"/>
    </x:row>
    <x:row r="249" ht="42" customHeight="1">
      <x:c r="A249" s="37" t="str">
        <x:v>작업</x:v>
      </x:c>
      <x:c r="B249" s="37" t="str">
        <x:v>[CNT-012] 충돌·낙하·끼임·맵 이탈 방지</x:v>
      </x:c>
      <x:c r="C249" s="37" t="str">
        <x:v>게임 규칙, 운영 요구사항과 대상 플랫폼 제약을 충족하도록 충돌·낙하·끼임·맵 이탈 방지 기능을 구현하고 검증한다.</x:v>
      </x:c>
      <x:c r="D249" s="37" t="str">
        <x:v>최상</x:v>
      </x:c>
      <x:c r="E249" s="37" t="str">
        <x:v>콘텐츠·맵·미니게임</x:v>
      </x:c>
      <x:c r="F249" s="37" t="str">
        <x:v>MVP</x:v>
      </x:c>
      <x:c r="G249" s="37" t="str">
        <x:v>CNT-012;안정성;MVP</x:v>
      </x:c>
      <x:c r="H249" s="37" t="str">
        <x:v>맵 테크</x:v>
      </x:c>
      <x:c r="I249" s="37"/>
      <x:c r="J249" s="37" t="str">
        <x:v>CNT-012</x:v>
      </x:c>
      <x:c r="K249" s="37" t="str">
        <x:v>이동, 밤 집결, 재접속, 메모 부착 중 끼임, 낙하, 맵 이탈이 없고 복귀 볼륨과 서버 위치 검증을 제공한다.</x:v>
      </x:c>
      <x:c r="L249" s="37" t="str">
        <x:v>CNT-002,NET-009</x:v>
      </x:c>
      <x:c r="M249" s="37" t="str">
        <x:v>TC-CNT-012-01, TC-CNT-012-02</x:v>
      </x:c>
      <x:c r="N249" s="37" t="str">
        <x:v>게임 기획서</x:v>
      </x:c>
      <x:c r="O249" s="37"/>
    </x:row>
    <x:row r="250" ht="42" customHeight="1">
      <x:c r="A250" s="37" t="str">
        <x:v>작업</x:v>
      </x:c>
      <x:c r="B250" s="37" t="str">
        <x:v>[CNT-013] 카메라 충돌·FOV별 판독성</x:v>
      </x:c>
      <x:c r="C250" s="37" t="str">
        <x:v>게임 규칙, 운영 요구사항과 대상 플랫폼 제약을 충족하도록 카메라 충돌·FOV별 판독성 기능을 구현하고 검증한다.</x:v>
      </x:c>
      <x:c r="D250" s="37" t="str">
        <x:v>최상</x:v>
      </x:c>
      <x:c r="E250" s="37" t="str">
        <x:v>콘텐츠·맵·미니게임</x:v>
      </x:c>
      <x:c r="F250" s="37" t="str">
        <x:v>MVP</x:v>
      </x:c>
      <x:c r="G250" s="37" t="str">
        <x:v>CNT-013;판독성;MVP</x:v>
      </x:c>
      <x:c r="H250" s="37" t="str">
        <x:v>맵 테크</x:v>
      </x:c>
      <x:c r="I250" s="37"/>
      <x:c r="J250" s="37" t="str">
        <x:v>CNT-013</x:v>
      </x:c>
      <x:c r="K250" s="37" t="str">
        <x:v>벽 근처와 좁은 공간에서 카메라가 등 메모를 투시하거나 가리지 않고 지원 FOV와 화면 비율에서 주요 정보가 표시된다.</x:v>
      </x:c>
      <x:c r="L250" s="37" t="str">
        <x:v>CNT-005,UIX-014,SET-005</x:v>
      </x:c>
      <x:c r="M250" s="37" t="str">
        <x:v>TC-CNT-013-01, TC-CNT-013-02</x:v>
      </x:c>
      <x:c r="N250" s="37" t="str">
        <x:v>게임 기획서</x:v>
      </x:c>
      <x:c r="O250" s="37"/>
    </x:row>
    <x:row r="251" ht="42" customHeight="1">
      <x:c r="A251" s="37" t="str">
        <x:v>작업</x:v>
      </x:c>
      <x:c r="B251" s="37" t="str">
        <x:v>[CNT-014] 렌더링·물리·음향·메모 표시 예산</x:v>
      </x:c>
      <x:c r="C251" s="37" t="str">
        <x:v>게임 규칙, 운영 요구사항과 대상 플랫폼 제약을 충족하도록 렌더링·물리·음향·메모 표시 예산 기능을 구현하고 검증한다.</x:v>
      </x:c>
      <x:c r="D251" s="37" t="str">
        <x:v>최상</x:v>
      </x:c>
      <x:c r="E251" s="37" t="str">
        <x:v>콘텐츠·맵·미니게임</x:v>
      </x:c>
      <x:c r="F251" s="37" t="str">
        <x:v>릴리스 후보</x:v>
      </x:c>
      <x:c r="G251" s="37" t="str">
        <x:v>CNT-014;성능;릴리스 후보</x:v>
      </x:c>
      <x:c r="H251" s="37" t="str">
        <x:v>맵 테크</x:v>
      </x:c>
      <x:c r="I251" s="37"/>
      <x:c r="J251" s="37" t="str">
        <x:v>CNT-014</x:v>
      </x:c>
      <x:c r="K251" s="37" t="str">
        <x:v>6명, 최대 메모, 모든 단말, 음성, LED가 동작하는 조건에서 최소·권장 환경의 CPU, GPU, 메모리 예산을 충족한다.</x:v>
      </x:c>
      <x:c r="L251" s="37" t="str">
        <x:v>CNT-011,CNT-012,CHR-027,AUD-022</x:v>
      </x:c>
      <x:c r="M251" s="37" t="str">
        <x:v>TC-CNT-014-01, TC-CNT-014-02</x:v>
      </x:c>
      <x:c r="N251" s="37" t="str">
        <x:v>게임 기획서</x:v>
      </x:c>
      <x:c r="O251" s="37"/>
    </x:row>
    <x:row r="252" ht="42" customHeight="1">
      <x:c r="A252" s="37" t="str">
        <x:v>작업</x:v>
      </x:c>
      <x:c r="B252" s="37" t="str">
        <x:v>[CNT-015] 맵 자동 검증 도구</x:v>
      </x:c>
      <x:c r="C252" s="37" t="str">
        <x:v>게임 규칙, 운영 요구사항과 대상 플랫폼 제약을 충족하도록 맵 자동 검증 도구 기능을 구현하고 검증한다.</x:v>
      </x:c>
      <x:c r="D252" s="37" t="str">
        <x:v>높음</x:v>
      </x:c>
      <x:c r="E252" s="37" t="str">
        <x:v>콘텐츠·맵·미니게임</x:v>
      </x:c>
      <x:c r="F252" s="37" t="str">
        <x:v>알파</x:v>
      </x:c>
      <x:c r="G252" s="37" t="str">
        <x:v>CNT-015;제작 기반;알파</x:v>
      </x:c>
      <x:c r="H252" s="37" t="str">
        <x:v>콘텐츠 파이프라인</x:v>
      </x:c>
      <x:c r="I252" s="37"/>
      <x:c r="J252" s="37" t="str">
        <x:v>CNT-015</x:v>
      </x:c>
      <x:c r="K252" s="37" t="str">
        <x:v>스폰, 단말, 내비게이션, 음향, 부착 여유 공간, 중앙 시인성, 금지 볼륨, LOD, 명명 규칙을 CI에서 검사한다.</x:v>
      </x:c>
      <x:c r="L252" s="37" t="str">
        <x:v>CNT-003,CNT-004,CNT-007,CNT-008,CNT-009</x:v>
      </x:c>
      <x:c r="M252" s="37" t="str">
        <x:v>TC-CNT-015-01</x:v>
      </x:c>
      <x:c r="N252" s="37" t="str">
        <x:v>게임 기획서</x:v>
      </x:c>
      <x:c r="O252" s="37"/>
    </x:row>
    <x:row r="253" ht="42" customHeight="1">
      <x:c r="A253" s="37" t="str">
        <x:v>작업</x:v>
      </x:c>
      <x:c r="B253" s="37" t="str">
        <x:v>[CNT-016] 미니게임·맵 데이터 정의 스키마</x:v>
      </x:c>
      <x:c r="C253" s="37" t="str">
        <x:v>게임 규칙, 운영 요구사항과 대상 플랫폼 제약을 충족하도록 미니게임·맵 데이터 정의 스키마 기능을 구현하고 검증한다.</x:v>
      </x:c>
      <x:c r="D253" s="37" t="str">
        <x:v>최상</x:v>
      </x:c>
      <x:c r="E253" s="37" t="str">
        <x:v>콘텐츠·맵·미니게임</x:v>
      </x:c>
      <x:c r="F253" s="37" t="str">
        <x:v>MVP</x:v>
      </x:c>
      <x:c r="G253" s="37" t="str">
        <x:v>CNT-016;제작 기반;MVP</x:v>
      </x:c>
      <x:c r="H253" s="37" t="str">
        <x:v>콘텐츠 파이프라인</x:v>
      </x:c>
      <x:c r="I253" s="37"/>
      <x:c r="J253" s="37" t="str">
        <x:v>CNT-016</x:v>
      </x:c>
      <x:c r="K253" s="37" t="str">
        <x:v>ID, 버전, 난이도, 소요 시간, 보상, 입력, 지원 인원, 배치 조건, 현지화, 분석 이벤트를 데이터로 정의한다.</x:v>
      </x:c>
      <x:c r="L253" s="37" t="str">
        <x:v>BED-015</x:v>
      </x:c>
      <x:c r="M253" s="37" t="str">
        <x:v>TC-CNT-016-01, TC-CNT-016-02</x:v>
      </x:c>
      <x:c r="N253" s="37" t="str">
        <x:v>게임 기획서</x:v>
      </x:c>
      <x:c r="O253" s="37"/>
    </x:row>
    <x:row r="254" ht="42" customHeight="1">
      <x:c r="A254" s="37" t="str">
        <x:v>작업</x:v>
      </x:c>
      <x:c r="B254" s="37" t="str">
        <x:v>[CNT-017] 미니게임 공통 실행 프레임워크</x:v>
      </x:c>
      <x:c r="C254" s="37" t="str">
        <x:v>게임 규칙, 운영 요구사항과 대상 플랫폼 제약을 충족하도록 미니게임 공통 실행 프레임워크 기능을 구현하고 검증한다.</x:v>
      </x:c>
      <x:c r="D254" s="37" t="str">
        <x:v>최상</x:v>
      </x:c>
      <x:c r="E254" s="37" t="str">
        <x:v>콘텐츠·맵·미니게임</x:v>
      </x:c>
      <x:c r="F254" s="37" t="str">
        <x:v>MVP</x:v>
      </x:c>
      <x:c r="G254" s="37" t="str">
        <x:v>CNT-017;콘텐츠;MVP</x:v>
      </x:c>
      <x:c r="H254" s="37" t="str">
        <x:v>미니게임 프레임워크</x:v>
      </x:c>
      <x:c r="I254" s="37"/>
      <x:c r="J254" s="37" t="str">
        <x:v>CNT-017</x:v>
      </x:c>
      <x:c r="K254" s="37" t="str">
        <x:v>시작, 입력, 타이머, 성공, 실패, 중단, 이탈, 페이즈 종료를 공통 상태로 처리하고 게임 본체 상태 머신과 충돌하지 않는다.</x:v>
      </x:c>
      <x:c r="L254" s="37" t="str">
        <x:v>CNT-016,IGM-005</x:v>
      </x:c>
      <x:c r="M254" s="37" t="str">
        <x:v>TC-CNT-017-01, TC-CNT-017-02</x:v>
      </x:c>
      <x:c r="N254" s="37" t="str">
        <x:v>게임 기획서</x:v>
      </x:c>
      <x:c r="O254" s="37"/>
    </x:row>
    <x:row r="255" ht="42" customHeight="1">
      <x:c r="A255" s="37" t="str">
        <x:v>작업</x:v>
      </x:c>
      <x:c r="B255" s="37" t="str">
        <x:v>[CNT-018] 인스턴스 소유권·참가 잠금</x:v>
      </x:c>
      <x:c r="C255" s="37" t="str">
        <x:v>게임 규칙, 운영 요구사항과 대상 플랫폼 제약을 충족하도록 인스턴스 소유권·참가 잠금 기능을 구현하고 검증한다.</x:v>
      </x:c>
      <x:c r="D255" s="37" t="str">
        <x:v>최상</x:v>
      </x:c>
      <x:c r="E255" s="37" t="str">
        <x:v>콘텐츠·맵·미니게임</x:v>
      </x:c>
      <x:c r="F255" s="37" t="str">
        <x:v>MVP</x:v>
      </x:c>
      <x:c r="G255" s="37" t="str">
        <x:v>CNT-018;데이터 무결성;MVP</x:v>
      </x:c>
      <x:c r="H255" s="37" t="str">
        <x:v>미니게임 프레임워크</x:v>
      </x:c>
      <x:c r="I255" s="37"/>
      <x:c r="J255" s="37" t="str">
        <x:v>CNT-018</x:v>
      </x:c>
      <x:c r="K255" s="37" t="str">
        <x:v>같은 단말의 동시 참가, 중복 시작, 이탈, 연결 끊김, 밤 시작을 처리하고 대상 플레이어 외의 입력을 거부한다.</x:v>
      </x:c>
      <x:c r="L255" s="37" t="str">
        <x:v>CNT-017,NET-012</x:v>
      </x:c>
      <x:c r="M255" s="37" t="str">
        <x:v>TC-CNT-018-01, TC-CNT-018-02</x:v>
      </x:c>
      <x:c r="N255" s="37" t="str">
        <x:v>게임 기획서</x:v>
      </x:c>
      <x:c r="O255" s="37"/>
    </x:row>
    <x:row r="256" ht="42" customHeight="1">
      <x:c r="A256" s="37" t="str">
        <x:v>작업</x:v>
      </x:c>
      <x:c r="B256" s="37" t="str">
        <x:v>[CNT-019] 미니게임 제작·검증 템플릿</x:v>
      </x:c>
      <x:c r="C256" s="37" t="str">
        <x:v>게임 규칙, 운영 요구사항과 대상 플랫폼 제약을 충족하도록 미니게임 제작·검증 템플릿 기능을 구현하고 검증한다.</x:v>
      </x:c>
      <x:c r="D256" s="37" t="str">
        <x:v>높음</x:v>
      </x:c>
      <x:c r="E256" s="37" t="str">
        <x:v>콘텐츠·맵·미니게임</x:v>
      </x:c>
      <x:c r="F256" s="37" t="str">
        <x:v>알파</x:v>
      </x:c>
      <x:c r="G256" s="37" t="str">
        <x:v>CNT-019;제작 기반;알파</x:v>
      </x:c>
      <x:c r="H256" s="37" t="str">
        <x:v>미니게임 프레임워크</x:v>
      </x:c>
      <x:c r="I256" s="37"/>
      <x:c r="J256" s="37" t="str">
        <x:v>CNT-019</x:v>
      </x:c>
      <x:c r="K256" s="37" t="str">
        <x:v>디자이너가 코드 변경 없이 기본 매개변수, 설명, 보상, 입력, 난이도를 설정할 수 있고 필수 필드를 검증한다.</x:v>
      </x:c>
      <x:c r="L256" s="37" t="str">
        <x:v>CNT-016,CNT-017</x:v>
      </x:c>
      <x:c r="M256" s="37" t="str">
        <x:v>TC-CNT-019-01</x:v>
      </x:c>
      <x:c r="N256" s="37" t="str">
        <x:v>게임 기획서</x:v>
      </x:c>
      <x:c r="O256" s="37"/>
    </x:row>
    <x:row r="257" ht="42" customHeight="1">
      <x:c r="A257" s="37" t="str">
        <x:v>작업</x:v>
      </x:c>
      <x:c r="B257" s="37" t="str">
        <x:v>[CNT-020] 성공 판정·보상·중복 방지 인터페이스</x:v>
      </x:c>
      <x:c r="C257" s="37" t="str">
        <x:v>게임 규칙, 운영 요구사항과 대상 플랫폼 제약을 충족하도록 성공 판정·보상·중복 방지 인터페이스 기능을 구현하고 검증한다.</x:v>
      </x:c>
      <x:c r="D257" s="37" t="str">
        <x:v>최상</x:v>
      </x:c>
      <x:c r="E257" s="37" t="str">
        <x:v>콘텐츠·맵·미니게임</x:v>
      </x:c>
      <x:c r="F257" s="37" t="str">
        <x:v>MVP</x:v>
      </x:c>
      <x:c r="G257" s="37" t="str">
        <x:v>CNT-020;데이터 무결성;MVP</x:v>
      </x:c>
      <x:c r="H257" s="37" t="str">
        <x:v>미니게임 프레임워크</x:v>
      </x:c>
      <x:c r="I257" s="37"/>
      <x:c r="J257" s="37" t="str">
        <x:v>CNT-020</x:v>
      </x:c>
      <x:c r="K257" s="37" t="str">
        <x:v>서버가 성공을 검증하고 고유 완료 ID를 발급해 메모 보상과 전체 진행도에 한 번만 반영한다.</x:v>
      </x:c>
      <x:c r="L257" s="37" t="str">
        <x:v>CNT-017,CNT-018,NET-015,IGM-010</x:v>
      </x:c>
      <x:c r="M257" s="37" t="str">
        <x:v>TC-CNT-020-01, TC-CNT-020-02</x:v>
      </x:c>
      <x:c r="N257" s="37" t="str">
        <x:v>게임 기획서</x:v>
      </x:c>
      <x:c r="O257" s="37"/>
    </x:row>
    <x:row r="258" ht="42" customHeight="1">
      <x:c r="A258" s="37" t="str">
        <x:v>작업</x:v>
      </x:c>
      <x:c r="B258" s="37" t="str">
        <x:v>[CNT-021] 3초 이해·조작 설명·실패 피드백 기준</x:v>
      </x:c>
      <x:c r="C258" s="37" t="str">
        <x:v>게임 규칙, 운영 요구사항과 대상 플랫폼 제약을 충족하도록 3초 이해·조작 설명·실패 피드백 기준 기능을 구현하고 검증한다.</x:v>
      </x:c>
      <x:c r="D258" s="37" t="str">
        <x:v>최상</x:v>
      </x:c>
      <x:c r="E258" s="37" t="str">
        <x:v>콘텐츠·맵·미니게임</x:v>
      </x:c>
      <x:c r="F258" s="37" t="str">
        <x:v>MVP</x:v>
      </x:c>
      <x:c r="G258" s="37" t="str">
        <x:v>CNT-021;이해도;MVP</x:v>
      </x:c>
      <x:c r="H258" s="37" t="str">
        <x:v>미니게임 UX</x:v>
      </x:c>
      <x:c r="I258" s="37"/>
      <x:c r="J258" s="37" t="str">
        <x:v>CNT-021</x:v>
      </x:c>
      <x:c r="K258" s="37" t="str">
        <x:v>처음 플레이하는 사용자가 3초 안에 목표와 조작을 이해하고 잘못 조작했을 때 원인과 재시도 가능 여부를 알 수 있으며 언어와 입력 장치 차이에 대응한다.</x:v>
      </x:c>
      <x:c r="L258" s="37" t="str">
        <x:v>CNT-017,UIX-017</x:v>
      </x:c>
      <x:c r="M258" s="37" t="str">
        <x:v>TC-CNT-021-01, TC-CNT-021-02</x:v>
      </x:c>
      <x:c r="N258" s="37" t="str">
        <x:v>게임 기획서</x:v>
      </x:c>
      <x:c r="O258" s="37"/>
    </x:row>
    <x:row r="259" ht="42" customHeight="1">
      <x:c r="A259" s="37" t="str">
        <x:v>작업</x:v>
      </x:c>
      <x:c r="B259" s="37" t="str">
        <x:v>[CNT-022] 룸 전체 미니게임 진행도·최종 재판 연동</x:v>
      </x:c>
      <x:c r="C259" s="37" t="str">
        <x:v>게임 규칙, 운영 요구사항과 대상 플랫폼 제약을 충족하도록 룸 전체 미니게임 진행도·최종 재판 연동 기능을 구현하고 검증한다.</x:v>
      </x:c>
      <x:c r="D259" s="37" t="str">
        <x:v>최상</x:v>
      </x:c>
      <x:c r="E259" s="37" t="str">
        <x:v>콘텐츠·맵·미니게임</x:v>
      </x:c>
      <x:c r="F259" s="37" t="str">
        <x:v>MVP</x:v>
      </x:c>
      <x:c r="G259" s="37" t="str">
        <x:v>CNT-022;승패;MVP</x:v>
      </x:c>
      <x:c r="H259" s="37" t="str">
        <x:v>성장</x:v>
      </x:c>
      <x:c r="I259" s="37"/>
      <x:c r="J259" s="37" t="str">
        <x:v>CNT-022</x:v>
      </x:c>
      <x:c r="K259" s="37" t="str">
        <x:v>서버가 필요 총수와 완료 수를 관리하고 모두 완료되면 최종 재판 트리거를 한 번만 발행한다. 중도 이탈이나 재시도로 진행도가 되돌아가지 않는다.</x:v>
      </x:c>
      <x:c r="L259" s="37" t="str">
        <x:v>CNT-020,IGM-028</x:v>
      </x:c>
      <x:c r="M259" s="37" t="str">
        <x:v>TC-CNT-022-01, TC-CNT-022-02</x:v>
      </x:c>
      <x:c r="N259" s="37" t="str">
        <x:v>게임 기획서</x:v>
      </x:c>
      <x:c r="O259" s="37"/>
    </x:row>
    <x:row r="260" ht="42" customHeight="1">
      <x:c r="A260" s="37" t="str">
        <x:v>작업</x:v>
      </x:c>
      <x:c r="B260" s="37" t="str">
        <x:v>[CNT-023] 같은 그림 찾기 미니게임</x:v>
      </x:c>
      <x:c r="C260" s="37" t="str">
        <x:v>게임 규칙, 운영 요구사항과 대상 플랫폼 제약을 충족하도록 같은 그림 찾기 미니게임 기능을 구현하고 검증한다.</x:v>
      </x:c>
      <x:c r="D260" s="37" t="str">
        <x:v>최상</x:v>
      </x:c>
      <x:c r="E260" s="37" t="str">
        <x:v>콘텐츠·맵·미니게임</x:v>
      </x:c>
      <x:c r="F260" s="37" t="str">
        <x:v>MVP</x:v>
      </x:c>
      <x:c r="G260" s="37" t="str">
        <x:v>CNT-023;콘텐츠;MVP</x:v>
      </x:c>
      <x:c r="H260" s="37" t="str">
        <x:v>MVP 미니게임</x:v>
      </x:c>
      <x:c r="I260" s="37"/>
      <x:c r="J260" s="37" t="str">
        <x:v>CNT-023</x:v>
      </x:c>
      <x:c r="K260" s="37" t="str">
        <x:v>제한 시간 안에 목표와 같은 도형을 선택하며 난이도별 선택지 수, 시인성, 오답 페널티가 설정대로 동작한다.</x:v>
      </x:c>
      <x:c r="L260" s="37" t="str">
        <x:v>CNT-017,CNT-020,CNT-021</x:v>
      </x:c>
      <x:c r="M260" s="37" t="str">
        <x:v>TC-CNT-023-01, TC-CNT-023-02</x:v>
      </x:c>
      <x:c r="N260" s="37" t="str">
        <x:v>게임 기획서</x:v>
      </x:c>
      <x:c r="O260" s="37"/>
    </x:row>
    <x:row r="261" ht="42" customHeight="1">
      <x:c r="A261" s="37" t="str">
        <x:v>작업</x:v>
      </x:c>
      <x:c r="B261" s="37" t="str">
        <x:v>[CNT-024] 버튼 순서 기억 미니게임</x:v>
      </x:c>
      <x:c r="C261" s="37" t="str">
        <x:v>게임 규칙, 운영 요구사항과 대상 플랫폼 제약을 충족하도록 버튼 순서 기억 미니게임 기능을 구현하고 검증한다.</x:v>
      </x:c>
      <x:c r="D261" s="37" t="str">
        <x:v>최상</x:v>
      </x:c>
      <x:c r="E261" s="37" t="str">
        <x:v>콘텐츠·맵·미니게임</x:v>
      </x:c>
      <x:c r="F261" s="37" t="str">
        <x:v>MVP</x:v>
      </x:c>
      <x:c r="G261" s="37" t="str">
        <x:v>CNT-024;콘텐츠;MVP</x:v>
      </x:c>
      <x:c r="H261" s="37" t="str">
        <x:v>MVP 미니게임</x:v>
      </x:c>
      <x:c r="I261" s="37"/>
      <x:c r="J261" s="37" t="str">
        <x:v>CNT-024</x:v>
      </x:c>
      <x:c r="K261" s="37" t="str">
        <x:v>제시된 순서를 입력하고 중복 입력, 시간 초과, 페이즈 종료, 입력 장치 차이를 일관되게 처리한다.</x:v>
      </x:c>
      <x:c r="L261" s="37" t="str">
        <x:v>CNT-017,CNT-020,CNT-021</x:v>
      </x:c>
      <x:c r="M261" s="37" t="str">
        <x:v>TC-CNT-024-01, TC-CNT-024-02</x:v>
      </x:c>
      <x:c r="N261" s="37" t="str">
        <x:v>게임 기획서</x:v>
      </x:c>
      <x:c r="O261" s="37"/>
    </x:row>
    <x:row r="262" ht="42" customHeight="1">
      <x:c r="A262" s="37" t="str">
        <x:v>작업</x:v>
      </x:c>
      <x:c r="B262" s="37" t="str">
        <x:v>[CNT-025] 색상·형태 맞추기 미니게임</x:v>
      </x:c>
      <x:c r="C262" s="37" t="str">
        <x:v>게임 규칙, 운영 요구사항과 대상 플랫폼 제약을 충족하도록 색상·형태 맞추기 미니게임 기능을 구현하고 검증한다.</x:v>
      </x:c>
      <x:c r="D262" s="37" t="str">
        <x:v>최상</x:v>
      </x:c>
      <x:c r="E262" s="37" t="str">
        <x:v>콘텐츠·맵·미니게임</x:v>
      </x:c>
      <x:c r="F262" s="37" t="str">
        <x:v>MVP</x:v>
      </x:c>
      <x:c r="G262" s="37" t="str">
        <x:v>CNT-025;접근성;MVP</x:v>
      </x:c>
      <x:c r="H262" s="37" t="str">
        <x:v>MVP 미니게임</x:v>
      </x:c>
      <x:c r="I262" s="37"/>
      <x:c r="J262" s="37" t="str">
        <x:v>CNT-025</x:v>
      </x:c>
      <x:c r="K262" s="37" t="str">
        <x:v>색상만에 의존하지 않고 형태와 기호를 함께 사용하며 색각 보조 설정에서도 난이도와 정답이 바뀌지 않는다.</x:v>
      </x:c>
      <x:c r="L262" s="37" t="str">
        <x:v>CNT-017,CNT-020,CNT-021,SET-024</x:v>
      </x:c>
      <x:c r="M262" s="37" t="str">
        <x:v>TC-CNT-025-01, TC-CNT-025-02</x:v>
      </x:c>
      <x:c r="N262" s="37" t="str">
        <x:v>게임 기획서</x:v>
      </x:c>
      <x:c r="O262" s="37"/>
    </x:row>
    <x:row r="263" ht="42" customHeight="1">
      <x:c r="A263" s="37" t="str">
        <x:v>작업</x:v>
      </x:c>
      <x:c r="B263" s="37" t="str">
        <x:v>[CNT-026] 미니게임 소요 시간·난이도·보상 기준</x:v>
      </x:c>
      <x:c r="C263" s="37" t="str">
        <x:v>게임 규칙, 운영 요구사항과 대상 플랫폼 제약을 충족하도록 미니게임 소요 시간·난이도·보상 기준 기능을 구현하고 검증한다.</x:v>
      </x:c>
      <x:c r="D263" s="37" t="str">
        <x:v>최상</x:v>
      </x:c>
      <x:c r="E263" s="37" t="str">
        <x:v>콘텐츠·맵·미니게임</x:v>
      </x:c>
      <x:c r="F263" s="37" t="str">
        <x:v>알파</x:v>
      </x:c>
      <x:c r="G263" s="37" t="str">
        <x:v>CNT-026;밸런스;알파</x:v>
      </x:c>
      <x:c r="H263" s="37" t="str">
        <x:v>밸런스</x:v>
      </x:c>
      <x:c r="I263" s="37"/>
      <x:c r="J263" s="37" t="str">
        <x:v>CNT-026</x:v>
      </x:c>
      <x:c r="K263" s="37" t="str">
        <x:v>일반 미니게임은 목표 시간 안에 완료되고 메모 1장 보상 대비 위험과 시간이 지나치게 편중되지 않으며 실패율과 재시도율을 측정한다.</x:v>
      </x:c>
      <x:c r="L263" s="37" t="str">
        <x:v>CNT-023,CNT-024,CNT-025,BED-008</x:v>
      </x:c>
      <x:c r="M263" s="37" t="str">
        <x:v>TC-CNT-026-01, TC-CNT-026-02</x:v>
      </x:c>
      <x:c r="N263" s="37" t="str">
        <x:v>게임 기획서</x:v>
      </x:c>
      <x:c r="O263" s="37"/>
    </x:row>
    <x:row r="264" ht="42" customHeight="1">
      <x:c r="A264" s="37" t="str">
        <x:v>작업</x:v>
      </x:c>
      <x:c r="B264" s="37" t="str">
        <x:v>[CNT-027] 단말 배치·활성 과제 라운드 생성</x:v>
      </x:c>
      <x:c r="C264" s="37" t="str">
        <x:v>게임 규칙, 운영 요구사항과 대상 플랫폼 제약을 충족하도록 단말 배치·활성 과제 라운드 생성 기능을 구현하고 검증한다.</x:v>
      </x:c>
      <x:c r="D264" s="37" t="str">
        <x:v>높음</x:v>
      </x:c>
      <x:c r="E264" s="37" t="str">
        <x:v>콘텐츠·맵·미니게임</x:v>
      </x:c>
      <x:c r="F264" s="37" t="str">
        <x:v>알파</x:v>
      </x:c>
      <x:c r="G264" s="37" t="str">
        <x:v>CNT-027;밸런스;알파</x:v>
      </x:c>
      <x:c r="H264" s="37" t="str">
        <x:v>콘텐츠 순환</x:v>
      </x:c>
      <x:c r="I264" s="37"/>
      <x:c r="J264" s="37" t="str">
        <x:v>CNT-027</x:v>
      </x:c>
      <x:c r="K264" s="37" t="str">
        <x:v>참가 인원, 맵, 필요 총수에 맞춰 단말을 선택하고 같은 방 편중, 도달 불가, 같은 문제의 과도한 연속 출현을 방지한다.</x:v>
      </x:c>
      <x:c r="L264" s="37" t="str">
        <x:v>CNT-009,CNT-016,CNT-026</x:v>
      </x:c>
      <x:c r="M264" s="37" t="str">
        <x:v>TC-CNT-027-01</x:v>
      </x:c>
      <x:c r="N264" s="37" t="str">
        <x:v>게임 기획서</x:v>
      </x:c>
      <x:c r="O264" s="37"/>
    </x:row>
    <x:row r="265" ht="42" customHeight="1">
      <x:c r="A265" s="37" t="str">
        <x:v>작업</x:v>
      </x:c>
      <x:c r="B265" s="37" t="str">
        <x:v>[CNT-028] 맵·미니게임·문구 버전·해시 검증</x:v>
      </x:c>
      <x:c r="C265" s="37" t="str">
        <x:v>게임 규칙, 운영 요구사항과 대상 플랫폼 제약을 충족하도록 맵·미니게임·문구 버전·해시 검증 기능을 구현하고 검증한다.</x:v>
      </x:c>
      <x:c r="D265" s="37" t="str">
        <x:v>최상</x:v>
      </x:c>
      <x:c r="E265" s="37" t="str">
        <x:v>콘텐츠·맵·미니게임</x:v>
      </x:c>
      <x:c r="F265" s="37" t="str">
        <x:v>MVP</x:v>
      </x:c>
      <x:c r="G265" s="37" t="str">
        <x:v>CNT-028;호환성;MVP</x:v>
      </x:c>
      <x:c r="H265" s="37" t="str">
        <x:v>호환성</x:v>
      </x:c>
      <x:c r="I265" s="37"/>
      <x:c r="J265" s="37" t="str">
        <x:v>CNT-028</x:v>
      </x:c>
      <x:c r="K265" s="37" t="str">
        <x:v>매치 시작 전에 서버 요구 버전과 클라이언트 에셋 해시를 비교하고 불일치하면 시작하지 않으며 갱신 또는 재다운로드를 안내한다.</x:v>
      </x:c>
      <x:c r="L265" s="37" t="str">
        <x:v>CNT-016,ONL-015</x:v>
      </x:c>
      <x:c r="M265" s="37" t="str">
        <x:v>TC-CNT-028-01, TC-CNT-028-02</x:v>
      </x:c>
      <x:c r="N265" s="37" t="str">
        <x:v>게임 기획서</x:v>
      </x:c>
      <x:c r="O265" s="37"/>
    </x:row>
    <x:row r="266" ht="42" customHeight="1">
      <x:c r="A266" s="37" t="str">
        <x:v>작업</x:v>
      </x:c>
      <x:c r="B266" s="37" t="str">
        <x:v>[CNT-029] 사진 메모 카메라·촬영 지점</x:v>
      </x:c>
      <x:c r="C266" s="37" t="str">
        <x:v>게임 규칙, 운영 요구사항과 대상 플랫폼 제약을 충족하도록 사진 메모 카메라·촬영 지점 기능을 구현하고 검증한다.</x:v>
      </x:c>
      <x:c r="D266" s="37" t="str">
        <x:v>중간</x:v>
      </x:c>
      <x:c r="E266" s="37" t="str">
        <x:v>콘텐츠·맵·미니게임</x:v>
      </x:c>
      <x:c r="F266" s="37" t="str">
        <x:v>출시 후</x:v>
      </x:c>
      <x:c r="G266" s="37" t="str">
        <x:v>CNT-029;확장;출시 후</x:v>
      </x:c>
      <x:c r="H266" s="37" t="str">
        <x:v>확장</x:v>
      </x:c>
      <x:c r="I266" s="37"/>
      <x:c r="J266" s="37" t="str">
        <x:v>CNT-029</x:v>
      </x:c>
      <x:c r="K266" s="37" t="str">
        <x:v>무작위 출현, 획득, 2회 사용, 좁은 화각, 흐림, 대상 거리 규칙을 맵·아이템 데이터로 정의해 확정 증거가 지나치게 강해지지 않도록 한다.</x:v>
      </x:c>
      <x:c r="L266" s="37" t="str">
        <x:v>CNT-002,IGM-034,UIX-030</x:v>
      </x:c>
      <x:c r="M266" s="37" t="str">
        <x:v>TC-CNT-029-01</x:v>
      </x:c>
      <x:c r="N266" s="37" t="str">
        <x:v>게임 기획서</x:v>
      </x:c>
      <x:c r="O266" s="37"/>
    </x:row>
    <x:row r="267" ht="42" customHeight="1">
      <x:c r="A267" s="37" t="str">
        <x:v>작업</x:v>
      </x:c>
      <x:c r="B267" s="37" t="str">
        <x:v>[CNT-030] 2인 협동 미니게임 템플릿</x:v>
      </x:c>
      <x:c r="C267" s="37" t="str">
        <x:v>게임 규칙, 운영 요구사항과 대상 플랫폼 제약을 충족하도록 2인 협동 미니게임 템플릿 기능을 구현하고 검증한다.</x:v>
      </x:c>
      <x:c r="D267" s="37" t="str">
        <x:v>중간</x:v>
      </x:c>
      <x:c r="E267" s="37" t="str">
        <x:v>콘텐츠·맵·미니게임</x:v>
      </x:c>
      <x:c r="F267" s="37" t="str">
        <x:v>출시 후</x:v>
      </x:c>
      <x:c r="G267" s="37" t="str">
        <x:v>CNT-030;확장;출시 후</x:v>
      </x:c>
      <x:c r="H267" s="37" t="str">
        <x:v>확장</x:v>
      </x:c>
      <x:c r="I267" s="37"/>
      <x:c r="J267" s="37" t="str">
        <x:v>CNT-030</x:v>
      </x:c>
      <x:c r="K267" s="37" t="str">
        <x:v>참가 대기, 동기화 시작, 역할별 UI, 동시 입력, 한쪽 이탈, 성공 시 양쪽 보상을 공통화하고 마피아도 참가할 수 있다.</x:v>
      </x:c>
      <x:c r="L267" s="37" t="str">
        <x:v>CNT-017,CNT-020,IGM-036</x:v>
      </x:c>
      <x:c r="M267" s="37" t="str">
        <x:v>TC-CNT-030-01</x:v>
      </x:c>
      <x:c r="N267" s="37" t="str">
        <x:v>게임 기획서</x:v>
      </x:c>
      <x:c r="O267" s="37"/>
    </x:row>
    <x:row r="268" ht="42" customHeight="1">
      <x:c r="A268" s="37" t="str">
        <x:v>작업</x:v>
      </x:c>
      <x:c r="B268" s="37" t="str">
        <x:v>[CNT-031] 미니게임·맵 행동 분석 이벤트</x:v>
      </x:c>
      <x:c r="C268" s="37" t="str">
        <x:v>게임 규칙, 운영 요구사항과 대상 플랫폼 제약을 충족하도록 미니게임·맵 행동 분석 이벤트 기능을 구현하고 검증한다.</x:v>
      </x:c>
      <x:c r="D268" s="37" t="str">
        <x:v>높음</x:v>
      </x:c>
      <x:c r="E268" s="37" t="str">
        <x:v>콘텐츠·맵·미니게임</x:v>
      </x:c>
      <x:c r="F268" s="37" t="str">
        <x:v>알파</x:v>
      </x:c>
      <x:c r="G268" s="37" t="str">
        <x:v>CNT-031;분석;알파</x:v>
      </x:c>
      <x:c r="H268" s="37" t="str">
        <x:v>분석</x:v>
      </x:c>
      <x:c r="I268" s="37"/>
      <x:c r="J268" s="37" t="str">
        <x:v>CNT-031</x:v>
      </x:c>
      <x:c r="K268" s="37" t="str">
        <x:v>시작, 성공, 실패, 시간, 위치, 참가자, 보상, 이탈을 익명화해 수집하고 역할·승률 상관 분석은 접근 권한으로 제한한다.</x:v>
      </x:c>
      <x:c r="L268" s="37" t="str">
        <x:v>CNT-020,BED-008</x:v>
      </x:c>
      <x:c r="M268" s="37" t="str">
        <x:v>TC-CNT-031-01</x:v>
      </x:c>
      <x:c r="N268" s="37" t="str">
        <x:v>게임 기획서</x:v>
      </x:c>
      <x:c r="O268" s="37"/>
    </x:row>
    <x:row r="269" ht="42" customHeight="1">
      <x:c r="A269" s="37" t="str">
        <x:v>작업</x:v>
      </x:c>
      <x:c r="B269" s="37" t="str">
        <x:v>[CNT-032] 방 이름·미니게임 설명·문구 현지화</x:v>
      </x:c>
      <x:c r="C269" s="37" t="str">
        <x:v>게임 규칙, 운영 요구사항과 대상 플랫폼 제약을 충족하도록 방 이름·미니게임 설명·문구 현지화 기능을 구현하고 검증한다.</x:v>
      </x:c>
      <x:c r="D269" s="37" t="str">
        <x:v>높음</x:v>
      </x:c>
      <x:c r="E269" s="37" t="str">
        <x:v>콘텐츠·맵·미니게임</x:v>
      </x:c>
      <x:c r="F269" s="37" t="str">
        <x:v>베타</x:v>
      </x:c>
      <x:c r="G269" s="37" t="str">
        <x:v>CNT-032;현지화;베타</x:v>
      </x:c>
      <x:c r="H269" s="37" t="str">
        <x:v>현지화</x:v>
      </x:c>
      <x:c r="I269" s="37"/>
      <x:c r="J269" s="37" t="str">
        <x:v>CNT-032</x:v>
      </x:c>
      <x:c r="K269" s="37" t="str">
        <x:v>문맥, 글자 수, 입력 아이콘, 도형 대체, 언어 대체 처리를 정의하고 언어 변경으로 문제 데이터의 정답이 달라지지 않는다.</x:v>
      </x:c>
      <x:c r="L269" s="37" t="str">
        <x:v>CNT-016,SET-004</x:v>
      </x:c>
      <x:c r="M269" s="37" t="str">
        <x:v>TC-CNT-032-01</x:v>
      </x:c>
      <x:c r="N269" s="37" t="str">
        <x:v>게임 기획서</x:v>
      </x:c>
      <x:c r="O269" s="37"/>
    </x:row>
    <x:row r="270" ht="42" customHeight="1">
      <x:c r="A270" s="37" t="str">
        <x:v>작업</x:v>
      </x:c>
      <x:c r="B270" s="37" t="str">
        <x:v>[CNT-033] 튜토리얼 연습 공간·모의 메모</x:v>
      </x:c>
      <x:c r="C270" s="37" t="str">
        <x:v>게임 규칙, 운영 요구사항과 대상 플랫폼 제약을 충족하도록 튜토리얼 연습 공간·모의 메모 기능을 구현하고 검증한다.</x:v>
      </x:c>
      <x:c r="D270" s="37" t="str">
        <x:v>최상</x:v>
      </x:c>
      <x:c r="E270" s="37" t="str">
        <x:v>콘텐츠·맵·미니게임</x:v>
      </x:c>
      <x:c r="F270" s="37" t="str">
        <x:v>알파</x:v>
      </x:c>
      <x:c r="G270" s="37" t="str">
        <x:v>CNT-033;이해도;알파</x:v>
      </x:c>
      <x:c r="H270" s="37" t="str">
        <x:v>온보딩</x:v>
      </x:c>
      <x:c r="I270" s="37"/>
      <x:c r="J270" s="37" t="str">
        <x:v>CNT-033</x:v>
      </x:c>
      <x:c r="K270" s="37" t="str">
        <x:v>다른 플레이어 없이 이동, 타인 등 관찰, 메모 작성, 등 뒤 부착, 미니게임, 밤 투표를 순서대로 연습할 수 있다.</x:v>
      </x:c>
      <x:c r="L270" s="37" t="str">
        <x:v>UIX-027,IGM-012,IGM-016,CNT-023</x:v>
      </x:c>
      <x:c r="M270" s="37" t="str">
        <x:v>TC-CNT-033-01, TC-CNT-033-02</x:v>
      </x:c>
      <x:c r="N270" s="37" t="str">
        <x:v>게임 기획서</x:v>
      </x:c>
      <x:c r="O270" s="37"/>
    </x:row>
    <x:row r="271" ht="42" customHeight="1">
      <x:c r="A271" s="37" t="str">
        <x:v>작업</x:v>
      </x:c>
      <x:c r="B271" s="37" t="str">
        <x:v>[CNT-034] 맵·미니게임 접근성 리뷰</x:v>
      </x:c>
      <x:c r="C271" s="37" t="str">
        <x:v>게임 규칙, 운영 요구사항과 대상 플랫폼 제약을 충족하도록 맵·미니게임 접근성 리뷰 기능을 구현하고 검증한다.</x:v>
      </x:c>
      <x:c r="D271" s="37" t="str">
        <x:v>최상</x:v>
      </x:c>
      <x:c r="E271" s="37" t="str">
        <x:v>콘텐츠·맵·미니게임</x:v>
      </x:c>
      <x:c r="F271" s="37" t="str">
        <x:v>베타</x:v>
      </x:c>
      <x:c r="G271" s="37" t="str">
        <x:v>CNT-034;접근성;베타</x:v>
      </x:c>
      <x:c r="H271" s="37" t="str">
        <x:v>접근성</x:v>
      </x:c>
      <x:c r="I271" s="37"/>
      <x:c r="J271" s="37" t="str">
        <x:v>CNT-034</x:v>
      </x:c>
      <x:c r="K271" s="37" t="str">
        <x:v>색상, 점멸, 정밀 조작, 시간 제한, 소리 의존, 글자 크기, 운동 부담을 검토하고 대체 정보와 입력 방식을 구현한다.</x:v>
      </x:c>
      <x:c r="L271" s="37" t="str">
        <x:v>CNT-011,CNT-021,CNT-025,SET-023,SET-024,SET-025</x:v>
      </x:c>
      <x:c r="M271" s="37" t="str">
        <x:v>TC-CNT-034-01, TC-CNT-034-02</x:v>
      </x:c>
      <x:c r="N271" s="37" t="str">
        <x:v>게임 기획서</x:v>
      </x:c>
      <x:c r="O271" s="37"/>
    </x:row>
    <x:row r="272" ht="42" customHeight="1">
      <x:c r="A272" s="37" t="str">
        <x:v>작업</x:v>
      </x:c>
      <x:c r="B272" s="37" t="str">
        <x:v>[CNT-035] 추가 맵 제작·호환성 게이트</x:v>
      </x:c>
      <x:c r="C272" s="37" t="str">
        <x:v>게임 규칙, 운영 요구사항과 대상 플랫폼 제약을 충족하도록 추가 맵 제작·호환성 게이트 기능을 구현하고 검증한다.</x:v>
      </x:c>
      <x:c r="D272" s="37" t="str">
        <x:v>낮음</x:v>
      </x:c>
      <x:c r="E272" s="37" t="str">
        <x:v>콘텐츠·맵·미니게임</x:v>
      </x:c>
      <x:c r="F272" s="37" t="str">
        <x:v>출시 후</x:v>
      </x:c>
      <x:c r="G272" s="37" t="str">
        <x:v>CNT-035;확장;출시 후</x:v>
      </x:c>
      <x:c r="H272" s="37" t="str">
        <x:v>출시 후</x:v>
      </x:c>
      <x:c r="I272" s="37"/>
      <x:c r="J272" s="37" t="str">
        <x:v>CNT-035</x:v>
      </x:c>
      <x:c r="K272" s="37" t="str">
        <x:v>새 맵은 이동 시간, 대화 범위, 중앙 관찰, 부착 여유 공간, 단말 배치, 성능, 판독성 게이트를 모두 통과한다.</x:v>
      </x:c>
      <x:c r="L272" s="37" t="str">
        <x:v>CNT-001,CNT-015,CNT-034</x:v>
      </x:c>
      <x:c r="M272" s="37" t="str">
        <x:v>TC-CNT-035-01</x:v>
      </x:c>
      <x:c r="N272" s="37" t="str">
        <x:v>게임 기획서</x:v>
      </x:c>
      <x:c r="O272" s="37"/>
    </x:row>
    <x:row r="273" ht="42" customHeight="1">
      <x:c r="A273" s="37" t="str">
        <x:v>작업</x:v>
      </x:c>
      <x:c r="B273" s="37" t="str">
        <x:v>[QAR-001] 제품 테스트 전략·책임 분담</x:v>
      </x:c>
      <x:c r="C273" s="37" t="str">
        <x:v>게임 규칙, 운영 요구사항과 대상 플랫폼 제약을 충족하도록 제품 테스트 전략·책임 분담 기능을 구현하고 검증한다.</x:v>
      </x:c>
      <x:c r="D273" s="37" t="str">
        <x:v>최상</x:v>
      </x:c>
      <x:c r="E273" s="37" t="str">
        <x:v>QA·릴리스·운영</x:v>
      </x:c>
      <x:c r="F273" s="37" t="str">
        <x:v>MVP</x:v>
      </x:c>
      <x:c r="G273" s="37" t="str">
        <x:v>QAR-001;QA 기반;MVP</x:v>
      </x:c>
      <x:c r="H273" s="37" t="str">
        <x:v>QA 관리</x:v>
      </x:c>
      <x:c r="I273" s="37"/>
      <x:c r="J273" s="37" t="str">
        <x:v>QAR-001</x:v>
      </x:c>
      <x:c r="K273" s="37" t="str">
        <x:v>기능, 통합, 네트워크, 보안, 성능, 호환성, 접근성, 밸런스, 운영 시험의 범위, 담당, 시작 조건, 종료 조건을 정의한다.</x:v>
      </x:c>
      <x:c r="L273" s="37"/>
      <x:c r="M273" s="37" t="str">
        <x:v>TC-QAR-001-01, TC-QAR-001-02</x:v>
      </x:c>
      <x:c r="N273" s="37" t="str">
        <x:v>게임 기획서</x:v>
      </x:c>
      <x:c r="O273" s="37"/>
    </x:row>
    <x:row r="274" ht="42" customHeight="1">
      <x:c r="A274" s="37" t="str">
        <x:v>작업</x:v>
      </x:c>
      <x:c r="B274" s="37" t="str">
        <x:v>[QAR-002] 개발·QA·스테이징·운영 환경</x:v>
      </x:c>
      <x:c r="C274" s="37" t="str">
        <x:v>게임 규칙, 운영 요구사항과 대상 플랫폼 제약을 충족하도록 개발·QA·스테이징·운영 환경 기능을 구현하고 검증한다.</x:v>
      </x:c>
      <x:c r="D274" s="37" t="str">
        <x:v>최상</x:v>
      </x:c>
      <x:c r="E274" s="37" t="str">
        <x:v>QA·릴리스·운영</x:v>
      </x:c>
      <x:c r="F274" s="37" t="str">
        <x:v>알파</x:v>
      </x:c>
      <x:c r="G274" s="37" t="str">
        <x:v>QAR-002;QA 기반;알파</x:v>
      </x:c>
      <x:c r="H274" s="37" t="str">
        <x:v>QA 관리</x:v>
      </x:c>
      <x:c r="I274" s="37"/>
      <x:c r="J274" s="37" t="str">
        <x:v>QAR-002</x:v>
      </x:c>
      <x:c r="K274" s="37" t="str">
        <x:v>각 환경의 서비스, 설정, 데이터, 접근 권한, 초기화 절차, 버전 대응 관계를 문서화하고 운영 데이터를 QA 환경에 반입하지 않는다.</x:v>
      </x:c>
      <x:c r="L274" s="37" t="str">
        <x:v>BED-028</x:v>
      </x:c>
      <x:c r="M274" s="37" t="str">
        <x:v>TC-QAR-002-01, TC-QAR-002-02</x:v>
      </x:c>
      <x:c r="N274" s="37" t="str">
        <x:v>게임 기획서</x:v>
      </x:c>
      <x:c r="O274" s="37"/>
    </x:row>
    <x:row r="275" ht="42" customHeight="1">
      <x:c r="A275" s="37" t="str">
        <x:v>작업</x:v>
      </x:c>
      <x:c r="B275" s="37" t="str">
        <x:v>[QAR-003] 빌드 수용 스모크 테스트</x:v>
      </x:c>
      <x:c r="C275" s="37" t="str">
        <x:v>게임 규칙, 운영 요구사항과 대상 플랫폼 제약을 충족하도록 빌드 수용 스모크 테스트 기능을 구현하고 검증한다.</x:v>
      </x:c>
      <x:c r="D275" s="37" t="str">
        <x:v>최상</x:v>
      </x:c>
      <x:c r="E275" s="37" t="str">
        <x:v>QA·릴리스·운영</x:v>
      </x:c>
      <x:c r="F275" s="37" t="str">
        <x:v>MVP</x:v>
      </x:c>
      <x:c r="G275" s="37" t="str">
        <x:v>QAR-003;빌드;MVP</x:v>
      </x:c>
      <x:c r="H275" s="37" t="str">
        <x:v>빌드 검증</x:v>
      </x:c>
      <x:c r="I275" s="37"/>
      <x:c r="J275" s="37" t="str">
        <x:v>QAR-003</x:v>
      </x:c>
      <x:c r="K275" s="37" t="str">
        <x:v>지원 플랫폼의 매 빌드에서 실행, 인증, 룸 생성·참가, 시작, 낮, 메모, 밤, 투표, 최종 재판, 결과, 종료를 확인한다.</x:v>
      </x:c>
      <x:c r="L275" s="37" t="str">
        <x:v>QAR-001</x:v>
      </x:c>
      <x:c r="M275" s="37" t="str">
        <x:v>TC-QAR-003-01, TC-QAR-003-02</x:v>
      </x:c>
      <x:c r="N275" s="37" t="str">
        <x:v>게임 기획서</x:v>
      </x:c>
      <x:c r="O275" s="37"/>
    </x:row>
    <x:row r="276" ht="42" customHeight="1">
      <x:c r="A276" s="37" t="str">
        <x:v>작업</x:v>
      </x:c>
      <x:c r="B276" s="37" t="str">
        <x:v>[QAR-004] 핵심 규칙 기능 시험</x:v>
      </x:c>
      <x:c r="C276" s="37" t="str">
        <x:v>게임 규칙, 운영 요구사항과 대상 플랫폼 제약을 충족하도록 핵심 규칙 기능 시험 기능을 구현하고 검증한다.</x:v>
      </x:c>
      <x:c r="D276" s="37" t="str">
        <x:v>최상</x:v>
      </x:c>
      <x:c r="E276" s="37" t="str">
        <x:v>QA·릴리스·운영</x:v>
      </x:c>
      <x:c r="F276" s="37" t="str">
        <x:v>MVP</x:v>
      </x:c>
      <x:c r="G276" s="37" t="str">
        <x:v>QAR-004;핵심 규칙;MVP</x:v>
      </x:c>
      <x:c r="H276" s="37" t="str">
        <x:v>기능 QA</x:v>
      </x:c>
      <x:c r="I276" s="37"/>
      <x:c r="J276" s="37" t="str">
        <x:v>QAR-004</x:v>
      </x:c>
      <x:c r="K276" s="37" t="str">
        <x:v>자신의 등 메모 비공개, 색상 위조, 밤 대화 금지, 강제 투표, 최종 재판, 승패 조건을 정상, 오류, 경계 조건에서 검증한다.</x:v>
      </x:c>
      <x:c r="L276" s="37" t="str">
        <x:v>IGM-019,IGM-014,IGM-023,IGM-031</x:v>
      </x:c>
      <x:c r="M276" s="37" t="str">
        <x:v>TC-QAR-004-01, TC-QAR-004-02</x:v>
      </x:c>
      <x:c r="N276" s="37" t="str">
        <x:v>게임 기획서</x:v>
      </x:c>
      <x:c r="O276" s="37"/>
    </x:row>
    <x:row r="277" ht="42" customHeight="1">
      <x:c r="A277" s="37" t="str">
        <x:v>작업</x:v>
      </x:c>
      <x:c r="B277" s="37" t="str">
        <x:v>[QAR-005] 서버 권한·비정상 요청 시험</x:v>
      </x:c>
      <x:c r="C277" s="37" t="str">
        <x:v>게임 규칙, 운영 요구사항과 대상 플랫폼 제약을 충족하도록 서버 권한·비정상 요청 시험 기능을 구현하고 검증한다.</x:v>
      </x:c>
      <x:c r="D277" s="37" t="str">
        <x:v>최상</x:v>
      </x:c>
      <x:c r="E277" s="37" t="str">
        <x:v>QA·릴리스·운영</x:v>
      </x:c>
      <x:c r="F277" s="37" t="str">
        <x:v>알파</x:v>
      </x:c>
      <x:c r="G277" s="37" t="str">
        <x:v>QAR-005;보안;알파</x:v>
      </x:c>
      <x:c r="H277" s="37" t="str">
        <x:v>보안 QA</x:v>
      </x:c>
      <x:c r="I277" s="37"/>
      <x:c r="J277" s="37" t="str">
        <x:v>QAR-005</x:v>
      </x:c>
      <x:c r="K277" s="37" t="str">
        <x:v>역할 변조, 거리 밖 부착, 위조 횟수 초과, 보상 중복, 투표 변조, 설정 변경을 시도하고 서버가 거부하며 기록하는지 확인한다.</x:v>
      </x:c>
      <x:c r="L277" s="37" t="str">
        <x:v>NET-012,NET-026</x:v>
      </x:c>
      <x:c r="M277" s="37" t="str">
        <x:v>TC-QAR-005-01, TC-QAR-005-02</x:v>
      </x:c>
      <x:c r="N277" s="37" t="str">
        <x:v>게임 기획서</x:v>
      </x:c>
      <x:c r="O277" s="37"/>
    </x:row>
    <x:row r="278" ht="42" customHeight="1">
      <x:c r="A278" s="37" t="str">
        <x:v>작업</x:v>
      </x:c>
      <x:c r="B278" s="37" t="str">
        <x:v>[QAR-006] 비공개 정보 유출 시험</x:v>
      </x:c>
      <x:c r="C278" s="37" t="str">
        <x:v>게임 규칙, 운영 요구사항과 대상 플랫폼 제약을 충족하도록 비공개 정보 유출 시험 기능을 구현하고 검증한다.</x:v>
      </x:c>
      <x:c r="D278" s="37" t="str">
        <x:v>최상</x:v>
      </x:c>
      <x:c r="E278" s="37" t="str">
        <x:v>QA·릴리스·운영</x:v>
      </x:c>
      <x:c r="F278" s="37" t="str">
        <x:v>알파</x:v>
      </x:c>
      <x:c r="G278" s="37" t="str">
        <x:v>QAR-006;정보 비공개;알파</x:v>
      </x:c>
      <x:c r="H278" s="37" t="str">
        <x:v>보안 QA</x:v>
      </x:c>
      <x:c r="I278" s="37"/>
      <x:c r="J278" s="37" t="str">
        <x:v>QAR-006</x:v>
      </x:c>
      <x:c r="K278" s="37" t="str">
        <x:v>본인 등 메모, 실제 작성자, 위조 여부, 다른 플레이어 역할, 중간 투표 결과, 비밀 음성이 네트워크, 로그, UI, 재접속, 크래시 덤프에서 노출되지 않는다.</x:v>
      </x:c>
      <x:c r="L278" s="37" t="str">
        <x:v>NET-017,NET-018,BED-023,AUD-020</x:v>
      </x:c>
      <x:c r="M278" s="37" t="str">
        <x:v>TC-QAR-006-01, TC-QAR-006-02</x:v>
      </x:c>
      <x:c r="N278" s="37" t="str">
        <x:v>게임 기획서</x:v>
      </x:c>
      <x:c r="O278" s="37"/>
    </x:row>
    <x:row r="279" ht="42" customHeight="1">
      <x:c r="A279" s="37" t="str">
        <x:v>작업</x:v>
      </x:c>
      <x:c r="B279" s="37" t="str">
        <x:v>[QAR-007] 지연·손실·지터·단시간 단절 시험 매트릭스</x:v>
      </x:c>
      <x:c r="C279" s="37" t="str">
        <x:v>게임 규칙, 운영 요구사항과 대상 플랫폼 제약을 충족하도록 지연·손실·지터·단시간 단절 시험 매트릭스 기능을 구현하고 검증한다.</x:v>
      </x:c>
      <x:c r="D279" s="37" t="str">
        <x:v>최상</x:v>
      </x:c>
      <x:c r="E279" s="37" t="str">
        <x:v>QA·릴리스·운영</x:v>
      </x:c>
      <x:c r="F279" s="37" t="str">
        <x:v>알파</x:v>
      </x:c>
      <x:c r="G279" s="37" t="str">
        <x:v>QAR-007;네트워크;알파</x:v>
      </x:c>
      <x:c r="H279" s="37" t="str">
        <x:v>네트워크 QA</x:v>
      </x:c>
      <x:c r="I279" s="37"/>
      <x:c r="J279" s="37" t="str">
        <x:v>QAR-007</x:v>
      </x:c>
      <x:c r="K279" s="37" t="str">
        <x:v>정의된 네트워크 프로파일에서 페이즈, 메모, 미니게임, 투표, 음성을 반복하고 중복, 누락, 상태 분기, 조작 불능이 없는지 검증한다.</x:v>
      </x:c>
      <x:c r="L279" s="37" t="str">
        <x:v>NET-024</x:v>
      </x:c>
      <x:c r="M279" s="37" t="str">
        <x:v>TC-QAR-007-01, TC-QAR-007-02</x:v>
      </x:c>
      <x:c r="N279" s="37" t="str">
        <x:v>게임 기획서</x:v>
      </x:c>
      <x:c r="O279" s="37"/>
    </x:row>
    <x:row r="280" ht="42" customHeight="1">
      <x:c r="A280" s="37" t="str">
        <x:v>작업</x:v>
      </x:c>
      <x:c r="B280" s="37" t="str">
        <x:v>[QAR-008] 모든 페이즈 재접속 시험</x:v>
      </x:c>
      <x:c r="C280" s="37" t="str">
        <x:v>게임 규칙, 운영 요구사항과 대상 플랫폼 제약을 충족하도록 모든 페이즈 재접속 시험 기능을 구현하고 검증한다.</x:v>
      </x:c>
      <x:c r="D280" s="37" t="str">
        <x:v>최상</x:v>
      </x:c>
      <x:c r="E280" s="37" t="str">
        <x:v>QA·릴리스·운영</x:v>
      </x:c>
      <x:c r="F280" s="37" t="str">
        <x:v>알파</x:v>
      </x:c>
      <x:c r="G280" s="37" t="str">
        <x:v>QAR-008;안정성;알파</x:v>
      </x:c>
      <x:c r="H280" s="37" t="str">
        <x:v>네트워크 QA</x:v>
      </x:c>
      <x:c r="I280" s="37"/>
      <x:c r="J280" s="37" t="str">
        <x:v>QAR-008</x:v>
      </x:c>
      <x:c r="K280" s="37" t="str">
        <x:v>로비, 역할 공개, 낮 부착 중, 밤 관찰, 투표 완료, 최종 발언, 결과 저장 중에 연결을 끊고 복귀해 상태와 비공개 정보가 정확히 복원되는지 확인한다.</x:v>
      </x:c>
      <x:c r="L280" s="37" t="str">
        <x:v>IGM-033,ONL-017,NET-019</x:v>
      </x:c>
      <x:c r="M280" s="37" t="str">
        <x:v>TC-QAR-008-01, TC-QAR-008-02</x:v>
      </x:c>
      <x:c r="N280" s="37" t="str">
        <x:v>게임 기획서</x:v>
      </x:c>
      <x:c r="O280" s="37"/>
    </x:row>
    <x:row r="281" ht="42" customHeight="1">
      <x:c r="A281" s="37" t="str">
        <x:v>작업</x:v>
      </x:c>
      <x:c r="B281" s="37" t="str">
        <x:v>[QAR-009] 전체 화면·입력·해상도 UI 시험</x:v>
      </x:c>
      <x:c r="C281" s="37" t="str">
        <x:v>게임 규칙, 운영 요구사항과 대상 플랫폼 제약을 충족하도록 전체 화면·입력·해상도 UI 시험 기능을 구현하고 검증한다.</x:v>
      </x:c>
      <x:c r="D281" s="37" t="str">
        <x:v>최상</x:v>
      </x:c>
      <x:c r="E281" s="37" t="str">
        <x:v>QA·릴리스·운영</x:v>
      </x:c>
      <x:c r="F281" s="37" t="str">
        <x:v>베타</x:v>
      </x:c>
      <x:c r="G281" s="37" t="str">
        <x:v>QAR-009;UX;베타</x:v>
      </x:c>
      <x:c r="H281" s="37" t="str">
        <x:v>UX QA</x:v>
      </x:c>
      <x:c r="I281" s="37"/>
      <x:c r="J281" s="37" t="str">
        <x:v>QAR-009</x:v>
      </x:c>
      <x:c r="K281" s="37" t="str">
        <x:v>키보드·마우스, 게임패드, 16:9·16:10·21:9, 세이프 영역, 최소·최대 텍스트 배율에서 주요 화면이 잘리지 않고 조작 가능하다.</x:v>
      </x:c>
      <x:c r="L281" s="37" t="str">
        <x:v>UIX-029,SET-006</x:v>
      </x:c>
      <x:c r="M281" s="37" t="str">
        <x:v>TC-QAR-009-01, TC-QAR-009-02</x:v>
      </x:c>
      <x:c r="N281" s="37" t="str">
        <x:v>게임 기획서</x:v>
      </x:c>
      <x:c r="O281" s="37"/>
    </x:row>
    <x:row r="282" ht="42" customHeight="1">
      <x:c r="A282" s="37" t="str">
        <x:v>작업</x:v>
      </x:c>
      <x:c r="B282" s="37" t="str">
        <x:v>[QAR-010] 색각·자막·텍스트·저자극·입력 대체 시험</x:v>
      </x:c>
      <x:c r="C282" s="37" t="str">
        <x:v>게임 규칙, 운영 요구사항과 대상 플랫폼 제약을 충족하도록 색각·자막·텍스트·저자극·입력 대체 시험 기능을 구현하고 검증한다.</x:v>
      </x:c>
      <x:c r="D282" s="37" t="str">
        <x:v>최상</x:v>
      </x:c>
      <x:c r="E282" s="37" t="str">
        <x:v>QA·릴리스·운영</x:v>
      </x:c>
      <x:c r="F282" s="37" t="str">
        <x:v>베타</x:v>
      </x:c>
      <x:c r="G282" s="37" t="str">
        <x:v>QAR-010;접근성;베타</x:v>
      </x:c>
      <x:c r="H282" s="37" t="str">
        <x:v>접근성 QA</x:v>
      </x:c>
      <x:c r="I282" s="37"/>
      <x:c r="J282" s="37" t="str">
        <x:v>QAR-010</x:v>
      </x:c>
      <x:c r="K282" s="37" t="str">
        <x:v>중요 정보가 색상이나 소리에만 의존하지 않고 텍스트 배율, 자막, 패턴, 길게 누르기 대체, 저자극 설정이 주요 흐름에서 작동한다.</x:v>
      </x:c>
      <x:c r="L282" s="37" t="str">
        <x:v>SET-023,SET-024,SET-025,UIX-028,AUD-015</x:v>
      </x:c>
      <x:c r="M282" s="37" t="str">
        <x:v>TC-QAR-010-01, TC-QAR-010-02</x:v>
      </x:c>
      <x:c r="N282" s="37" t="str">
        <x:v>게임 기획서</x:v>
      </x:c>
      <x:c r="O282" s="37"/>
    </x:row>
    <x:row r="283" ht="42" customHeight="1">
      <x:c r="A283" s="37" t="str">
        <x:v>작업</x:v>
      </x:c>
      <x:c r="B283" s="37" t="str">
        <x:v>[QAR-011] 한국어·영어·의사 현지화 검증</x:v>
      </x:c>
      <x:c r="C283" s="37" t="str">
        <x:v>게임 규칙, 운영 요구사항과 대상 플랫폼 제약을 충족하도록 한국어·영어·의사 현지화 검증 기능을 구현하고 검증한다.</x:v>
      </x:c>
      <x:c r="D283" s="37" t="str">
        <x:v>높음</x:v>
      </x:c>
      <x:c r="E283" s="37" t="str">
        <x:v>QA·릴리스·운영</x:v>
      </x:c>
      <x:c r="F283" s="37" t="str">
        <x:v>베타</x:v>
      </x:c>
      <x:c r="G283" s="37" t="str">
        <x:v>QAR-011;현지화;베타</x:v>
      </x:c>
      <x:c r="H283" s="37" t="str">
        <x:v>현지화 QA</x:v>
      </x:c>
      <x:c r="I283" s="37"/>
      <x:c r="J283" s="37" t="str">
        <x:v>QAR-011</x:v>
      </x:c>
      <x:c r="K283" s="37" t="str">
        <x:v>누락 키, 문자 깨짐, 잘림, 줄바꿈, 문맥, 입력 아이콘, 금지 문자, 가변 길이, 음성·자막 동기화를 검증한다.</x:v>
      </x:c>
      <x:c r="L283" s="37" t="str">
        <x:v>SET-004,UIX-029,CNT-032,AUD-021</x:v>
      </x:c>
      <x:c r="M283" s="37" t="str">
        <x:v>TC-QAR-011-01</x:v>
      </x:c>
      <x:c r="N283" s="37" t="str">
        <x:v>게임 기획서</x:v>
      </x:c>
      <x:c r="O283" s="37"/>
    </x:row>
    <x:row r="284" ht="42" customHeight="1">
      <x:c r="A284" s="37" t="str">
        <x:v>작업</x:v>
      </x:c>
      <x:c r="B284" s="37" t="str">
        <x:v>[QAR-012] 근거리·차폐·밤 음소거·최종 발언 음성 시험</x:v>
      </x:c>
      <x:c r="C284" s="37" t="str">
        <x:v>게임 규칙, 운영 요구사항과 대상 플랫폼 제약을 충족하도록 근거리·차폐·밤 음소거·최종 발언 음성 시험 기능을 구현하고 검증한다.</x:v>
      </x:c>
      <x:c r="D284" s="37" t="str">
        <x:v>최상</x:v>
      </x:c>
      <x:c r="E284" s="37" t="str">
        <x:v>QA·릴리스·운영</x:v>
      </x:c>
      <x:c r="F284" s="37" t="str">
        <x:v>베타</x:v>
      </x:c>
      <x:c r="G284" s="37" t="str">
        <x:v>QAR-012;음성;베타</x:v>
      </x:c>
      <x:c r="H284" s="37" t="str">
        <x:v>음성 QA</x:v>
      </x:c>
      <x:c r="I284" s="37"/>
      <x:c r="J284" s="37" t="str">
        <x:v>QAR-012</x:v>
      </x:c>
      <x:c r="K284" s="37" t="str">
        <x:v>거리, 벽, 장치 전환, PTT·VAD, 음소거, 차단, 밤, 최종 발언, 재접속, 크로스플레이를 실제 기기에서 검증한다.</x:v>
      </x:c>
      <x:c r="L284" s="37" t="str">
        <x:v>AUD-004,AUD-006,AUD-008,AUD-023</x:v>
      </x:c>
      <x:c r="M284" s="37" t="str">
        <x:v>TC-QAR-012-01, TC-QAR-012-02</x:v>
      </x:c>
      <x:c r="N284" s="37" t="str">
        <x:v>게임 기획서</x:v>
      </x:c>
      <x:c r="O284" s="37"/>
    </x:row>
    <x:row r="285" ht="42" customHeight="1">
      <x:c r="A285" s="37" t="str">
        <x:v>작업</x:v>
      </x:c>
      <x:c r="B285" s="37" t="str">
        <x:v>[QAR-013] 클라이언트 성능·메모리·발열·로딩 시험</x:v>
      </x:c>
      <x:c r="C285" s="37" t="str">
        <x:v>게임 규칙, 운영 요구사항과 대상 플랫폼 제약을 충족하도록 클라이언트 성능·메모리·발열·로딩 시험 기능을 구현하고 검증한다.</x:v>
      </x:c>
      <x:c r="D285" s="37" t="str">
        <x:v>최상</x:v>
      </x:c>
      <x:c r="E285" s="37" t="str">
        <x:v>QA·릴리스·운영</x:v>
      </x:c>
      <x:c r="F285" s="37" t="str">
        <x:v>릴리스 후보</x:v>
      </x:c>
      <x:c r="G285" s="37" t="str">
        <x:v>QAR-013;성능;릴리스 후보</x:v>
      </x:c>
      <x:c r="H285" s="37" t="str">
        <x:v>성능 QA</x:v>
      </x:c>
      <x:c r="I285" s="37"/>
      <x:c r="J285" s="37" t="str">
        <x:v>QAR-013</x:v>
      </x:c>
      <x:c r="K285" s="37" t="str">
        <x:v>6명, 최대 메모, 전체 LED·음성·미니게임의 최악 조건에서 목표 FPS, 프레임 시간, 메모리, 로딩, 발열·전력 기준을 충족한다.</x:v>
      </x:c>
      <x:c r="L285" s="37" t="str">
        <x:v>CHR-027,CNT-014,AUD-022</x:v>
      </x:c>
      <x:c r="M285" s="37" t="str">
        <x:v>TC-QAR-013-01, TC-QAR-013-02</x:v>
      </x:c>
      <x:c r="N285" s="37" t="str">
        <x:v>게임 기획서</x:v>
      </x:c>
      <x:c r="O285" s="37"/>
    </x:row>
    <x:row r="286" ht="42" customHeight="1">
      <x:c r="A286" s="37" t="str">
        <x:v>작업</x:v>
      </x:c>
      <x:c r="B286" s="37" t="str">
        <x:v>[QAR-014] 서버 틱·CPU·메모리·대역폭 시험</x:v>
      </x:c>
      <x:c r="C286" s="37" t="str">
        <x:v>게임 규칙, 운영 요구사항과 대상 플랫폼 제약을 충족하도록 서버 틱·CPU·메모리·대역폭 시험 기능을 구현하고 검증한다.</x:v>
      </x:c>
      <x:c r="D286" s="37" t="str">
        <x:v>최상</x:v>
      </x:c>
      <x:c r="E286" s="37" t="str">
        <x:v>QA·릴리스·운영</x:v>
      </x:c>
      <x:c r="F286" s="37" t="str">
        <x:v>릴리스 후보</x:v>
      </x:c>
      <x:c r="G286" s="37" t="str">
        <x:v>QAR-014;성능;릴리스 후보</x:v>
      </x:c>
      <x:c r="H286" s="37" t="str">
        <x:v>성능 QA</x:v>
      </x:c>
      <x:c r="I286" s="37"/>
      <x:c r="J286" s="37" t="str">
        <x:v>QAR-014</x:v>
      </x:c>
      <x:c r="K286" s="37" t="str">
        <x:v>목표 동시 세션에서 틱 지연, CPU, 메모리, 대역폭, GC, 오류율이 기준 안에 들어오고 단계별 포화 지점을 기록한다.</x:v>
      </x:c>
      <x:c r="L286" s="37" t="str">
        <x:v>NET-022,NET-029,BED-019</x:v>
      </x:c>
      <x:c r="M286" s="37" t="str">
        <x:v>TC-QAR-014-01, TC-QAR-014-02</x:v>
      </x:c>
      <x:c r="N286" s="37" t="str">
        <x:v>게임 기획서</x:v>
      </x:c>
      <x:c r="O286" s="37"/>
    </x:row>
    <x:row r="287" ht="42" customHeight="1">
      <x:c r="A287" s="37" t="str">
        <x:v>작업</x:v>
      </x:c>
      <x:c r="B287" s="37" t="str">
        <x:v>[QAR-015] OS·GPU·입력·네트워크·플랫폼 호환성</x:v>
      </x:c>
      <x:c r="C287" s="37" t="str">
        <x:v>게임 규칙, 운영 요구사항과 대상 플랫폼 제약을 충족하도록 OS·GPU·입력·네트워크·플랫폼 호환성 기능을 구현하고 검증한다.</x:v>
      </x:c>
      <x:c r="D287" s="37" t="str">
        <x:v>최상</x:v>
      </x:c>
      <x:c r="E287" s="37" t="str">
        <x:v>QA·릴리스·운영</x:v>
      </x:c>
      <x:c r="F287" s="37" t="str">
        <x:v>릴리스 후보</x:v>
      </x:c>
      <x:c r="G287" s="37" t="str">
        <x:v>QAR-015;호환성;릴리스 후보</x:v>
      </x:c>
      <x:c r="H287" s="37" t="str">
        <x:v>호환성 QA</x:v>
      </x:c>
      <x:c r="I287" s="37"/>
      <x:c r="J287" s="37" t="str">
        <x:v>QAR-015</x:v>
      </x:c>
      <x:c r="K287" s="37" t="str">
        <x:v>지원 범위의 조합을 위험 기반으로 선정해 실행, 렌더링, 입력, 음성, 온라인, 저장, 초대 기능을 검증한다.</x:v>
      </x:c>
      <x:c r="L287" s="37" t="str">
        <x:v>QAR-009,QAR-012,QAR-013</x:v>
      </x:c>
      <x:c r="M287" s="37" t="str">
        <x:v>TC-QAR-015-01, TC-QAR-015-02</x:v>
      </x:c>
      <x:c r="N287" s="37" t="str">
        <x:v>게임 기획서</x:v>
      </x:c>
      <x:c r="O287" s="37"/>
    </x:row>
    <x:row r="288" ht="42" customHeight="1">
      <x:c r="A288" s="37" t="str">
        <x:v>작업</x:v>
      </x:c>
      <x:c r="B288" s="37" t="str">
        <x:v>[QAR-016] 장시간 연속 플레이·반복 세션 시험</x:v>
      </x:c>
      <x:c r="C288" s="37" t="str">
        <x:v>게임 규칙, 운영 요구사항과 대상 플랫폼 제약을 충족하도록 장시간 연속 플레이·반복 세션 시험 기능을 구현하고 검증한다.</x:v>
      </x:c>
      <x:c r="D288" s="37" t="str">
        <x:v>최상</x:v>
      </x:c>
      <x:c r="E288" s="37" t="str">
        <x:v>QA·릴리스·운영</x:v>
      </x:c>
      <x:c r="F288" s="37" t="str">
        <x:v>릴리스 후보</x:v>
      </x:c>
      <x:c r="G288" s="37" t="str">
        <x:v>QAR-016;안정성;릴리스 후보</x:v>
      </x:c>
      <x:c r="H288" s="37" t="str">
        <x:v>신뢰성 QA</x:v>
      </x:c>
      <x:c r="I288" s="37"/>
      <x:c r="J288" s="37" t="str">
        <x:v>QAR-016</x:v>
      </x:c>
      <x:c r="K288" s="37" t="str">
        <x:v>연속 100매치 상당 또는 24시간 동안 메모리 증가, 상태 교차, 보상 중복, 세션 잔류, 크래시가 허용 기준 안에 들어온다.</x:v>
      </x:c>
      <x:c r="L288" s="37" t="str">
        <x:v>QAR-003,NET-029,BED-026</x:v>
      </x:c>
      <x:c r="M288" s="37" t="str">
        <x:v>TC-QAR-016-01, TC-QAR-016-02</x:v>
      </x:c>
      <x:c r="N288" s="37" t="str">
        <x:v>게임 기획서</x:v>
      </x:c>
      <x:c r="O288" s="37"/>
    </x:row>
    <x:row r="289" ht="42" customHeight="1">
      <x:c r="A289" s="37" t="str">
        <x:v>작업</x:v>
      </x:c>
      <x:c r="B289" s="37" t="str">
        <x:v>[QAR-017] 승률·시간·투표·메모 행동 플레이테스트 계획</x:v>
      </x:c>
      <x:c r="C289" s="37" t="str">
        <x:v>게임 규칙, 운영 요구사항과 대상 플랫폼 제약을 충족하도록 승률·시간·투표·메모 행동 플레이테스트 계획 기능을 구현하고 검증한다.</x:v>
      </x:c>
      <x:c r="D289" s="37" t="str">
        <x:v>최상</x:v>
      </x:c>
      <x:c r="E289" s="37" t="str">
        <x:v>QA·릴리스·운영</x:v>
      </x:c>
      <x:c r="F289" s="37" t="str">
        <x:v>알파</x:v>
      </x:c>
      <x:c r="G289" s="37" t="str">
        <x:v>QAR-017;밸런스;알파</x:v>
      </x:c>
      <x:c r="H289" s="37" t="str">
        <x:v>게임 디자인 QA</x:v>
      </x:c>
      <x:c r="I289" s="37"/>
      <x:c r="J289" s="37" t="str">
        <x:v>QAR-017</x:v>
      </x:c>
      <x:c r="K289" s="37" t="str">
        <x:v>인원, 숙련도, 설정별 표본 수, 가설, 수집 지표, 관찰 항목, 변경 판단 기준을 정의한다.</x:v>
      </x:c>
      <x:c r="L289" s="37" t="str">
        <x:v>BED-008,CNT-031</x:v>
      </x:c>
      <x:c r="M289" s="37" t="str">
        <x:v>TC-QAR-017-01, TC-QAR-017-02</x:v>
      </x:c>
      <x:c r="N289" s="37" t="str">
        <x:v>게임 기획서</x:v>
      </x:c>
      <x:c r="O289" s="37"/>
    </x:row>
    <x:row r="290" ht="42" customHeight="1">
      <x:c r="A290" s="37" t="str">
        <x:v>작업</x:v>
      </x:c>
      <x:c r="B290" s="37" t="str">
        <x:v>[QAR-018] 첫 플레이 이해·대화·밤 판단 사용성 조사</x:v>
      </x:c>
      <x:c r="C290" s="37" t="str">
        <x:v>게임 규칙, 운영 요구사항과 대상 플랫폼 제약을 충족하도록 첫 플레이 이해·대화·밤 판단 사용성 조사 기능을 구현하고 검증한다.</x:v>
      </x:c>
      <x:c r="D290" s="37" t="str">
        <x:v>최상</x:v>
      </x:c>
      <x:c r="E290" s="37" t="str">
        <x:v>QA·릴리스·운영</x:v>
      </x:c>
      <x:c r="F290" s="37" t="str">
        <x:v>베타</x:v>
      </x:c>
      <x:c r="G290" s="37" t="str">
        <x:v>QAR-018;이해도;베타</x:v>
      </x:c>
      <x:c r="H290" s="37" t="str">
        <x:v>사용자 조사</x:v>
      </x:c>
      <x:c r="I290" s="37"/>
      <x:c r="J290" s="37" t="str">
        <x:v>QAR-018</x:v>
      </x:c>
      <x:c r="K290" s="37" t="str">
        <x:v>처음 참가한 사용자가 튜토리얼 후 핵심 규칙을 설명하고 도움 없이 메모 작성, 부착, 밤 투표를 완료할 수 있다.</x:v>
      </x:c>
      <x:c r="L290" s="37" t="str">
        <x:v>UIX-027,CNT-033</x:v>
      </x:c>
      <x:c r="M290" s="37" t="str">
        <x:v>TC-QAR-018-01, TC-QAR-018-02</x:v>
      </x:c>
      <x:c r="N290" s="37" t="str">
        <x:v>게임 기획서</x:v>
      </x:c>
      <x:c r="O290" s="37"/>
    </x:row>
    <x:row r="291" ht="42" customHeight="1">
      <x:c r="A291" s="37" t="str">
        <x:v>작업</x:v>
      </x:c>
      <x:c r="B291" s="37" t="str">
        <x:v>[QAR-019] 결함 심각도·우선순위·SLA·트리아지</x:v>
      </x:c>
      <x:c r="C291" s="37" t="str">
        <x:v>게임 규칙, 운영 요구사항과 대상 플랫폼 제약을 충족하도록 결함 심각도·우선순위·SLA·트리아지 기능을 구현하고 검증한다.</x:v>
      </x:c>
      <x:c r="D291" s="37" t="str">
        <x:v>최상</x:v>
      </x:c>
      <x:c r="E291" s="37" t="str">
        <x:v>QA·릴리스·운영</x:v>
      </x:c>
      <x:c r="F291" s="37" t="str">
        <x:v>MVP</x:v>
      </x:c>
      <x:c r="G291" s="37" t="str">
        <x:v>QAR-019;QA 기반;MVP</x:v>
      </x:c>
      <x:c r="H291" s="37" t="str">
        <x:v>결함 관리</x:v>
      </x:c>
      <x:c r="I291" s="37"/>
      <x:c r="J291" s="37" t="str">
        <x:v>QAR-019</x:v>
      </x:c>
      <x:c r="K291" s="37" t="str">
        <x:v>차단, 치명, 주요, 경미 결함의 기준, 담당, 재현 정보, 회귀 범위, 수정 기한, 연기 승인을 정의하고 매일 트리아지한다.</x:v>
      </x:c>
      <x:c r="L291" s="37" t="str">
        <x:v>QAR-001</x:v>
      </x:c>
      <x:c r="M291" s="37" t="str">
        <x:v>TC-QAR-019-01, TC-QAR-019-02</x:v>
      </x:c>
      <x:c r="N291" s="37" t="str">
        <x:v>게임 기획서</x:v>
      </x:c>
      <x:c r="O291" s="37"/>
    </x:row>
    <x:row r="292" ht="42" customHeight="1">
      <x:c r="A292" s="37" t="str">
        <x:v>작업</x:v>
      </x:c>
      <x:c r="B292" s="37" t="str">
        <x:v>[QAR-020] 다중 세션 부하·봇·네트워크 열화 하네스</x:v>
      </x:c>
      <x:c r="C292" s="37" t="str">
        <x:v>게임 규칙, 운영 요구사항과 대상 플랫폼 제약을 충족하도록 다중 세션 부하·봇·네트워크 열화 하네스 기능을 구현하고 검증한다.</x:v>
      </x:c>
      <x:c r="D292" s="37" t="str">
        <x:v>최상</x:v>
      </x:c>
      <x:c r="E292" s="37" t="str">
        <x:v>QA·릴리스·운영</x:v>
      </x:c>
      <x:c r="F292" s="37" t="str">
        <x:v>알파</x:v>
      </x:c>
      <x:c r="G292" s="37" t="str">
        <x:v>QAR-020;성능;알파</x:v>
      </x:c>
      <x:c r="H292" s="37" t="str">
        <x:v>테스트 인프라</x:v>
      </x:c>
      <x:c r="I292" s="37"/>
      <x:c r="J292" s="37" t="str">
        <x:v>QAR-020</x:v>
      </x:c>
      <x:c r="K292" s="37" t="str">
        <x:v>자동 봇이 룸 생성, 시작, 이동, 미니게임, 메모, 투표, 결과 흐름을 수행하고 동시 세션 수와 열화 조건을 설정할 수 있다.</x:v>
      </x:c>
      <x:c r="L292" s="37" t="str">
        <x:v>NET-024,ONL-004,IGM-001</x:v>
      </x:c>
      <x:c r="M292" s="37" t="str">
        <x:v>TC-QAR-020-01, TC-QAR-020-02</x:v>
      </x:c>
      <x:c r="N292" s="37" t="str">
        <x:v>게임 기획서</x:v>
      </x:c>
      <x:c r="O292" s="37"/>
    </x:row>
    <x:row r="293" ht="42" customHeight="1">
      <x:c r="A293" s="37" t="str">
        <x:v>작업</x:v>
      </x:c>
      <x:c r="B293" s="37" t="str">
        <x:v>[QAR-021] API·서버 규칙·주요 UI 자동 회귀</x:v>
      </x:c>
      <x:c r="C293" s="37" t="str">
        <x:v>게임 규칙, 운영 요구사항과 대상 플랫폼 제약을 충족하도록 API·서버 규칙·주요 UI 자동 회귀 기능을 구현하고 검증한다.</x:v>
      </x:c>
      <x:c r="D293" s="37" t="str">
        <x:v>최상</x:v>
      </x:c>
      <x:c r="E293" s="37" t="str">
        <x:v>QA·릴리스·운영</x:v>
      </x:c>
      <x:c r="F293" s="37" t="str">
        <x:v>알파</x:v>
      </x:c>
      <x:c r="G293" s="37" t="str">
        <x:v>QAR-021;QA 기반;알파</x:v>
      </x:c>
      <x:c r="H293" s="37" t="str">
        <x:v>테스트 자동화</x:v>
      </x:c>
      <x:c r="I293" s="37"/>
      <x:c r="J293" s="37" t="str">
        <x:v>QAR-021</x:v>
      </x:c>
      <x:c r="K293" s="37" t="str">
        <x:v>승패, 설정 검증, 메모 권한, 투표, 재접속, 오류 코드 자동 시험을 CI에서 실행하고 실패 시 빌드를 중지한다.</x:v>
      </x:c>
      <x:c r="L293" s="37" t="str">
        <x:v>QAR-003,NET-012,BED-018</x:v>
      </x:c>
      <x:c r="M293" s="37" t="str">
        <x:v>TC-QAR-021-01, TC-QAR-021-02</x:v>
      </x:c>
      <x:c r="N293" s="37" t="str">
        <x:v>게임 기획서</x:v>
      </x:c>
      <x:c r="O293" s="37"/>
    </x:row>
    <x:row r="294" ht="42" customHeight="1">
      <x:c r="A294" s="37" t="str">
        <x:v>작업</x:v>
      </x:c>
      <x:c r="B294" s="37" t="str">
        <x:v>[QAR-022] 시험 계정·세션·설정·콘텐츠 데이터</x:v>
      </x:c>
      <x:c r="C294" s="37" t="str">
        <x:v>게임 규칙, 운영 요구사항과 대상 플랫폼 제약을 충족하도록 시험 계정·세션·설정·콘텐츠 데이터 기능을 구현하고 검증한다.</x:v>
      </x:c>
      <x:c r="D294" s="37" t="str">
        <x:v>높음</x:v>
      </x:c>
      <x:c r="E294" s="37" t="str">
        <x:v>QA·릴리스·운영</x:v>
      </x:c>
      <x:c r="F294" s="37" t="str">
        <x:v>알파</x:v>
      </x:c>
      <x:c r="G294" s="37" t="str">
        <x:v>QAR-022;QA 기반;알파</x:v>
      </x:c>
      <x:c r="H294" s="37" t="str">
        <x:v>테스트 인프라</x:v>
      </x:c>
      <x:c r="I294" s="37"/>
      <x:c r="J294" s="37" t="str">
        <x:v>QAR-022</x:v>
      </x:c>
      <x:c r="K294" s="37" t="str">
        <x:v>역할, 색상, 보유 메모, 연결 끊김, 제재, 지역, 연령, 외형을 재현하는 비운영 시험 데이터를 안전하게 생성·삭제할 수 있다.</x:v>
      </x:c>
      <x:c r="L294" s="37" t="str">
        <x:v>BED-002,BED-003,BED-009</x:v>
      </x:c>
      <x:c r="M294" s="37" t="str">
        <x:v>TC-QAR-022-01</x:v>
      </x:c>
      <x:c r="N294" s="37" t="str">
        <x:v>게임 기획서</x:v>
      </x:c>
      <x:c r="O294" s="37"/>
    </x:row>
    <x:row r="295" ht="42" customHeight="1">
      <x:c r="A295" s="37" t="str">
        <x:v>작업</x:v>
      </x:c>
      <x:c r="B295" s="37" t="str">
        <x:v>[QAR-023] MVP·알파·베타·출시 후보·출시 게이트 운영</x:v>
      </x:c>
      <x:c r="C295" s="37" t="str">
        <x:v>게임 규칙, 운영 요구사항과 대상 플랫폼 제약을 충족하도록 MVP·알파·베타·출시 후보·출시 게이트 운영 기능을 구현하고 검증한다.</x:v>
      </x:c>
      <x:c r="D295" s="37" t="str">
        <x:v>최상</x:v>
      </x:c>
      <x:c r="E295" s="37" t="str">
        <x:v>QA·릴리스·운영</x:v>
      </x:c>
      <x:c r="F295" s="37" t="str">
        <x:v>MVP</x:v>
      </x:c>
      <x:c r="G295" s="37" t="str">
        <x:v>QAR-023;릴리스;MVP</x:v>
      </x:c>
      <x:c r="H295" s="37" t="str">
        <x:v>릴리스 관리</x:v>
      </x:c>
      <x:c r="I295" s="37"/>
      <x:c r="J295" s="37" t="str">
        <x:v>QAR-023</x:v>
      </x:c>
      <x:c r="K295" s="37" t="str">
        <x:v>각 게이트의 필수 산출물, 수치 기준, 승인자, 예외 승인, 기한, 증빙을 관리하고 미완료 P0가 있으면 준비 완료로 판정하지 않는다.</x:v>
      </x:c>
      <x:c r="L295" s="37" t="str">
        <x:v>QAR-001,QAR-019</x:v>
      </x:c>
      <x:c r="M295" s="37" t="str">
        <x:v>TC-QAR-023-01, TC-QAR-023-02</x:v>
      </x:c>
      <x:c r="N295" s="37" t="str">
        <x:v>게임 기획서</x:v>
      </x:c>
      <x:c r="O295" s="37"/>
    </x:row>
    <x:row r="296" ht="42" customHeight="1">
      <x:c r="A296" s="37" t="str">
        <x:v>작업</x:v>
      </x:c>
      <x:c r="B296" s="37" t="str">
        <x:v>[QAR-024] 클라이언트·서버·콘텐츠 CI/CD</x:v>
      </x:c>
      <x:c r="C296" s="37" t="str">
        <x:v>게임 규칙, 운영 요구사항과 대상 플랫폼 제약을 충족하도록 클라이언트·서버·콘텐츠 CI/CD 기능을 구현하고 검증한다.</x:v>
      </x:c>
      <x:c r="D296" s="37" t="str">
        <x:v>최상</x:v>
      </x:c>
      <x:c r="E296" s="37" t="str">
        <x:v>QA·릴리스·운영</x:v>
      </x:c>
      <x:c r="F296" s="37" t="str">
        <x:v>알파</x:v>
      </x:c>
      <x:c r="G296" s="37" t="str">
        <x:v>QAR-024;릴리스;알파</x:v>
      </x:c>
      <x:c r="H296" s="37" t="str">
        <x:v>빌드·CI</x:v>
      </x:c>
      <x:c r="I296" s="37"/>
      <x:c r="J296" s="37" t="str">
        <x:v>QAR-024</x:v>
      </x:c>
      <x:c r="K296" s="37" t="str">
        <x:v>재현 가능한 빌드, 단위 시험, 자동 회귀, 서명, 산출물 보관, SBOM·의존성 검사, 환경 배포를 자동화한다.</x:v>
      </x:c>
      <x:c r="L296" s="37" t="str">
        <x:v>QAR-021,BED-028</x:v>
      </x:c>
      <x:c r="M296" s="37" t="str">
        <x:v>TC-QAR-024-01, TC-QAR-024-02</x:v>
      </x:c>
      <x:c r="N296" s="37" t="str">
        <x:v>게임 기획서</x:v>
      </x:c>
      <x:c r="O296" s="37"/>
    </x:row>
    <x:row r="297" ht="42" customHeight="1">
      <x:c r="A297" s="37" t="str">
        <x:v>작업</x:v>
      </x:c>
      <x:c r="B297" s="37" t="str">
        <x:v>[QAR-025] 제품·프로토콜·설정·콘텐츠 버전 표시</x:v>
      </x:c>
      <x:c r="C297" s="37" t="str">
        <x:v>게임 규칙, 운영 요구사항과 대상 플랫폼 제약을 충족하도록 제품·프로토콜·설정·콘텐츠 버전 표시 기능을 구현하고 검증한다.</x:v>
      </x:c>
      <x:c r="D297" s="37" t="str">
        <x:v>최상</x:v>
      </x:c>
      <x:c r="E297" s="37" t="str">
        <x:v>QA·릴리스·운영</x:v>
      </x:c>
      <x:c r="F297" s="37" t="str">
        <x:v>MVP</x:v>
      </x:c>
      <x:c r="G297" s="37" t="str">
        <x:v>QAR-025;호환성;MVP</x:v>
      </x:c>
      <x:c r="H297" s="37" t="str">
        <x:v>빌드·CI</x:v>
      </x:c>
      <x:c r="I297" s="37"/>
      <x:c r="J297" s="37" t="str">
        <x:v>QAR-025</x:v>
      </x:c>
      <x:c r="K297" s="37" t="str">
        <x:v>클라이언트, 서버, 프로토콜, 설정, 콘텐츠, 커밋 버전을 UI, 로그, 크래시에 일관되게 표시하고 호환성 판정에 사용한다.</x:v>
      </x:c>
      <x:c r="L297" s="37" t="str">
        <x:v>NET-002,BED-015,CNT-028,QAR-024</x:v>
      </x:c>
      <x:c r="M297" s="37" t="str">
        <x:v>TC-QAR-025-01, TC-QAR-025-02</x:v>
      </x:c>
      <x:c r="N297" s="37" t="str">
        <x:v>게임 기획서</x:v>
      </x:c>
      <x:c r="O297" s="37"/>
    </x:row>
    <x:row r="298" ht="42" customHeight="1">
      <x:c r="A298" s="37" t="str">
        <x:v>작업</x:v>
      </x:c>
      <x:c r="B298" s="37" t="str">
        <x:v>[QAR-026] 크래시 프리 비율·중대 멈춤 목표</x:v>
      </x:c>
      <x:c r="C298" s="37" t="str">
        <x:v>게임 규칙, 운영 요구사항과 대상 플랫폼 제약을 충족하도록 크래시 프리 비율·중대 멈춤 목표 기능을 구현하고 검증한다.</x:v>
      </x:c>
      <x:c r="D298" s="37" t="str">
        <x:v>최상</x:v>
      </x:c>
      <x:c r="E298" s="37" t="str">
        <x:v>QA·릴리스·운영</x:v>
      </x:c>
      <x:c r="F298" s="37" t="str">
        <x:v>릴리스 후보</x:v>
      </x:c>
      <x:c r="G298" s="37" t="str">
        <x:v>QAR-026;품질 목표;릴리스 후보</x:v>
      </x:c>
      <x:c r="H298" s="37" t="str">
        <x:v>품질 목표</x:v>
      </x:c>
      <x:c r="I298" s="37"/>
      <x:c r="J298" s="37" t="str">
        <x:v>QAR-026</x:v>
      </x:c>
      <x:c r="K298" s="37" t="str">
        <x:v>출시 후보 기간의 크래시 프리 세션·사용자 목표와 중대 멈춤 0건을 정의하고 빌드와 플랫폼별로 모니터링한다.</x:v>
      </x:c>
      <x:c r="L298" s="37" t="str">
        <x:v>BED-023,QAR-013</x:v>
      </x:c>
      <x:c r="M298" s="37" t="str">
        <x:v>TC-QAR-026-01, TC-QAR-026-02</x:v>
      </x:c>
      <x:c r="N298" s="37" t="str">
        <x:v>게임 기획서</x:v>
      </x:c>
      <x:c r="O298" s="37"/>
    </x:row>
    <x:row r="299" ht="42" customHeight="1">
      <x:c r="A299" s="37" t="str">
        <x:v>작업</x:v>
      </x:c>
      <x:c r="B299" s="37" t="str">
        <x:v>[QAR-027] 온라인 서비스 SLO·오류 예산</x:v>
      </x:c>
      <x:c r="C299" s="37" t="str">
        <x:v>게임 규칙, 운영 요구사항과 대상 플랫폼 제약을 충족하도록 온라인 서비스 SLO·오류 예산 기능을 구현하고 검증한다.</x:v>
      </x:c>
      <x:c r="D299" s="37" t="str">
        <x:v>최상</x:v>
      </x:c>
      <x:c r="E299" s="37" t="str">
        <x:v>QA·릴리스·운영</x:v>
      </x:c>
      <x:c r="F299" s="37" t="str">
        <x:v>릴리스 후보</x:v>
      </x:c>
      <x:c r="G299" s="37" t="str">
        <x:v>QAR-027;품질 목표;릴리스 후보</x:v>
      </x:c>
      <x:c r="H299" s="37" t="str">
        <x:v>품질 목표</x:v>
      </x:c>
      <x:c r="I299" s="37"/>
      <x:c r="J299" s="37" t="str">
        <x:v>QAR-027</x:v>
      </x:c>
      <x:c r="K299" s="37" t="str">
        <x:v>인증, 룸 생성, 참가, 시작, 매치 지속의 가용성, 지연, 실패율 목표와 초과 시 출시 중단 기준을 정의한다.</x:v>
      </x:c>
      <x:c r="L299" s="37" t="str">
        <x:v>BED-019,ONL-024</x:v>
      </x:c>
      <x:c r="M299" s="37" t="str">
        <x:v>TC-QAR-027-01, TC-QAR-027-02</x:v>
      </x:c>
      <x:c r="N299" s="37" t="str">
        <x:v>게임 기획서</x:v>
      </x:c>
      <x:c r="O299" s="37"/>
    </x:row>
    <x:row r="300" ht="42" customHeight="1">
      <x:c r="A300" s="37" t="str">
        <x:v>작업</x:v>
      </x:c>
      <x:c r="B300" s="37" t="str">
        <x:v>[QAR-028] 보안·개인정보·위협 모델 검토</x:v>
      </x:c>
      <x:c r="C300" s="37" t="str">
        <x:v>게임 규칙, 운영 요구사항과 대상 플랫폼 제약을 충족하도록 보안·개인정보·위협 모델 검토 기능을 구현하고 검증한다.</x:v>
      </x:c>
      <x:c r="D300" s="37" t="str">
        <x:v>최상</x:v>
      </x:c>
      <x:c r="E300" s="37" t="str">
        <x:v>QA·릴리스·운영</x:v>
      </x:c>
      <x:c r="F300" s="37" t="str">
        <x:v>릴리스 후보</x:v>
      </x:c>
      <x:c r="G300" s="37" t="str">
        <x:v>QAR-028;보안;릴리스 후보</x:v>
      </x:c>
      <x:c r="H300" s="37" t="str">
        <x:v>규정 준수</x:v>
      </x:c>
      <x:c r="I300" s="37"/>
      <x:c r="J300" s="37" t="str">
        <x:v>QAR-028</x:v>
      </x:c>
      <x:c r="K300" s="37" t="str">
        <x:v>인증, 권한, 비공개 정보, 음성, 신고, 로그, 데이터 보관, 상점을 검토하고 치명·높음 지적 사항을 출시 전에 해결한다.</x:v>
      </x:c>
      <x:c r="L300" s="37" t="str">
        <x:v>NET-026,NET-027,BED-012,BED-014,BED-027</x:v>
      </x:c>
      <x:c r="M300" s="37" t="str">
        <x:v>TC-QAR-028-01, TC-QAR-028-02</x:v>
      </x:c>
      <x:c r="N300" s="37" t="str">
        <x:v>게임 기획서</x:v>
      </x:c>
      <x:c r="O300" s="37"/>
    </x:row>
    <x:row r="301" ht="42" customHeight="1">
      <x:c r="A301" s="37" t="str">
        <x:v>작업</x:v>
      </x:c>
      <x:c r="B301" s="37" t="str">
        <x:v>[QAR-029] 플랫폼 인증·스토어 제출</x:v>
      </x:c>
      <x:c r="C301" s="37" t="str">
        <x:v>게임 규칙, 운영 요구사항과 대상 플랫폼 제약을 충족하도록 플랫폼 인증·스토어 제출 기능을 구현하고 검증한다.</x:v>
      </x:c>
      <x:c r="D301" s="37" t="str">
        <x:v>최상</x:v>
      </x:c>
      <x:c r="E301" s="37" t="str">
        <x:v>QA·릴리스·운영</x:v>
      </x:c>
      <x:c r="F301" s="37" t="str">
        <x:v>출시</x:v>
      </x:c>
      <x:c r="G301" s="37" t="str">
        <x:v>QAR-029;인증·약관;출시</x:v>
      </x:c>
      <x:c r="H301" s="37" t="str">
        <x:v>규정 준수</x:v>
      </x:c>
      <x:c r="I301" s="37"/>
      <x:c r="J301" s="37" t="str">
        <x:v>QAR-029</x:v>
      </x:c>
      <x:c r="K301" s="37" t="str">
        <x:v>초대, 음성, 보호자 설정, 차단, 저장, 네트워크 끊김, 권리, 개인정보, 스토어 자료 요건을 충족한다.</x:v>
      </x:c>
      <x:c r="L301" s="37" t="str">
        <x:v>ONL-012,AUD-023,BED-005,BED-013</x:v>
      </x:c>
      <x:c r="M301" s="37" t="str">
        <x:v>TC-QAR-029-01, TC-QAR-029-02</x:v>
      </x:c>
      <x:c r="N301" s="37" t="str">
        <x:v>게임 기획서</x:v>
      </x:c>
      <x:c r="O301" s="37"/>
    </x:row>
    <x:row r="302" ht="42" customHeight="1">
      <x:c r="A302" s="37" t="str">
        <x:v>작업</x:v>
      </x:c>
      <x:c r="B302" s="37" t="str">
        <x:v>[QAR-030] 장애·신고·제재·설정·롤백 운영 절차서</x:v>
      </x:c>
      <x:c r="C302" s="37" t="str">
        <x:v>게임 규칙, 운영 요구사항과 대상 플랫폼 제약을 충족하도록 장애·신고·제재·설정·롤백 운영 절차서 기능을 구현하고 검증한다.</x:v>
      </x:c>
      <x:c r="D302" s="37" t="str">
        <x:v>최상</x:v>
      </x:c>
      <x:c r="E302" s="37" t="str">
        <x:v>QA·릴리스·운영</x:v>
      </x:c>
      <x:c r="F302" s="37" t="str">
        <x:v>출시</x:v>
      </x:c>
      <x:c r="G302" s="37" t="str">
        <x:v>QAR-030;운영;출시</x:v>
      </x:c>
      <x:c r="H302" s="37" t="str">
        <x:v>운영</x:v>
      </x:c>
      <x:c r="I302" s="37"/>
      <x:c r="J302" s="37" t="str">
        <x:v>QAR-030</x:v>
      </x:c>
      <x:c r="K302" s="37" t="str">
        <x:v>당직, 연락망, 조사, 고객 공지, 임시 조치, 복구, 사후 검토 절차를 서비스별로 문서화하고 모의 훈련한다.</x:v>
      </x:c>
      <x:c r="L302" s="37" t="str">
        <x:v>BED-019,BED-021,BED-028,ONL-025</x:v>
      </x:c>
      <x:c r="M302" s="37" t="str">
        <x:v>TC-QAR-030-01, TC-QAR-030-02</x:v>
      </x:c>
      <x:c r="N302" s="37" t="str">
        <x:v>게임 기획서</x:v>
      </x:c>
      <x:c r="O302" s="37"/>
    </x:row>
    <x:row r="303" ht="42" customHeight="1">
      <x:c r="A303" s="37" t="str">
        <x:v>작업</x:v>
      </x:c>
      <x:c r="B303" s="37" t="str">
        <x:v>[QAR-031] 클라이언트·서버·설정·콘텐츠 롤백</x:v>
      </x:c>
      <x:c r="C303" s="37" t="str">
        <x:v>게임 규칙, 운영 요구사항과 대상 플랫폼 제약을 충족하도록 클라이언트·서버·설정·콘텐츠 롤백 기능을 구현하고 검증한다.</x:v>
      </x:c>
      <x:c r="D303" s="37" t="str">
        <x:v>최상</x:v>
      </x:c>
      <x:c r="E303" s="37" t="str">
        <x:v>QA·릴리스·운영</x:v>
      </x:c>
      <x:c r="F303" s="37" t="str">
        <x:v>릴리스 후보</x:v>
      </x:c>
      <x:c r="G303" s="37" t="str">
        <x:v>QAR-031;릴리스;릴리스 후보</x:v>
      </x:c>
      <x:c r="H303" s="37" t="str">
        <x:v>릴리스 관리</x:v>
      </x:c>
      <x:c r="I303" s="37"/>
      <x:c r="J303" s="37" t="str">
        <x:v>QAR-031</x:v>
      </x:c>
      <x:c r="K303" s="37" t="str">
        <x:v>호환 범위를 유지하면서 각 계층을 개별 복구할 수 있는 절차와 중단 조건을 정의하고 스테이징에서 복구 훈련을 완료한다.</x:v>
      </x:c>
      <x:c r="L303" s="37" t="str">
        <x:v>BED-028,QAR-024,QAR-025</x:v>
      </x:c>
      <x:c r="M303" s="37" t="str">
        <x:v>TC-QAR-031-01, TC-QAR-031-02</x:v>
      </x:c>
      <x:c r="N303" s="37" t="str">
        <x:v>게임 기획서</x:v>
      </x:c>
      <x:c r="O303" s="37"/>
    </x:row>
    <x:row r="304" ht="42" customHeight="1">
      <x:c r="A304" s="37" t="str">
        <x:v>작업</x:v>
      </x:c>
      <x:c r="B304" s="37" t="str">
        <x:v>[QAR-032] 출시 후보 빌드 동결·최종 회귀</x:v>
      </x:c>
      <x:c r="C304" s="37" t="str">
        <x:v>게임 규칙, 운영 요구사항과 대상 플랫폼 제약을 충족하도록 출시 후보 빌드 동결·최종 회귀 기능을 구현하고 검증한다.</x:v>
      </x:c>
      <x:c r="D304" s="37" t="str">
        <x:v>최상</x:v>
      </x:c>
      <x:c r="E304" s="37" t="str">
        <x:v>QA·릴리스·운영</x:v>
      </x:c>
      <x:c r="F304" s="37" t="str">
        <x:v>릴리스 후보</x:v>
      </x:c>
      <x:c r="G304" s="37" t="str">
        <x:v>QAR-032;릴리스;릴리스 후보</x:v>
      </x:c>
      <x:c r="H304" s="37" t="str">
        <x:v>릴리스 관리</x:v>
      </x:c>
      <x:c r="I304" s="37"/>
      <x:c r="J304" s="37" t="str">
        <x:v>QAR-032</x:v>
      </x:c>
      <x:c r="K304" s="37" t="str">
        <x:v>코드와 콘텐츠 동결 후 전체 P0 회귀, 플랫폼 인증, 성능, 보안, 스토어, 운영 절차서를 확인하고 승인자가 서명한다.</x:v>
      </x:c>
      <x:c r="L304" s="37" t="str">
        <x:v>QAR-023,QAR-026,QAR-027,QAR-028,QAR-029,QAR-030,QAR-031</x:v>
      </x:c>
      <x:c r="M304" s="37" t="str">
        <x:v>TC-QAR-032-01, TC-QAR-032-02</x:v>
      </x:c>
      <x:c r="N304" s="37" t="str">
        <x:v>게임 기획서</x:v>
      </x:c>
      <x:c r="O304" s="37"/>
    </x:row>
    <x:row r="305" ht="42" customHeight="1">
      <x:c r="A305" s="37" t="str">
        <x:v>작업</x:v>
      </x:c>
      <x:c r="B305" s="37" t="str">
        <x:v>[QAR-033] 비공개·공개 베타 계획</x:v>
      </x:c>
      <x:c r="C305" s="37" t="str">
        <x:v>게임 규칙, 운영 요구사항과 대상 플랫폼 제약을 충족하도록 비공개·공개 베타 계획 기능을 구현하고 검증한다.</x:v>
      </x:c>
      <x:c r="D305" s="37" t="str">
        <x:v>높음</x:v>
      </x:c>
      <x:c r="E305" s="37" t="str">
        <x:v>QA·릴리스·운영</x:v>
      </x:c>
      <x:c r="F305" s="37" t="str">
        <x:v>베타</x:v>
      </x:c>
      <x:c r="G305" s="37" t="str">
        <x:v>QAR-033;사용자 검증;베타</x:v>
      </x:c>
      <x:c r="H305" s="37" t="str">
        <x:v>베타 프로그램</x:v>
      </x:c>
      <x:c r="I305" s="37"/>
      <x:c r="J305" s="37" t="str">
        <x:v>QAR-033</x:v>
      </x:c>
      <x:c r="K305" s="37" t="str">
        <x:v>대상 지역·인원, 배포, NDA, 피드백, 신고, 데이터 동의, 지원, 중단 기준, 종료 시 데이터 삭제를 정의한다.</x:v>
      </x:c>
      <x:c r="L305" s="37" t="str">
        <x:v>QAR-017,QAR-018,BED-012</x:v>
      </x:c>
      <x:c r="M305" s="37" t="str">
        <x:v>TC-QAR-033-01</x:v>
      </x:c>
      <x:c r="N305" s="37" t="str">
        <x:v>게임 기획서</x:v>
      </x:c>
      <x:c r="O305" s="37"/>
    </x:row>
    <x:row r="306" ht="42" customHeight="1">
      <x:c r="A306" s="37" t="str">
        <x:v>작업</x:v>
      </x:c>
      <x:c r="B306" s="37" t="str">
        <x:v>[QAR-034] 출시 모니터링 대시보드·상황실</x:v>
      </x:c>
      <x:c r="C306" s="37" t="str">
        <x:v>게임 규칙, 운영 요구사항과 대상 플랫폼 제약을 충족하도록 출시 모니터링 대시보드·상황실 기능을 구현하고 검증한다.</x:v>
      </x:c>
      <x:c r="D306" s="37" t="str">
        <x:v>최상</x:v>
      </x:c>
      <x:c r="E306" s="37" t="str">
        <x:v>QA·릴리스·운영</x:v>
      </x:c>
      <x:c r="F306" s="37" t="str">
        <x:v>출시</x:v>
      </x:c>
      <x:c r="G306" s="37" t="str">
        <x:v>QAR-034;운영;출시</x:v>
      </x:c>
      <x:c r="H306" s="37" t="str">
        <x:v>라이브 운영</x:v>
      </x:c>
      <x:c r="I306" s="37"/>
      <x:c r="J306" s="37" t="str">
        <x:v>QAR-034</x:v>
      </x:c>
      <x:c r="K306" s="37" t="str">
        <x:v>인증, 룸, 시작 성공률, 연결 종료, 크래시, SLO, 신고, 승률, 게임 시간을 실시간 모니터링하고 책임자와 판단 임계값을 정의한다.</x:v>
      </x:c>
      <x:c r="L306" s="37" t="str">
        <x:v>BED-008,BED-019,QAR-026,QAR-027</x:v>
      </x:c>
      <x:c r="M306" s="37" t="str">
        <x:v>TC-QAR-034-01, TC-QAR-034-02</x:v>
      </x:c>
      <x:c r="N306" s="37" t="str">
        <x:v>게임 기획서</x:v>
      </x:c>
      <x:c r="O306" s="37"/>
    </x:row>
    <x:row r="307" ht="42" customHeight="1">
      <x:c r="A307" s="37" t="str">
        <x:v>작업</x:v>
      </x:c>
      <x:c r="B307" s="37" t="str">
        <x:v>[QAR-035] 중대 장애 대응·사후 검토</x:v>
      </x:c>
      <x:c r="C307" s="37" t="str">
        <x:v>게임 규칙, 운영 요구사항과 대상 플랫폼 제약을 충족하도록 중대 장애 대응·사후 검토 기능을 구현하고 검증한다.</x:v>
      </x:c>
      <x:c r="D307" s="37" t="str">
        <x:v>최상</x:v>
      </x:c>
      <x:c r="E307" s="37" t="str">
        <x:v>QA·릴리스·운영</x:v>
      </x:c>
      <x:c r="F307" s="37" t="str">
        <x:v>출시</x:v>
      </x:c>
      <x:c r="G307" s="37" t="str">
        <x:v>QAR-035;운영;출시</x:v>
      </x:c>
      <x:c r="H307" s="37" t="str">
        <x:v>라이브 운영</x:v>
      </x:c>
      <x:c r="I307" s="37"/>
      <x:c r="J307" s="37" t="str">
        <x:v>QAR-035</x:v>
      </x:c>
      <x:c r="K307" s="37" t="str">
        <x:v>심각도, 지휘 체계, 기술 대응, 공지, 규제 보고, 증거 보존, 복구, 사후 검토, 재발 방지 절차를 모의 훈련한다.</x:v>
      </x:c>
      <x:c r="L307" s="37" t="str">
        <x:v>QAR-030,QAR-034</x:v>
      </x:c>
      <x:c r="M307" s="37" t="str">
        <x:v>TC-QAR-035-01, TC-QAR-035-02</x:v>
      </x:c>
      <x:c r="N307" s="37" t="str">
        <x:v>게임 기획서</x:v>
      </x:c>
      <x:c r="O307" s="37"/>
    </x:row>
    <x:row r="308" ht="42" customHeight="1">
      <x:c r="A308" s="37" t="str">
        <x:v>작업</x:v>
      </x:c>
      <x:c r="B308" s="37" t="str">
        <x:v>[QAR-036] 코드·콘텐츠·설정 동결·예외 승인</x:v>
      </x:c>
      <x:c r="C308" s="37" t="str">
        <x:v>게임 규칙, 운영 요구사항과 대상 플랫폼 제약을 충족하도록 코드·콘텐츠·설정 동결·예외 승인 기능을 구현하고 검증한다.</x:v>
      </x:c>
      <x:c r="D308" s="37" t="str">
        <x:v>최상</x:v>
      </x:c>
      <x:c r="E308" s="37" t="str">
        <x:v>QA·릴리스·운영</x:v>
      </x:c>
      <x:c r="F308" s="37" t="str">
        <x:v>릴리스 후보</x:v>
      </x:c>
      <x:c r="G308" s="37" t="str">
        <x:v>QAR-036;릴리스;릴리스 후보</x:v>
      </x:c>
      <x:c r="H308" s="37" t="str">
        <x:v>릴리스 관리</x:v>
      </x:c>
      <x:c r="I308" s="37"/>
      <x:c r="J308" s="37" t="str">
        <x:v>QAR-036</x:v>
      </x:c>
      <x:c r="K308" s="37" t="str">
        <x:v>출시 후보 이후 변경은 위험, 영향 범위, 시험, 롤백, 승인자를 필수로 기록하고 버전과 변경 요청 ID에 연결한다.</x:v>
      </x:c>
      <x:c r="L308" s="37" t="str">
        <x:v>QAR-023,QAR-024</x:v>
      </x:c>
      <x:c r="M308" s="37" t="str">
        <x:v>TC-QAR-036-01, TC-QAR-036-02</x:v>
      </x:c>
      <x:c r="N308" s="37" t="str">
        <x:v>게임 기획서</x:v>
      </x:c>
      <x:c r="O308" s="37"/>
    </x:row>
    <x:row r="309" ht="42" customHeight="1">
      <x:c r="A309" s="37" t="str">
        <x:v>작업</x:v>
      </x:c>
      <x:c r="B309" s="37" t="str">
        <x:v>[QAR-037] 현지화 최종 언어·규정 확인</x:v>
      </x:c>
      <x:c r="C309" s="37" t="str">
        <x:v>게임 규칙, 운영 요구사항과 대상 플랫폼 제약을 충족하도록 현지화 최종 언어·규정 확인 기능을 구현하고 검증한다.</x:v>
      </x:c>
      <x:c r="D309" s="37" t="str">
        <x:v>높음</x:v>
      </x:c>
      <x:c r="E309" s="37" t="str">
        <x:v>QA·릴리스·운영</x:v>
      </x:c>
      <x:c r="F309" s="37" t="str">
        <x:v>출시</x:v>
      </x:c>
      <x:c r="G309" s="37" t="str">
        <x:v>QAR-037;현지화;출시</x:v>
      </x:c>
      <x:c r="H309" s="37" t="str">
        <x:v>현지화 QA</x:v>
      </x:c>
      <x:c r="I309" s="37"/>
      <x:c r="J309" s="37" t="str">
        <x:v>QAR-037</x:v>
      </x:c>
      <x:c r="K309" s="37" t="str">
        <x:v>스토어 문구, 법무 문구, 동의, 오류, 튜토리얼, 금칙어, 플랫폼 용어를 최종 버전에서 확인한다.</x:v>
      </x:c>
      <x:c r="L309" s="37" t="str">
        <x:v>QAR-011,QAR-029</x:v>
      </x:c>
      <x:c r="M309" s="37" t="str">
        <x:v>TC-QAR-037-01</x:v>
      </x:c>
      <x:c r="N309" s="37" t="str">
        <x:v>게임 기획서</x:v>
      </x:c>
      <x:c r="O309" s="37"/>
    </x:row>
    <x:row r="310" ht="42" customHeight="1">
      <x:c r="A310" s="37" t="str">
        <x:v>작업</x:v>
      </x:c>
      <x:c r="B310" s="37" t="str">
        <x:v>[QAR-038] 출시 최종 승인 기록</x:v>
      </x:c>
      <x:c r="C310" s="37" t="str">
        <x:v>게임 규칙, 운영 요구사항과 대상 플랫폼 제약을 충족하도록 출시 최종 승인 기록 기능을 구현하고 검증한다.</x:v>
      </x:c>
      <x:c r="D310" s="37" t="str">
        <x:v>최상</x:v>
      </x:c>
      <x:c r="E310" s="37" t="str">
        <x:v>QA·릴리스·운영</x:v>
      </x:c>
      <x:c r="F310" s="37" t="str">
        <x:v>출시</x:v>
      </x:c>
      <x:c r="G310" s="37" t="str">
        <x:v>QAR-038;릴리스;출시</x:v>
      </x:c>
      <x:c r="H310" s="37" t="str">
        <x:v>관리 정책</x:v>
      </x:c>
      <x:c r="I310" s="37"/>
      <x:c r="J310" s="37" t="str">
        <x:v>QAR-038</x:v>
      </x:c>
      <x:c r="K310" s="37" t="str">
        <x:v>제작, 제품, 엔지니어링, QA, 보안·개인정보, 운영, 플랫폼 부문의 승인과 미해결 예외를 하나의 기록에 남긴다.</x:v>
      </x:c>
      <x:c r="L310" s="37" t="str">
        <x:v>QAR-032,QAR-034,QAR-036,QAR-037</x:v>
      </x:c>
      <x:c r="M310" s="37" t="str">
        <x:v>TC-QAR-038-01, TC-QAR-038-02</x:v>
      </x:c>
      <x:c r="N310" s="37" t="str">
        <x:v>게임 기획서</x:v>
      </x:c>
      <x:c r="O310" s="37"/>
    </x:row>
  </x:sheetData>
  <x:pageMargins left="0.7" right="0.7" top="0.75" bottom="0.75" header="0.3" footer="0.3"/>
  <x:tableParts count="1">
    <x:tablePart xmlns:r="http://schemas.openxmlformats.org/officeDocument/2006/relationships" r:id="R64cadbee76494ea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</x:cols>
  <x:sheetData>
    <x:row r="1">
      <x:c r="A1" s="19" t="str">
        <x:v>상태</x:v>
      </x:c>
      <x:c r="B1" s="19" t="str">
        <x:v>우선순위</x:v>
      </x:c>
      <x:c r="C1" s="19" t="str">
        <x:v>범위</x:v>
      </x:c>
      <x:c r="D1" s="19" t="str">
        <x:v>게이트</x:v>
      </x:c>
      <x:c r="E1" s="19" t="str">
        <x:v>위험도</x:v>
      </x:c>
      <x:c r="F1" s="19" t="str">
        <x:v>예상 규모</x:v>
      </x:c>
      <x:c r="G1" s="19" t="str">
        <x:v>QA 유형</x:v>
      </x:c>
      <x:c r="H1" s="19" t="str">
        <x:v>플랫폼</x:v>
      </x:c>
      <x:c r="I1" s="19" t="str">
        <x:v>권한 주체</x:v>
      </x:c>
      <x:c r="J1" s="19" t="str">
        <x:v>저장 범위</x:v>
      </x:c>
      <x:c r="K1" s="19" t="str">
        <x:v>QA 상태</x:v>
      </x:c>
      <x:c r="L1" s="19" t="str">
        <x:v>의사결정 상태</x:v>
      </x:c>
      <x:c r="M1" s="19" t="str">
        <x:v>위험 상태</x:v>
      </x:c>
    </x:row>
    <x:row r="2">
      <x:c r="A2" t="str">
        <x:v>미착수</x:v>
      </x:c>
      <x:c r="B2" t="str">
        <x:v>P0</x:v>
      </x:c>
      <x:c r="C2" t="str">
        <x:v>MVP</x:v>
      </x:c>
      <x:c r="D2" t="str">
        <x:v>필수</x:v>
      </x:c>
      <x:c r="E2" t="str">
        <x:v>높음</x:v>
      </x:c>
      <x:c r="F2" t="str">
        <x:v>XS</x:v>
      </x:c>
      <x:c r="G2" t="str">
        <x:v>기능</x:v>
      </x:c>
      <x:c r="H2" t="str">
        <x:v>전체</x:v>
      </x:c>
      <x:c r="I2" t="str">
        <x:v>서버 권한</x:v>
      </x:c>
      <x:c r="J2" t="str">
        <x:v>없음</x:v>
      </x:c>
      <x:c r="K2" t="str">
        <x:v>미실시</x:v>
      </x:c>
      <x:c r="L2" t="str">
        <x:v>미정</x:v>
      </x:c>
      <x:c r="M2" t="str">
        <x:v>미대응</x:v>
      </x:c>
    </x:row>
    <x:row r="3">
      <x:c r="A3" t="str">
        <x:v>사양 확인 중</x:v>
      </x:c>
      <x:c r="B3" t="str">
        <x:v>P1</x:v>
      </x:c>
      <x:c r="C3" t="str">
        <x:v>알파</x:v>
      </x:c>
      <x:c r="D3" t="str">
        <x:v>조건부</x:v>
      </x:c>
      <x:c r="E3" t="str">
        <x:v>중간</x:v>
      </x:c>
      <x:c r="F3" t="str">
        <x:v>S</x:v>
      </x:c>
      <x:c r="G3" t="str">
        <x:v>통합</x:v>
      </x:c>
      <x:c r="H3" t="str">
        <x:v>PC</x:v>
      </x:c>
      <x:c r="I3" t="str">
        <x:v>클라이언트 예측·서버 검증</x:v>
      </x:c>
      <x:c r="J3" t="str">
        <x:v>세션</x:v>
      </x:c>
      <x:c r="K3" t="str">
        <x:v>진행 중</x:v>
      </x:c>
      <x:c r="L3" t="str">
        <x:v>검토 중</x:v>
      </x:c>
      <x:c r="M3" t="str">
        <x:v>대응 중</x:v>
      </x:c>
    </x:row>
    <x:row r="4">
      <x:c r="A4" t="str">
        <x:v>구현 중</x:v>
      </x:c>
      <x:c r="B4" t="str">
        <x:v>P2</x:v>
      </x:c>
      <x:c r="C4" t="str">
        <x:v>베타</x:v>
      </x:c>
      <x:c r="D4" t="str">
        <x:v>권장</x:v>
      </x:c>
      <x:c r="E4" t="str">
        <x:v>낮음</x:v>
      </x:c>
      <x:c r="F4" t="str">
        <x:v>M</x:v>
      </x:c>
      <x:c r="G4" t="str">
        <x:v>경계값</x:v>
      </x:c>
      <x:c r="H4" t="str">
        <x:v>콘솔</x:v>
      </x:c>
      <x:c r="I4" t="str">
        <x:v>클라이언트 로컬</x:v>
      </x:c>
      <x:c r="J4" t="str">
        <x:v>매치</x:v>
      </x:c>
      <x:c r="K4" t="str">
        <x:v>통과</x:v>
      </x:c>
      <x:c r="L4" t="str">
        <x:v>승인됨</x:v>
      </x:c>
      <x:c r="M4" t="str">
        <x:v>모니터링</x:v>
      </x:c>
    </x:row>
    <x:row r="5">
      <x:c r="A5" t="str">
        <x:v>코드 리뷰</x:v>
      </x:c>
      <x:c r="B5" t="str">
        <x:v>P3</x:v>
      </x:c>
      <x:c r="C5" t="str">
        <x:v>릴리스 후보</x:v>
      </x:c>
      <x:c r="D5" t="str">
        <x:v>대상 제외</x:v>
      </x:c>
      <x:c r="E5"/>
      <x:c r="F5" t="str">
        <x:v>L</x:v>
      </x:c>
      <x:c r="G5" t="str">
        <x:v>네트워크</x:v>
      </x:c>
      <x:c r="H5" t="str">
        <x:v>모바일</x:v>
      </x:c>
      <x:c r="I5" t="str">
        <x:v>백엔드 권한</x:v>
      </x:c>
      <x:c r="J5" t="str">
        <x:v>계정</x:v>
      </x:c>
      <x:c r="K5" t="str">
        <x:v>실패</x:v>
      </x:c>
      <x:c r="L5" t="str">
        <x:v>반려</x:v>
      </x:c>
      <x:c r="M5" t="str">
        <x:v>수용</x:v>
      </x:c>
    </x:row>
    <x:row r="6">
      <x:c r="A6" t="str">
        <x:v>QA 진행 중</x:v>
      </x:c>
      <x:c r="B6"/>
      <x:c r="C6" t="str">
        <x:v>출시</x:v>
      </x:c>
      <x:c r="D6"/>
      <x:c r="E6"/>
      <x:c r="F6" t="str">
        <x:v>XL</x:v>
      </x:c>
      <x:c r="G6" t="str">
        <x:v>보안</x:v>
      </x:c>
      <x:c r="H6" t="str">
        <x:v>서버</x:v>
      </x:c>
      <x:c r="I6" t="str">
        <x:v>호스트 권한</x:v>
      </x:c>
      <x:c r="J6" t="str">
        <x:v>단말 로컬</x:v>
      </x:c>
      <x:c r="K6" t="str">
        <x:v>차단</x:v>
      </x:c>
      <x:c r="L6" t="str">
        <x:v>보류</x:v>
      </x:c>
      <x:c r="M6" t="str">
        <x:v>해소</x:v>
      </x:c>
    </x:row>
    <x:row r="7">
      <x:c r="A7" t="str">
        <x:v>차단</x:v>
      </x:c>
      <x:c r="B7"/>
      <x:c r="C7" t="str">
        <x:v>출시 후</x:v>
      </x:c>
      <x:c r="D7"/>
      <x:c r="E7"/>
      <x:c r="F7" t="str">
        <x:v>분할 필요</x:v>
      </x:c>
      <x:c r="G7" t="str">
        <x:v>성능</x:v>
      </x:c>
      <x:c r="H7" t="str">
        <x:v>백엔드</x:v>
      </x:c>
      <x:c r="I7" t="str">
        <x:v>콘텐츠 데이터</x:v>
      </x:c>
      <x:c r="J7" t="str">
        <x:v>백엔드</x:v>
      </x:c>
      <x:c r="K7" t="str">
        <x:v>대상 제외</x:v>
      </x:c>
      <x:c r="L7"/>
      <x:c r="M7" t="str">
        <x:v>종료</x:v>
      </x:c>
    </x:row>
    <x:row r="8">
      <x:c r="A8" t="str">
        <x:v>완료</x:v>
      </x:c>
      <x:c r="B8"/>
      <x:c r="C8" t="str">
        <x:v>대상 제외</x:v>
      </x:c>
      <x:c r="D8"/>
      <x:c r="E8"/>
      <x:c r="F8"/>
      <x:c r="G8" t="str">
        <x:v>호환성</x:v>
      </x:c>
      <x:c r="H8" t="str">
        <x:v>도구</x:v>
      </x:c>
      <x:c r="I8" t="str">
        <x:v>해당 없음</x:v>
      </x:c>
      <x:c r="J8" t="str">
        <x:v>감사 로그</x:v>
      </x:c>
      <x:c r="K8"/>
      <x:c r="L8"/>
      <x:c r="M8"/>
    </x:row>
    <x:row r="9">
      <x:c r="A9" t="str">
        <x:v>보류</x:v>
      </x:c>
      <x:c r="B9"/>
      <x:c r="C9"/>
      <x:c r="D9"/>
      <x:c r="E9"/>
      <x:c r="F9"/>
      <x:c r="G9" t="str">
        <x:v>사용성</x:v>
      </x:c>
      <x:c r="H9" t="str">
        <x:v>웹·관리자</x:v>
      </x:c>
      <x:c r="I9"/>
      <x:c r="J9"/>
      <x:c r="K9"/>
      <x:c r="L9"/>
      <x:c r="M9"/>
    </x:row>
    <x:row r="10">
      <x:c r="A10"/>
      <x:c r="B10"/>
      <x:c r="C10"/>
      <x:c r="D10"/>
      <x:c r="E10"/>
      <x:c r="F10"/>
      <x:c r="G10" t="str">
        <x:v>접근성</x:v>
      </x:c>
      <x:c r="H10"/>
      <x:c r="I10"/>
      <x:c r="J10"/>
      <x:c r="K10"/>
      <x:c r="L10"/>
      <x:c r="M10"/>
    </x:row>
    <x:row r="11">
      <x:c r="A11"/>
      <x:c r="B11"/>
      <x:c r="C11"/>
      <x:c r="D11"/>
      <x:c r="E11"/>
      <x:c r="F11"/>
      <x:c r="G11" t="str">
        <x:v>현지화</x:v>
      </x:c>
      <x:c r="H11"/>
      <x:c r="I11"/>
      <x:c r="J11"/>
      <x:c r="K11"/>
      <x:c r="L11"/>
      <x:c r="M11"/>
    </x:row>
    <x:row r="12">
      <x:c r="A12"/>
      <x:c r="B12"/>
      <x:c r="C12"/>
      <x:c r="D12"/>
      <x:c r="E12"/>
      <x:c r="F12"/>
      <x:c r="G12" t="str">
        <x:v>밸런스</x:v>
      </x:c>
      <x:c r="H12"/>
      <x:c r="I12"/>
      <x:c r="J12"/>
      <x:c r="K12"/>
      <x:c r="L12"/>
      <x:c r="M12"/>
    </x:row>
    <x:row r="13">
      <x:c r="A13"/>
      <x:c r="B13"/>
      <x:c r="C13"/>
      <x:c r="D13"/>
      <x:c r="E13"/>
      <x:c r="F13"/>
      <x:c r="G13" t="str">
        <x:v>운영</x:v>
      </x:c>
      <x:c r="H13"/>
      <x:c r="I13"/>
      <x:c r="J13"/>
      <x:c r="K13"/>
      <x:c r="L13"/>
      <x:c r="M13"/>
    </x:row>
  </x:sheetData>
  <x:pageMargins left="0.7" right="0.7" top="0.75" bottom="0.75" header="0.3" footer="0.3"/>
</x:worksheet>
</file>