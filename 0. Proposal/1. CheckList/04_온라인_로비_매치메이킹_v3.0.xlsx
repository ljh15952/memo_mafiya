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6ce5defc4e49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개요" sheetId="1" r:id="Rdbc36de29ce346b6"/>
    <x:sheet xmlns:r="http://schemas.openxmlformats.org/officeDocument/2006/relationships" name="01_백로그" sheetId="2" r:id="Rba834bd79e5b43ae"/>
    <x:sheet xmlns:r="http://schemas.openxmlformats.org/officeDocument/2006/relationships" name="02_세션_흐름" sheetId="3" r:id="Rd655e82a32704d68"/>
    <x:sheet xmlns:r="http://schemas.openxmlformats.org/officeDocument/2006/relationships" name="03_오류코드" sheetId="4" r:id="R35d91059a021425b"/>
    <x:sheet xmlns:r="http://schemas.openxmlformats.org/officeDocument/2006/relationships" name="04_호환성" sheetId="5" r:id="R77a95156176f4037"/>
    <x:sheet xmlns:r="http://schemas.openxmlformats.org/officeDocument/2006/relationships" name="80_QA_케이스" sheetId="6" r:id="R6e1d68ba64574467"/>
    <x:sheet xmlns:r="http://schemas.openxmlformats.org/officeDocument/2006/relationships" name="90_리스크" sheetId="7" r:id="R9b271f47dffc4bf6"/>
    <x:sheet xmlns:r="http://schemas.openxmlformats.org/officeDocument/2006/relationships" name="91_의사결정" sheetId="8" r:id="R708ee418504b4fb5"/>
    <x:sheet xmlns:r="http://schemas.openxmlformats.org/officeDocument/2006/relationships" name="99_목록" sheetId="9" r:id="Rd2e56e26ca6246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2033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5631367b314314" /><Relationship Type="http://schemas.openxmlformats.org/officeDocument/2006/relationships/theme" Target="/xl/theme/theme1.xml" Id="Rcbed16efe96247cb" /><Relationship Type="http://schemas.openxmlformats.org/officeDocument/2006/relationships/sharedStrings" Target="/xl/sharedStrings.xml" Id="R6fa3bd48518f40da" /><Relationship Type="http://schemas.openxmlformats.org/officeDocument/2006/relationships/worksheet" Target="/xl/worksheets/sheet1.xml" Id="Rdbc36de29ce346b6" /><Relationship Type="http://schemas.openxmlformats.org/officeDocument/2006/relationships/worksheet" Target="/xl/worksheets/sheet2.xml" Id="Rba834bd79e5b43ae" /><Relationship Type="http://schemas.openxmlformats.org/officeDocument/2006/relationships/worksheet" Target="/xl/worksheets/sheet3.xml" Id="Rd655e82a32704d68" /><Relationship Type="http://schemas.openxmlformats.org/officeDocument/2006/relationships/worksheet" Target="/xl/worksheets/sheet4.xml" Id="R35d91059a021425b" /><Relationship Type="http://schemas.openxmlformats.org/officeDocument/2006/relationships/worksheet" Target="/xl/worksheets/sheet5.xml" Id="R77a95156176f4037" /><Relationship Type="http://schemas.openxmlformats.org/officeDocument/2006/relationships/worksheet" Target="/xl/worksheets/sheet6.xml" Id="R6e1d68ba64574467" /><Relationship Type="http://schemas.openxmlformats.org/officeDocument/2006/relationships/worksheet" Target="/xl/worksheets/sheet7.xml" Id="R9b271f47dffc4bf6" /><Relationship Type="http://schemas.openxmlformats.org/officeDocument/2006/relationships/worksheet" Target="/xl/worksheets/sheet8.xml" Id="R708ee418504b4fb5" /><Relationship Type="http://schemas.openxmlformats.org/officeDocument/2006/relationships/worksheet" Target="/xl/worksheets/sheet9.xml" Id="Rd2e56e26ca6246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28" hidden="0" customWidth="1"/>
    <x:col min="4" max="4" width="4" hidden="0" customWidth="1"/>
    <x:col min="5" max="5" width="18" hidden="0" customWidth="1"/>
    <x:col min="6" max="6" width="12" hidden="0" customWidth="1"/>
    <x:col min="7" max="7" width="12" hidden="0" customWidth="1"/>
    <x:col min="8" max="8" width="24" hidden="0" customWidth="1"/>
  </x:cols>
  <x:sheetData>
    <x:row r="1" ht="32" customHeight="1">
      <x:c r="A1" s="20" t="str">
        <x:v>《등 뒤의 메모》 온라인·로비·매치메이킹 관리</x:v>
      </x:c>
    </x:row>
    <x:row r="2" ht="28" customHeight="1">
      <x:c r="A2" s="26" t="str">
        <x:v>버전 3.0-ko / 갱신일 2026-07-10 / 최신 기준: 메모 3장 사망·최후 생존자 승리·투표/추방 제거</x:v>
      </x:c>
    </x:row>
    <x:row r="4" ht="30" customHeight="1">
      <x:c r="A4" s="6" t="str">
        <x:v>핵심 지표</x:v>
      </x:c>
      <x:c r="B4" s="6" t="str">
        <x:v>값</x:v>
      </x:c>
      <x:c r="C4" s="6" t="str">
        <x:v>설명</x:v>
      </x:c>
      <x:c r="D4" s="6"/>
      <x:c r="E4" s="6" t="str">
        <x:v>상태</x:v>
      </x:c>
      <x:c r="F4" s="6" t="str">
        <x:v>건수</x:v>
      </x:c>
      <x:c r="G4" s="6" t="str">
        <x:v>비율</x:v>
      </x:c>
      <x:c r="H4" s="6" t="str">
        <x:v>운영 의미</x:v>
      </x:c>
    </x:row>
    <x:row r="5">
      <x:c r="A5" s="14" t="str">
        <x:v>백로그</x:v>
      </x:c>
      <x:c r="B5" s="14" t="n">
        <x:v>15</x:v>
      </x:c>
      <x:c r="C5" s="14" t="str">
        <x:v>해당 부문 구현 항목</x:v>
      </x:c>
      <x:c r="D5" s="14"/>
      <x:c r="E5" s="14" t="str">
        <x:v>미착수</x:v>
      </x:c>
      <x:c r="F5" s="14" t="n">
        <x:f>COUNTIF('01_백로그'!U:U,E5)</x:f>
        <x:v>15</x:v>
      </x:c>
      <x:c r="G5" s="30" t="n">
        <x:f>IFERROR(F5/$B$5,0)</x:f>
        <x:v>1</x:v>
      </x:c>
      <x:c r="H5" s="14" t="str">
        <x:v>착수 전</x:v>
      </x:c>
    </x:row>
    <x:row r="6">
      <x:c r="A6" s="14" t="str">
        <x:v>P0 미완료</x:v>
      </x:c>
      <x:c r="B6" s="14" t="n">
        <x:f>COUNTIFS('01_백로그'!J:J,"P0",'01_백로그'!U:U,"&lt;&gt;완료")</x:f>
        <x:v>13</x:v>
      </x:c>
      <x:c r="C6" s="14" t="str">
        <x:v>P0이면서 완료되지 않음</x:v>
      </x:c>
      <x:c r="D6" s="14"/>
      <x:c r="E6" s="14" t="str">
        <x:v>사양 확인 중</x:v>
      </x:c>
      <x:c r="F6" s="14" t="n">
        <x:f>COUNTIF('01_백로그'!U:U,E6)</x:f>
        <x:v>0</x:v>
      </x:c>
      <x:c r="G6" s="30" t="n">
        <x:f>IFERROR(F6/$B$5,0)</x:f>
        <x:v>0</x:v>
      </x:c>
      <x:c r="H6" s="14" t="str">
        <x:v>사양 확정</x:v>
      </x:c>
    </x:row>
    <x:row r="7">
      <x:c r="A7" s="14" t="str">
        <x:v>완료</x:v>
      </x:c>
      <x:c r="B7" s="14" t="n">
        <x:f>COUNTIF('01_백로그'!U:U,"완료")</x:f>
        <x:v>0</x:v>
      </x:c>
      <x:c r="C7" s="14" t="str">
        <x:v>완료 정의와 QA 통과</x:v>
      </x:c>
      <x:c r="D7" s="14"/>
      <x:c r="E7" s="14" t="str">
        <x:v>구현 중</x:v>
      </x:c>
      <x:c r="F7" s="14" t="n">
        <x:f>COUNTIF('01_백로그'!U:U,E7)</x:f>
        <x:v>0</x:v>
      </x:c>
      <x:c r="G7" s="30" t="n">
        <x:f>IFERROR(F7/$B$5,0)</x:f>
        <x:v>0</x:v>
      </x:c>
      <x:c r="H7" s="14" t="str">
        <x:v>작업 중</x:v>
      </x:c>
    </x:row>
    <x:row r="8">
      <x:c r="A8" s="14" t="str">
        <x:v>QA 케이스</x:v>
      </x:c>
      <x:c r="B8" s="14" t="n">
        <x:v>30</x:v>
      </x:c>
      <x:c r="C8" s="14" t="str">
        <x:v>정상+예외 시나리오</x:v>
      </x:c>
      <x:c r="D8" s="14"/>
      <x:c r="E8" s="14" t="str">
        <x:v>코드 리뷰</x:v>
      </x:c>
      <x:c r="F8" s="14" t="n">
        <x:f>COUNTIF('01_백로그'!U:U,E8)</x:f>
        <x:v>0</x:v>
      </x:c>
      <x:c r="G8" s="30" t="n">
        <x:f>IFERROR(F8/$B$5,0)</x:f>
        <x:v>0</x:v>
      </x:c>
      <x:c r="H8" s="14" t="str">
        <x:v>리뷰 중</x:v>
      </x:c>
    </x:row>
    <x:row r="9">
      <x:c r="A9" s="14" t="str">
        <x:v>위험</x:v>
      </x:c>
      <x:c r="B9" s="14" t="n">
        <x:v>3</x:v>
      </x:c>
      <x:c r="C9" s="14" t="str">
        <x:v>부문 위험 항목</x:v>
      </x:c>
      <x:c r="D9" s="14"/>
      <x:c r="E9" s="14" t="str">
        <x:v>QA 진행 중</x:v>
      </x:c>
      <x:c r="F9" s="14" t="n">
        <x:f>COUNTIF('01_백로그'!U:U,E9)</x:f>
        <x:v>0</x:v>
      </x:c>
      <x:c r="G9" s="30" t="n">
        <x:f>IFERROR(F9/$B$5,0)</x:f>
        <x:v>0</x:v>
      </x:c>
      <x:c r="H9" s="14" t="str">
        <x:v>검증 중</x:v>
      </x:c>
    </x:row>
    <x:row r="10">
      <x:c r="A10" s="14" t="str">
        <x:v>의사결정</x:v>
      </x:c>
      <x:c r="B10" s="14" t="n">
        <x:v>2</x:v>
      </x:c>
      <x:c r="C10" s="14" t="str">
        <x:v>승인 필요 항목</x:v>
      </x:c>
      <x:c r="D10" s="14"/>
      <x:c r="E10" s="14" t="str">
        <x:v>차단</x:v>
      </x:c>
      <x:c r="F10" s="14" t="n">
        <x:f>COUNTIF('01_백로그'!U:U,E10)</x:f>
        <x:v>0</x:v>
      </x:c>
      <x:c r="G10" s="30" t="n">
        <x:f>IFERROR(F10/$B$5,0)</x:f>
        <x:v>0</x:v>
      </x:c>
      <x:c r="H10" s="14" t="str">
        <x:v>해결 필요</x:v>
      </x:c>
    </x:row>
    <x:row r="11">
      <x:c r="A11" s="14" t="str">
        <x:v>평균 진행률</x:v>
      </x:c>
      <x:c r="B11" s="30" t="n">
        <x:f>IFERROR(AVERAGE('01_백로그'!V2:V1000),0)</x:f>
        <x:v>0</x:v>
      </x:c>
      <x:c r="C11" s="14" t="str">
        <x:v>상태 기반 자동 계산</x:v>
      </x:c>
      <x:c r="D11" s="14"/>
      <x:c r="E11" s="14" t="str">
        <x:v>완료</x:v>
      </x:c>
      <x:c r="F11" s="14" t="n">
        <x:f>COUNTIF('01_백로그'!U:U,E11)</x:f>
        <x:v>0</x:v>
      </x:c>
      <x:c r="G11" s="30" t="n">
        <x:f>IFERROR(F11/$B$5,0)</x:f>
        <x:v>0</x:v>
      </x:c>
      <x:c r="H11" s="14" t="str">
        <x:v>승인 완료</x:v>
      </x:c>
    </x:row>
    <x:row r="12">
      <x:c r="A12" s="14" t="str">
        <x:v>기준 사양</x:v>
      </x:c>
      <x:c r="B12" s="14" t="str">
        <x:v>p.1.2 / t.1.0</x:v>
      </x:c>
      <x:c r="C12" s="14" t="str">
        <x:v>개인전 생존 구조</x:v>
      </x:c>
      <x:c r="D12" s="14"/>
      <x:c r="E12" s="14" t="str">
        <x:v>보류</x:v>
      </x:c>
      <x:c r="F12" s="14" t="n">
        <x:f>COUNTIF('01_백로그'!U:U,E12)</x:f>
        <x:v>0</x:v>
      </x:c>
      <x:c r="G12" s="30" t="n">
        <x:f>IFERROR(F12/$B$5,0)</x:f>
        <x:v>0</x:v>
      </x:c>
      <x:c r="H12" s="14" t="str">
        <x:v>범위 재검토</x:v>
      </x:c>
    </x:row>
    <x:row r="14" ht="30" customHeight="1">
      <x:c r="A14" s="6" t="str">
        <x:v>현행 규칙 요약</x:v>
      </x:c>
      <x:c r="B14" s="6"/>
      <x:c r="C14" s="6"/>
      <x:c r="D14" s="6"/>
      <x:c r="E14" s="6"/>
      <x:c r="F14" s="6"/>
      <x:c r="G14" s="6"/>
      <x:c r="H14" s="6"/>
    </x:row>
    <x:row r="15">
      <x:c r="A15" s="33" t="str">
        <x:v>승리</x:v>
      </x:c>
      <x:c r="B15" s="14" t="str">
        <x:v>역할과 무관하게 마지막 생존자 1명이 승리한다.</x:v>
      </x:c>
    </x:row>
    <x:row r="16">
      <x:c r="A16" s="33" t="str">
        <x:v>사망</x:v>
      </x:c>
      <x:c r="B16" s="14" t="str">
        <x:v>등에 유효 메모 3장이 붙는 즉시 사망한다.</x:v>
      </x:c>
    </x:row>
    <x:row r="17">
      <x:c r="A17" s="33" t="str">
        <x:v>회의</x:v>
      </x:c>
      <x:c r="B17" s="14" t="str">
        <x:v>투표·추방 없이 정보 공유와 다음 표적 여론 형성만 수행한다.</x:v>
      </x:c>
    </x:row>
    <x:row r="18">
      <x:c r="A18" s="33" t="str">
        <x:v>마피아</x:v>
      </x:c>
      <x:c r="B18" s="14" t="str">
        <x:v>색 위조, 빠른 메모 획득, 선택 규칙인 마피아 유전을 사용한다.</x:v>
      </x:c>
    </x:row>
    <x:row r="19">
      <x:c r="A19" s="33" t="str">
        <x:v>범위</x:v>
      </x:c>
      <x:c r="B19" s="14" t="str">
        <x:v>핵심 규칙은 MVP, 유전·아이템 공통은 Alpha, 핵심 아이템은 Beta, 성장·전생은 Season 1이다.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8" hidden="0" customWidth="1"/>
    <x:col min="5" max="5" width="32" hidden="0" customWidth="1"/>
    <x:col min="6" max="6" width="42" hidden="0" customWidth="1"/>
    <x:col min="7" max="7" width="48" hidden="0" customWidth="1"/>
    <x:col min="8" max="8" width="44" hidden="0" customWidth="1"/>
    <x:col min="9" max="9" width="12" hidden="0" customWidth="1"/>
    <x:col min="10" max="10" width="10" hidden="0" customWidth="1"/>
    <x:col min="11" max="11" width="12" hidden="0" customWidth="1"/>
    <x:col min="12" max="12" width="14" hidden="0" customWidth="1"/>
    <x:col min="13" max="13" width="13" hidden="0" customWidth="1"/>
    <x:col min="14" max="14" width="20" hidden="0" customWidth="1"/>
    <x:col min="15" max="15" width="12" hidden="0" customWidth="1"/>
    <x:col min="16" max="16" width="12" hidden="0" customWidth="1"/>
    <x:col min="17" max="17" width="12" hidden="0" customWidth="1"/>
    <x:col min="18" max="18" width="22" hidden="0" customWidth="1"/>
    <x:col min="19" max="19" width="16" hidden="0" customWidth="1"/>
    <x:col min="20" max="20" width="10" hidden="0" customWidth="1"/>
    <x:col min="21" max="21" width="12" hidden="0" customWidth="1"/>
    <x:col min="22" max="22" width="10" hidden="0" customWidth="1"/>
    <x:col min="23" max="23" width="12" hidden="0" customWidth="1"/>
    <x:col min="24" max="24" width="12" hidden="0" customWidth="1"/>
    <x:col min="25" max="25" width="22" hidden="0" customWidth="1"/>
    <x:col min="26" max="26" width="10" hidden="0" customWidth="1"/>
    <x:col min="27" max="27" width="12" hidden="0" customWidth="1"/>
    <x:col min="28" max="28" width="24" hidden="0" customWidth="1"/>
    <x:col min="29" max="29" width="18" hidden="0" customWidth="1"/>
    <x:col min="30" max="30" width="36" hidden="0" customWidth="1"/>
    <x:col min="31" max="31" width="20" hidden="0" customWidth="1"/>
    <x:col min="32" max="32" width="13" hidden="0" customWidth="1"/>
    <x:col min="33" max="33" width="26" hidden="0" customWidth="1"/>
    <x:col min="34" max="34" width="12" hidden="0" customWidth="1"/>
    <x:col min="35" max="35" width="12" hidden="0" customWidth="1"/>
    <x:col min="36" max="36" width="12" hidden="0" customWidth="1"/>
  </x:cols>
  <x:sheetData>
    <x:row r="1" ht="30" customHeight="1">
      <x:c r="A1" s="6" t="str">
        <x:v>ID</x:v>
      </x:c>
      <x:c r="B1" s="6" t="str">
        <x:v>부문</x:v>
      </x:c>
      <x:c r="C1" s="6" t="str">
        <x:v>에픽</x:v>
      </x:c>
      <x:c r="D1" s="6" t="str">
        <x:v>기능 그룹</x:v>
      </x:c>
      <x:c r="E1" s="6" t="str">
        <x:v>구현 항목</x:v>
      </x:c>
      <x:c r="F1" s="6" t="str">
        <x:v>목적·설명</x:v>
      </x:c>
      <x:c r="G1" s="6" t="str">
        <x:v>수용 기준</x:v>
      </x:c>
      <x:c r="H1" s="6" t="str">
        <x:v>완료 정의</x:v>
      </x:c>
      <x:c r="I1" s="6" t="str">
        <x:v>범위</x:v>
      </x:c>
      <x:c r="J1" s="6" t="str">
        <x:v>우선순위</x:v>
      </x:c>
      <x:c r="K1" s="6" t="str">
        <x:v>릴리스 게이트</x:v>
      </x:c>
      <x:c r="L1" s="6" t="str">
        <x:v>게이트 분류</x:v>
      </x:c>
      <x:c r="M1" s="6" t="str">
        <x:v>마일스톤</x:v>
      </x:c>
      <x:c r="N1" s="6" t="str">
        <x:v>담당 부문</x:v>
      </x:c>
      <x:c r="O1" s="6" t="str">
        <x:v>담당자명</x:v>
      </x:c>
      <x:c r="P1" s="6" t="str">
        <x:v>검토자</x:v>
      </x:c>
      <x:c r="Q1" s="6" t="str">
        <x:v>대상 플랫폼</x:v>
      </x:c>
      <x:c r="R1" s="6" t="str">
        <x:v>권한·실행 주체</x:v>
      </x:c>
      <x:c r="S1" s="6" t="str">
        <x:v>영속화</x:v>
      </x:c>
      <x:c r="T1" s="6" t="str">
        <x:v>예상 규모</x:v>
      </x:c>
      <x:c r="U1" s="6" t="str">
        <x:v>상태</x:v>
      </x:c>
      <x:c r="V1" s="6" t="str">
        <x:v>진행률</x:v>
      </x:c>
      <x:c r="W1" s="6" t="str">
        <x:v>스프린트</x:v>
      </x:c>
      <x:c r="X1" s="6" t="str">
        <x:v>기한</x:v>
      </x:c>
      <x:c r="Y1" s="6" t="str">
        <x:v>의존 ID</x:v>
      </x:c>
      <x:c r="Z1" s="6" t="str">
        <x:v>위험도</x:v>
      </x:c>
      <x:c r="AA1" s="6" t="str">
        <x:v>QA 유형</x:v>
      </x:c>
      <x:c r="AB1" s="6" t="str">
        <x:v>테스트 케이스 ID</x:v>
      </x:c>
      <x:c r="AC1" s="6" t="str">
        <x:v>외부 추적 도구 키</x:v>
      </x:c>
      <x:c r="AD1" s="6" t="str">
        <x:v>근거</x:v>
      </x:c>
      <x:c r="AE1" s="6" t="str">
        <x:v>증빙 링크</x:v>
      </x:c>
      <x:c r="AF1" s="6" t="str">
        <x:v>최종 갱신일</x:v>
      </x:c>
      <x:c r="AG1" s="6" t="str">
        <x:v>비고</x:v>
      </x:c>
      <x:c r="AH1" s="6" t="str">
        <x:v>시작일</x:v>
      </x:c>
      <x:c r="AI1" s="6" t="str">
        <x:v>종료일</x:v>
      </x:c>
      <x:c r="AJ1" s="6" t="str">
        <x:v>진행상황</x:v>
      </x:c>
    </x:row>
    <x:row r="2">
      <x:c r="A2" s="14" t="str">
        <x:v>CHK-0005</x:v>
      </x:c>
      <x:c r="B2" s="14" t="str">
        <x:v>온라인·로비·매치메이킹</x:v>
      </x:c>
      <x:c r="C2" s="14" t="str">
        <x:v>핵심 규칙</x:v>
      </x:c>
      <x:c r="D2" s="14" t="str">
        <x:v>게임 루프</x:v>
      </x:c>
      <x:c r="E2" s="14" t="str">
        <x:v>중도 이탈 처리</x:v>
      </x:c>
      <x:c r="F2" s="14" t="str">
        <x:v>최신 개인전 생존 규칙에서 게임 루프 기능을 구현하고 검증한다. 투표·추방·최종재판 로직을 전제로 하지 않는다.</x:v>
      </x:c>
      <x:c r="G2" s="14" t="str">
        <x:v>플레이어 이탈 시 생존자 수, 마피아 유전 후보, 승리 판정이 정상 갱신된다.</x:v>
      </x:c>
      <x:c r="H2" s="14" t="str">
        <x:v>구현·코드 리뷰·사양 갱신·정상/예외 QA·로그 또는 증빙 연결을 완료하고 미해결 P0/P1 결함이 없다.</x:v>
      </x:c>
      <x:c r="I2" s="14" t="str">
        <x:v>MVP</x:v>
      </x:c>
      <x:c r="J2" s="14" t="str">
        <x:v>P0</x:v>
      </x:c>
      <x:c r="K2" s="14" t="str">
        <x:v>필수</x:v>
      </x:c>
      <x:c r="L2" s="14" t="str">
        <x:v>핵심 규칙</x:v>
      </x:c>
      <x:c r="M2" s="14" t="str">
        <x:v>MVP</x:v>
      </x:c>
      <x:c r="N2" s="14" t="str">
        <x:v>게임 디자인</x:v>
      </x:c>
      <x:c r="O2" s="14" t="str">
        <x:v>미정</x:v>
      </x:c>
      <x:c r="P2" s="14" t="str">
        <x:v>미정</x:v>
      </x:c>
      <x:c r="Q2" s="14" t="str">
        <x:v>공통</x:v>
      </x:c>
      <x:c r="R2" s="14" t="str">
        <x:v>서비스·프로세스 권한</x:v>
      </x:c>
      <x:c r="S2" s="14" t="str">
        <x:v>세션</x:v>
      </x:c>
      <x:c r="T2" s="14" t="str">
        <x:v>M</x:v>
      </x:c>
      <x:c r="U2" s="14" t="str">
        <x:v>미착수</x:v>
      </x:c>
      <x:c r="V2" s="14" t="n">
        <x:f>IF(U2="완료",1,IF(U2="QA 진행 중",0.8,IF(U2="코드 리뷰",0.65,IF(U2="구현 중",0.45,IF(U2="사양 확인 중",0.2,0)))))</x:f>
        <x:v>0</x:v>
      </x:c>
      <x:c r="W2" s="14" t="str">
        <x:v>미정</x:v>
      </x:c>
      <x:c r="X2" s="16"/>
      <x:c r="Y2" s="14"/>
      <x:c r="Z2" s="14" t="str">
        <x:v>중간</x:v>
      </x:c>
      <x:c r="AA2" s="14" t="str">
        <x:v>통합</x:v>
      </x:c>
      <x:c r="AB2" s="14" t="str">
        <x:v>TC-CHK-0005-01, TC-CHK-0005-02</x:v>
      </x:c>
      <x:c r="AC2" s="14"/>
      <x:c r="AD2" s="14" t="str">
        <x:v>p.1.2.md</x:v>
      </x:c>
      <x:c r="AE2" s="14"/>
      <x:c r="AF2" s="16" t="str">
        <x:v>2026-07-10</x:v>
      </x:c>
      <x:c r="AG2" s="14"/>
      <x:c r="AH2" s="16"/>
      <x:c r="AI2" s="16"/>
      <x:c r="AJ2" s="14" t="str">
        <x:v>착수 전</x:v>
      </x:c>
    </x:row>
    <x:row r="3">
      <x:c r="A3" s="14" t="str">
        <x:v>CHK-0006</x:v>
      </x:c>
      <x:c r="B3" s="14" t="str">
        <x:v>온라인·로비·매치메이킹</x:v>
      </x:c>
      <x:c r="C3" s="14" t="str">
        <x:v>핵심 규칙</x:v>
      </x:c>
      <x:c r="D3" s="14" t="str">
        <x:v>게임 루프</x:v>
      </x:c>
      <x:c r="E3" s="14" t="str">
        <x:v>재접속 처리</x:v>
      </x:c>
      <x:c r="F3" s="14" t="str">
        <x:v>최신 개인전 생존 규칙에서 게임 루프 기능을 구현하고 검증한다. 투표·추방·최종재판 로직을 전제로 하지 않는다.</x:v>
      </x:c>
      <x:c r="G3" s="14" t="str">
        <x:v>일시 네트워크 끊김 후 재접속 시 역할/메모/아이템/상태가 서버 값으로 복구된다.</x:v>
      </x:c>
      <x:c r="H3" s="14" t="str">
        <x:v>구현·코드 리뷰·사양 갱신·정상/예외 QA·로그 또는 증빙 연결을 완료하고 미해결 P0/P1 결함이 없다.</x:v>
      </x:c>
      <x:c r="I3" s="14" t="str">
        <x:v>MVP</x:v>
      </x:c>
      <x:c r="J3" s="14" t="str">
        <x:v>P0</x:v>
      </x:c>
      <x:c r="K3" s="14" t="str">
        <x:v>필수</x:v>
      </x:c>
      <x:c r="L3" s="14" t="str">
        <x:v>핵심 규칙</x:v>
      </x:c>
      <x:c r="M3" s="14" t="str">
        <x:v>MVP</x:v>
      </x:c>
      <x:c r="N3" s="14" t="str">
        <x:v>게임 디자인</x:v>
      </x:c>
      <x:c r="O3" s="14" t="str">
        <x:v>미정</x:v>
      </x:c>
      <x:c r="P3" s="14" t="str">
        <x:v>미정</x:v>
      </x:c>
      <x:c r="Q3" s="14" t="str">
        <x:v>공통</x:v>
      </x:c>
      <x:c r="R3" s="14" t="str">
        <x:v>서비스·프로세스 권한</x:v>
      </x:c>
      <x:c r="S3" s="14" t="str">
        <x:v>세션</x:v>
      </x:c>
      <x:c r="T3" s="14" t="str">
        <x:v>M</x:v>
      </x:c>
      <x:c r="U3" s="14" t="str">
        <x:v>미착수</x:v>
      </x:c>
      <x:c r="V3" s="14" t="n">
        <x:f>IF(U3="완료",1,IF(U3="QA 진행 중",0.8,IF(U3="코드 리뷰",0.65,IF(U3="구현 중",0.45,IF(U3="사양 확인 중",0.2,0)))))</x:f>
        <x:v>0</x:v>
      </x:c>
      <x:c r="W3" s="14" t="str">
        <x:v>미정</x:v>
      </x:c>
      <x:c r="X3" s="16"/>
      <x:c r="Y3" s="14"/>
      <x:c r="Z3" s="14" t="str">
        <x:v>중간</x:v>
      </x:c>
      <x:c r="AA3" s="14" t="str">
        <x:v>통합</x:v>
      </x:c>
      <x:c r="AB3" s="14" t="str">
        <x:v>TC-CHK-0006-01, TC-CHK-0006-02</x:v>
      </x:c>
      <x:c r="AC3" s="14"/>
      <x:c r="AD3" s="14" t="str">
        <x:v>p.1.2.md</x:v>
      </x:c>
      <x:c r="AE3" s="14"/>
      <x:c r="AF3" s="16" t="str">
        <x:v>2026-07-10</x:v>
      </x:c>
      <x:c r="AG3" s="14"/>
      <x:c r="AH3" s="16"/>
      <x:c r="AI3" s="16"/>
      <x:c r="AJ3" s="14" t="str">
        <x:v>착수 전</x:v>
      </x:c>
    </x:row>
    <x:row r="4">
      <x:c r="A4" s="14" t="str">
        <x:v>CHK-0174</x:v>
      </x:c>
      <x:c r="B4" s="14" t="str">
        <x:v>온라인·로비·매치메이킹</x:v>
      </x:c>
      <x:c r="C4" s="14" t="str">
        <x:v>네트워크·백엔드</x:v>
      </x:c>
      <x:c r="D4" s="14" t="str">
        <x:v>매치메이킹</x:v>
      </x:c>
      <x:c r="E4" s="14" t="str">
        <x:v>공개방</x:v>
      </x:c>
      <x:c r="F4" s="14" t="str">
        <x:v>최신 개인전 생존 규칙에서 매치메이킹 기능을 구현하고 검증한다. 투표·추방·최종재판 로직을 전제로 하지 않는다.</x:v>
      </x:c>
      <x:c r="G4" s="14" t="str">
        <x:v>공개 매치 검색, 입장, 인원 충족, 시작 흐름이 동작한다.</x:v>
      </x:c>
      <x:c r="H4" s="14" t="str">
        <x:v>구현·코드 리뷰·사양 갱신·정상/예외 QA·로그 또는 증빙 연결을 완료하고 미해결 P0/P1 결함이 없다.</x:v>
      </x:c>
      <x:c r="I4" s="14" t="str">
        <x:v>알파</x:v>
      </x:c>
      <x:c r="J4" s="14" t="str">
        <x:v>P0</x:v>
      </x:c>
      <x:c r="K4" s="14" t="str">
        <x:v>필수</x:v>
      </x:c>
      <x:c r="L4" s="14" t="str">
        <x:v>서버·시스템</x:v>
      </x:c>
      <x:c r="M4" s="14" t="str">
        <x:v>Alpha</x:v>
      </x:c>
      <x:c r="N4" s="14" t="str">
        <x:v>서버 엔지니어링</x:v>
      </x:c>
      <x:c r="O4" s="14" t="str">
        <x:v>미정</x:v>
      </x:c>
      <x:c r="P4" s="14" t="str">
        <x:v>미정</x:v>
      </x:c>
      <x:c r="Q4" s="14" t="str">
        <x:v>Server</x:v>
      </x:c>
      <x:c r="R4" s="14" t="str">
        <x:v>서버 권한</x:v>
      </x:c>
      <x:c r="S4" s="14" t="str">
        <x:v>세션</x:v>
      </x:c>
      <x:c r="T4" s="14" t="str">
        <x:v>M</x:v>
      </x:c>
      <x:c r="U4" s="14" t="str">
        <x:v>미착수</x:v>
      </x:c>
      <x:c r="V4" s="14" t="n">
        <x:f>IF(U4="완료",1,IF(U4="QA 진행 중",0.8,IF(U4="코드 리뷰",0.65,IF(U4="구현 중",0.45,IF(U4="사양 확인 중",0.2,0)))))</x:f>
        <x:v>0</x:v>
      </x:c>
      <x:c r="W4" s="14" t="str">
        <x:v>미정</x:v>
      </x:c>
      <x:c r="X4" s="16"/>
      <x:c r="Y4" s="14"/>
      <x:c r="Z4" s="14" t="str">
        <x:v>중간</x:v>
      </x:c>
      <x:c r="AA4" s="14" t="str">
        <x:v>통합</x:v>
      </x:c>
      <x:c r="AB4" s="14" t="str">
        <x:v>TC-CHK-0174-01, TC-CHK-0174-02</x:v>
      </x:c>
      <x:c r="AC4" s="14"/>
      <x:c r="AD4" s="14" t="str">
        <x:v>game_release_implementation_checklist.xlsx / p.1.2.md / t.1.0.md</x:v>
      </x:c>
      <x:c r="AE4" s="14"/>
      <x:c r="AF4" s="16" t="str">
        <x:v>2026-07-10</x:v>
      </x:c>
      <x:c r="AG4" s="14"/>
      <x:c r="AH4" s="16"/>
      <x:c r="AI4" s="16"/>
      <x:c r="AJ4" s="14" t="str">
        <x:v>착수 전</x:v>
      </x:c>
    </x:row>
    <x:row r="5">
      <x:c r="A5" s="14" t="str">
        <x:v>CHK-0175</x:v>
      </x:c>
      <x:c r="B5" s="14" t="str">
        <x:v>온라인·로비·매치메이킹</x:v>
      </x:c>
      <x:c r="C5" s="14" t="str">
        <x:v>네트워크·백엔드</x:v>
      </x:c>
      <x:c r="D5" s="14" t="str">
        <x:v>매치메이킹</x:v>
      </x:c>
      <x:c r="E5" s="14" t="str">
        <x:v>비공개방</x:v>
      </x:c>
      <x:c r="F5" s="14" t="str">
        <x:v>최신 개인전 생존 규칙에서 매치메이킹 기능을 구현하고 검증한다. 투표·추방·최종재판 로직을 전제로 하지 않는다.</x:v>
      </x:c>
      <x:c r="G5" s="14" t="str">
        <x:v>초대 코드로 비공개방을 생성/입장할 수 있다.</x:v>
      </x:c>
      <x:c r="H5" s="14" t="str">
        <x:v>구현·코드 리뷰·사양 갱신·정상/예외 QA·로그 또는 증빙 연결을 완료하고 미해결 P0/P1 결함이 없다.</x:v>
      </x:c>
      <x:c r="I5" s="14" t="str">
        <x:v>알파</x:v>
      </x:c>
      <x:c r="J5" s="14" t="str">
        <x:v>P0</x:v>
      </x:c>
      <x:c r="K5" s="14" t="str">
        <x:v>필수</x:v>
      </x:c>
      <x:c r="L5" s="14" t="str">
        <x:v>서버·시스템</x:v>
      </x:c>
      <x:c r="M5" s="14" t="str">
        <x:v>Alpha</x:v>
      </x:c>
      <x:c r="N5" s="14" t="str">
        <x:v>서버 엔지니어링</x:v>
      </x:c>
      <x:c r="O5" s="14" t="str">
        <x:v>미정</x:v>
      </x:c>
      <x:c r="P5" s="14" t="str">
        <x:v>미정</x:v>
      </x:c>
      <x:c r="Q5" s="14" t="str">
        <x:v>Server</x:v>
      </x:c>
      <x:c r="R5" s="14" t="str">
        <x:v>서버 권한</x:v>
      </x:c>
      <x:c r="S5" s="14" t="str">
        <x:v>세션</x:v>
      </x:c>
      <x:c r="T5" s="14" t="str">
        <x:v>M</x:v>
      </x:c>
      <x:c r="U5" s="14" t="str">
        <x:v>미착수</x:v>
      </x:c>
      <x:c r="V5" s="14" t="n">
        <x:f>IF(U5="완료",1,IF(U5="QA 진행 중",0.8,IF(U5="코드 리뷰",0.65,IF(U5="구현 중",0.45,IF(U5="사양 확인 중",0.2,0)))))</x:f>
        <x:v>0</x:v>
      </x:c>
      <x:c r="W5" s="14" t="str">
        <x:v>미정</x:v>
      </x:c>
      <x:c r="X5" s="16"/>
      <x:c r="Y5" s="14"/>
      <x:c r="Z5" s="14" t="str">
        <x:v>중간</x:v>
      </x:c>
      <x:c r="AA5" s="14" t="str">
        <x:v>통합</x:v>
      </x:c>
      <x:c r="AB5" s="14" t="str">
        <x:v>TC-CHK-0175-01, TC-CHK-0175-02</x:v>
      </x:c>
      <x:c r="AC5" s="14"/>
      <x:c r="AD5" s="14" t="str">
        <x:v>game_release_implementation_checklist.xlsx / p.1.2.md / t.1.0.md</x:v>
      </x:c>
      <x:c r="AE5" s="14"/>
      <x:c r="AF5" s="16" t="str">
        <x:v>2026-07-10</x:v>
      </x:c>
      <x:c r="AG5" s="14"/>
      <x:c r="AH5" s="16"/>
      <x:c r="AI5" s="16"/>
      <x:c r="AJ5" s="14" t="str">
        <x:v>착수 전</x:v>
      </x:c>
    </x:row>
    <x:row r="6">
      <x:c r="A6" s="14" t="str">
        <x:v>CHK-0176</x:v>
      </x:c>
      <x:c r="B6" s="14" t="str">
        <x:v>온라인·로비·매치메이킹</x:v>
      </x:c>
      <x:c r="C6" s="14" t="str">
        <x:v>네트워크·백엔드</x:v>
      </x:c>
      <x:c r="D6" s="14" t="str">
        <x:v>매치메이킹</x:v>
      </x:c>
      <x:c r="E6" s="14" t="str">
        <x:v>준비 상태</x:v>
      </x:c>
      <x:c r="F6" s="14" t="str">
        <x:v>최신 개인전 생존 규칙에서 매치메이킹 기능을 구현하고 검증한다. 투표·추방·최종재판 로직을 전제로 하지 않는다.</x:v>
      </x:c>
      <x:c r="G6" s="14" t="str">
        <x:v>모든 플레이어 준비 완료 또는 방장 시작 조건이 정상 작동한다.</x:v>
      </x:c>
      <x:c r="H6" s="14" t="str">
        <x:v>구현·코드 리뷰·사양 갱신·정상/예외 QA·로그 또는 증빙 연결을 완료하고 미해결 P0/P1 결함이 없다.</x:v>
      </x:c>
      <x:c r="I6" s="14" t="str">
        <x:v>알파</x:v>
      </x:c>
      <x:c r="J6" s="14" t="str">
        <x:v>P0</x:v>
      </x:c>
      <x:c r="K6" s="14" t="str">
        <x:v>필수</x:v>
      </x:c>
      <x:c r="L6" s="14" t="str">
        <x:v>서버·시스템</x:v>
      </x:c>
      <x:c r="M6" s="14" t="str">
        <x:v>Alpha</x:v>
      </x:c>
      <x:c r="N6" s="14" t="str">
        <x:v>서버 엔지니어링</x:v>
      </x:c>
      <x:c r="O6" s="14" t="str">
        <x:v>미정</x:v>
      </x:c>
      <x:c r="P6" s="14" t="str">
        <x:v>미정</x:v>
      </x:c>
      <x:c r="Q6" s="14" t="str">
        <x:v>Server</x:v>
      </x:c>
      <x:c r="R6" s="14" t="str">
        <x:v>서버 권한</x:v>
      </x:c>
      <x:c r="S6" s="14" t="str">
        <x:v>세션</x:v>
      </x:c>
      <x:c r="T6" s="14" t="str">
        <x:v>M</x:v>
      </x:c>
      <x:c r="U6" s="14" t="str">
        <x:v>미착수</x:v>
      </x:c>
      <x:c r="V6" s="14" t="n">
        <x:f>IF(U6="완료",1,IF(U6="QA 진행 중",0.8,IF(U6="코드 리뷰",0.65,IF(U6="구현 중",0.45,IF(U6="사양 확인 중",0.2,0)))))</x:f>
        <x:v>0</x:v>
      </x:c>
      <x:c r="W6" s="14" t="str">
        <x:v>미정</x:v>
      </x:c>
      <x:c r="X6" s="16"/>
      <x:c r="Y6" s="14"/>
      <x:c r="Z6" s="14" t="str">
        <x:v>중간</x:v>
      </x:c>
      <x:c r="AA6" s="14" t="str">
        <x:v>통합</x:v>
      </x:c>
      <x:c r="AB6" s="14" t="str">
        <x:v>TC-CHK-0176-01, TC-CHK-0176-02</x:v>
      </x:c>
      <x:c r="AC6" s="14"/>
      <x:c r="AD6" s="14" t="str">
        <x:v>game_release_implementation_checklist.xlsx / p.1.2.md / t.1.0.md</x:v>
      </x:c>
      <x:c r="AE6" s="14"/>
      <x:c r="AF6" s="16" t="str">
        <x:v>2026-07-10</x:v>
      </x:c>
      <x:c r="AG6" s="14"/>
      <x:c r="AH6" s="16"/>
      <x:c r="AI6" s="16"/>
      <x:c r="AJ6" s="14" t="str">
        <x:v>착수 전</x:v>
      </x:c>
    </x:row>
    <x:row r="7">
      <x:c r="A7" s="14" t="str">
        <x:v>SUP-ONL-001</x:v>
      </x:c>
      <x:c r="B7" s="14" t="str">
        <x:v>온라인·로비·매치메이킹</x:v>
      </x:c>
      <x:c r="C7" s="14" t="str">
        <x:v>운영 보완</x:v>
      </x:c>
      <x:c r="D7" s="14" t="str">
        <x:v>룸 생성</x:v>
      </x:c>
      <x:c r="E7" s="14" t="str">
        <x:v>공개·비공개 룸 생성</x:v>
      </x:c>
      <x:c r="F7" s="14" t="str">
        <x:v>최신 개인전 생존 규칙에서 룸 생성 기능을 구현하고 검증한다. 투표·추방·최종재판 로직을 전제로 하지 않는다.</x:v>
      </x:c>
      <x:c r="G7" s="14" t="str">
        <x:v>4~8인 룸을 공개 또는 참가 코드 방식으로 생성할 수 있다.</x:v>
      </x:c>
      <x:c r="H7" s="14" t="str">
        <x:v>구현·코드 리뷰·사양 갱신·정상/예외 QA·로그 또는 증빙 연결을 완료하고 미해결 P0/P1 결함이 없다.</x:v>
      </x:c>
      <x:c r="I7" s="14" t="str">
        <x:v>MVP</x:v>
      </x:c>
      <x:c r="J7" s="14" t="str">
        <x:v>P0</x:v>
      </x:c>
      <x:c r="K7" s="14" t="str">
        <x:v>필수</x:v>
      </x:c>
      <x:c r="L7" s="14" t="str">
        <x:v>핵심 규칙</x:v>
      </x:c>
      <x:c r="M7" s="14" t="str">
        <x:v>MVP</x:v>
      </x:c>
      <x:c r="N7" s="14" t="str">
        <x:v>서버 엔지니어링</x:v>
      </x:c>
      <x:c r="O7" s="14" t="str">
        <x:v>미정</x:v>
      </x:c>
      <x:c r="P7" s="14" t="str">
        <x:v>미정</x:v>
      </x:c>
      <x:c r="Q7" s="14" t="str">
        <x:v>공통</x:v>
      </x:c>
      <x:c r="R7" s="14" t="str">
        <x:v>서버 권한</x:v>
      </x:c>
      <x:c r="S7" s="14" t="str">
        <x:v>세션</x:v>
      </x:c>
      <x:c r="T7" s="14" t="str">
        <x:v>M</x:v>
      </x:c>
      <x:c r="U7" s="14" t="str">
        <x:v>미착수</x:v>
      </x:c>
      <x:c r="V7" s="14" t="n">
        <x:f>IF(U7="완료",1,IF(U7="QA 진행 중",0.8,IF(U7="코드 리뷰",0.65,IF(U7="구현 중",0.45,IF(U7="사양 확인 중",0.2,0)))))</x:f>
        <x:v>0</x:v>
      </x:c>
      <x:c r="W7" s="14" t="str">
        <x:v>미정</x:v>
      </x:c>
      <x:c r="X7" s="16"/>
      <x:c r="Y7" s="14"/>
      <x:c r="Z7" s="14" t="str">
        <x:v>중간</x:v>
      </x:c>
      <x:c r="AA7" s="14" t="str">
        <x:v>통합</x:v>
      </x:c>
      <x:c r="AB7" s="14" t="str">
        <x:v>TC-SUP-ONL-001-01, TC-SUP-ONL-001-02</x:v>
      </x:c>
      <x:c r="AC7" s="14"/>
      <x:c r="AD7" s="14" t="str">
        <x:v>p.1.2.md / t.1.0.md / v3.0 운영 보완</x:v>
      </x:c>
      <x:c r="AE7" s="14"/>
      <x:c r="AF7" s="16" t="str">
        <x:v>2026-07-10</x:v>
      </x:c>
      <x:c r="AG7" s="14" t="str">
        <x:v>v3.0 운영 보완 항목</x:v>
      </x:c>
      <x:c r="AH7" s="16"/>
      <x:c r="AI7" s="16"/>
      <x:c r="AJ7" s="14" t="str">
        <x:v>착수 전</x:v>
      </x:c>
    </x:row>
    <x:row r="8">
      <x:c r="A8" s="14" t="str">
        <x:v>SUP-ONL-002</x:v>
      </x:c>
      <x:c r="B8" s="14" t="str">
        <x:v>온라인·로비·매치메이킹</x:v>
      </x:c>
      <x:c r="C8" s="14" t="str">
        <x:v>운영 보완</x:v>
      </x:c>
      <x:c r="D8" s="14" t="str">
        <x:v>룸 참가</x:v>
      </x:c>
      <x:c r="E8" s="14" t="str">
        <x:v>참가 코드·초대 링크</x:v>
      </x:c>
      <x:c r="F8" s="14" t="str">
        <x:v>최신 개인전 생존 규칙에서 룸 참가 기능을 구현하고 검증한다. 투표·추방·최종재판 로직을 전제로 하지 않는다.</x:v>
      </x:c>
      <x:c r="G8" s="14" t="str">
        <x:v>유효/만료/가득 찬 룸에 대한 결과가 구분되고 중복 참가가 방지된다.</x:v>
      </x:c>
      <x:c r="H8" s="14" t="str">
        <x:v>구현·코드 리뷰·사양 갱신·정상/예외 QA·로그 또는 증빙 연결을 완료하고 미해결 P0/P1 결함이 없다.</x:v>
      </x:c>
      <x:c r="I8" s="14" t="str">
        <x:v>MVP</x:v>
      </x:c>
      <x:c r="J8" s="14" t="str">
        <x:v>P0</x:v>
      </x:c>
      <x:c r="K8" s="14" t="str">
        <x:v>필수</x:v>
      </x:c>
      <x:c r="L8" s="14" t="str">
        <x:v>핵심 규칙</x:v>
      </x:c>
      <x:c r="M8" s="14" t="str">
        <x:v>MVP</x:v>
      </x:c>
      <x:c r="N8" s="14" t="str">
        <x:v>서버 엔지니어링</x:v>
      </x:c>
      <x:c r="O8" s="14" t="str">
        <x:v>미정</x:v>
      </x:c>
      <x:c r="P8" s="14" t="str">
        <x:v>미정</x:v>
      </x:c>
      <x:c r="Q8" s="14" t="str">
        <x:v>공통</x:v>
      </x:c>
      <x:c r="R8" s="14" t="str">
        <x:v>서버 권한</x:v>
      </x:c>
      <x:c r="S8" s="14" t="str">
        <x:v>세션</x:v>
      </x:c>
      <x:c r="T8" s="14" t="str">
        <x:v>M</x:v>
      </x:c>
      <x:c r="U8" s="14" t="str">
        <x:v>미착수</x:v>
      </x:c>
      <x:c r="V8" s="14" t="n">
        <x:f>IF(U8="완료",1,IF(U8="QA 진행 중",0.8,IF(U8="코드 리뷰",0.65,IF(U8="구현 중",0.45,IF(U8="사양 확인 중",0.2,0)))))</x:f>
        <x:v>0</x:v>
      </x:c>
      <x:c r="W8" s="14" t="str">
        <x:v>미정</x:v>
      </x:c>
      <x:c r="X8" s="16"/>
      <x:c r="Y8" s="14"/>
      <x:c r="Z8" s="14" t="str">
        <x:v>중간</x:v>
      </x:c>
      <x:c r="AA8" s="14" t="str">
        <x:v>통합</x:v>
      </x:c>
      <x:c r="AB8" s="14" t="str">
        <x:v>TC-SUP-ONL-002-01, TC-SUP-ONL-002-02</x:v>
      </x:c>
      <x:c r="AC8" s="14"/>
      <x:c r="AD8" s="14" t="str">
        <x:v>p.1.2.md / t.1.0.md / v3.0 운영 보완</x:v>
      </x:c>
      <x:c r="AE8" s="14"/>
      <x:c r="AF8" s="16" t="str">
        <x:v>2026-07-10</x:v>
      </x:c>
      <x:c r="AG8" s="14" t="str">
        <x:v>v3.0 운영 보완 항목</x:v>
      </x:c>
      <x:c r="AH8" s="16"/>
      <x:c r="AI8" s="16"/>
      <x:c r="AJ8" s="14" t="str">
        <x:v>착수 전</x:v>
      </x:c>
    </x:row>
    <x:row r="9">
      <x:c r="A9" s="14" t="str">
        <x:v>SUP-ONL-003</x:v>
      </x:c>
      <x:c r="B9" s="14" t="str">
        <x:v>온라인·로비·매치메이킹</x:v>
      </x:c>
      <x:c r="C9" s="14" t="str">
        <x:v>운영 보완</x:v>
      </x:c>
      <x:c r="D9" s="14" t="str">
        <x:v>호스트</x:v>
      </x:c>
      <x:c r="E9" s="14" t="str">
        <x:v>호스트 권한·이관</x:v>
      </x:c>
      <x:c r="F9" s="14" t="str">
        <x:v>최신 개인전 생존 규칙에서 호스트 기능을 구현하고 검증한다. 투표·추방·최종재판 로직을 전제로 하지 않는다.</x:v>
      </x:c>
      <x:c r="G9" s="14" t="str">
        <x:v>호스트 이탈 시 권한이 결정론적으로 이관되고 룸 설정이 유지된다.</x:v>
      </x:c>
      <x:c r="H9" s="14" t="str">
        <x:v>구현·코드 리뷰·사양 갱신·정상/예외 QA·로그 또는 증빙 연결을 완료하고 미해결 P0/P1 결함이 없다.</x:v>
      </x:c>
      <x:c r="I9" s="14" t="str">
        <x:v>MVP</x:v>
      </x:c>
      <x:c r="J9" s="14" t="str">
        <x:v>P0</x:v>
      </x:c>
      <x:c r="K9" s="14" t="str">
        <x:v>필수</x:v>
      </x:c>
      <x:c r="L9" s="14" t="str">
        <x:v>핵심 규칙</x:v>
      </x:c>
      <x:c r="M9" s="14" t="str">
        <x:v>MVP</x:v>
      </x:c>
      <x:c r="N9" s="14" t="str">
        <x:v>서버 엔지니어링</x:v>
      </x:c>
      <x:c r="O9" s="14" t="str">
        <x:v>미정</x:v>
      </x:c>
      <x:c r="P9" s="14" t="str">
        <x:v>미정</x:v>
      </x:c>
      <x:c r="Q9" s="14" t="str">
        <x:v>공통</x:v>
      </x:c>
      <x:c r="R9" s="14" t="str">
        <x:v>서버 권한</x:v>
      </x:c>
      <x:c r="S9" s="14" t="str">
        <x:v>세션</x:v>
      </x:c>
      <x:c r="T9" s="14" t="str">
        <x:v>M</x:v>
      </x:c>
      <x:c r="U9" s="14" t="str">
        <x:v>미착수</x:v>
      </x:c>
      <x:c r="V9" s="14" t="n">
        <x:f>IF(U9="완료",1,IF(U9="QA 진행 중",0.8,IF(U9="코드 리뷰",0.65,IF(U9="구현 중",0.45,IF(U9="사양 확인 중",0.2,0)))))</x:f>
        <x:v>0</x:v>
      </x:c>
      <x:c r="W9" s="14" t="str">
        <x:v>미정</x:v>
      </x:c>
      <x:c r="X9" s="16"/>
      <x:c r="Y9" s="14"/>
      <x:c r="Z9" s="14" t="str">
        <x:v>중간</x:v>
      </x:c>
      <x:c r="AA9" s="14" t="str">
        <x:v>통합</x:v>
      </x:c>
      <x:c r="AB9" s="14" t="str">
        <x:v>TC-SUP-ONL-003-01, TC-SUP-ONL-003-02</x:v>
      </x:c>
      <x:c r="AC9" s="14"/>
      <x:c r="AD9" s="14" t="str">
        <x:v>p.1.2.md / t.1.0.md / v3.0 운영 보완</x:v>
      </x:c>
      <x:c r="AE9" s="14"/>
      <x:c r="AF9" s="16" t="str">
        <x:v>2026-07-10</x:v>
      </x:c>
      <x:c r="AG9" s="14" t="str">
        <x:v>v3.0 운영 보완 항목</x:v>
      </x:c>
      <x:c r="AH9" s="16"/>
      <x:c r="AI9" s="16"/>
      <x:c r="AJ9" s="14" t="str">
        <x:v>착수 전</x:v>
      </x:c>
    </x:row>
    <x:row r="10">
      <x:c r="A10" s="14" t="str">
        <x:v>SUP-ONL-004</x:v>
      </x:c>
      <x:c r="B10" s="14" t="str">
        <x:v>온라인·로비·매치메이킹</x:v>
      </x:c>
      <x:c r="C10" s="14" t="str">
        <x:v>운영 보완</x:v>
      </x:c>
      <x:c r="D10" s="14" t="str">
        <x:v>준비</x:v>
      </x:c>
      <x:c r="E10" s="14" t="str">
        <x:v>시작 조건 검증</x:v>
      </x:c>
      <x:c r="F10" s="14" t="str">
        <x:v>최신 개인전 생존 규칙에서 준비 기능을 구현하고 검증한다. 투표·추방·최종재판 로직을 전제로 하지 않는다.</x:v>
      </x:c>
      <x:c r="G10" s="14" t="str">
        <x:v>최소 인원, 준비 상태, 버전 호환, 필수 에셋 로딩이 충족되어야 시작된다.</x:v>
      </x:c>
      <x:c r="H10" s="14" t="str">
        <x:v>구현·코드 리뷰·사양 갱신·정상/예외 QA·로그 또는 증빙 연결을 완료하고 미해결 P0/P1 결함이 없다.</x:v>
      </x:c>
      <x:c r="I10" s="14" t="str">
        <x:v>MVP</x:v>
      </x:c>
      <x:c r="J10" s="14" t="str">
        <x:v>P0</x:v>
      </x:c>
      <x:c r="K10" s="14" t="str">
        <x:v>필수</x:v>
      </x:c>
      <x:c r="L10" s="14" t="str">
        <x:v>핵심 규칙</x:v>
      </x:c>
      <x:c r="M10" s="14" t="str">
        <x:v>MVP</x:v>
      </x:c>
      <x:c r="N10" s="14" t="str">
        <x:v>서버 엔지니어링</x:v>
      </x:c>
      <x:c r="O10" s="14" t="str">
        <x:v>미정</x:v>
      </x:c>
      <x:c r="P10" s="14" t="str">
        <x:v>미정</x:v>
      </x:c>
      <x:c r="Q10" s="14" t="str">
        <x:v>공통</x:v>
      </x:c>
      <x:c r="R10" s="14" t="str">
        <x:v>서버 권한</x:v>
      </x:c>
      <x:c r="S10" s="14" t="str">
        <x:v>세션</x:v>
      </x:c>
      <x:c r="T10" s="14" t="str">
        <x:v>M</x:v>
      </x:c>
      <x:c r="U10" s="14" t="str">
        <x:v>미착수</x:v>
      </x:c>
      <x:c r="V10" s="14" t="n">
        <x:f>IF(U10="완료",1,IF(U10="QA 진행 중",0.8,IF(U10="코드 리뷰",0.65,IF(U10="구현 중",0.45,IF(U10="사양 확인 중",0.2,0)))))</x:f>
        <x:v>0</x:v>
      </x:c>
      <x:c r="W10" s="14" t="str">
        <x:v>미정</x:v>
      </x:c>
      <x:c r="X10" s="16"/>
      <x:c r="Y10" s="14"/>
      <x:c r="Z10" s="14" t="str">
        <x:v>중간</x:v>
      </x:c>
      <x:c r="AA10" s="14" t="str">
        <x:v>통합</x:v>
      </x:c>
      <x:c r="AB10" s="14" t="str">
        <x:v>TC-SUP-ONL-004-01, TC-SUP-ONL-004-02</x:v>
      </x:c>
      <x:c r="AC10" s="14"/>
      <x:c r="AD10" s="14" t="str">
        <x:v>p.1.2.md / t.1.0.md / v3.0 운영 보완</x:v>
      </x:c>
      <x:c r="AE10" s="14"/>
      <x:c r="AF10" s="16" t="str">
        <x:v>2026-07-10</x:v>
      </x:c>
      <x:c r="AG10" s="14" t="str">
        <x:v>v3.0 운영 보완 항목</x:v>
      </x:c>
      <x:c r="AH10" s="16"/>
      <x:c r="AI10" s="16"/>
      <x:c r="AJ10" s="14" t="str">
        <x:v>착수 전</x:v>
      </x:c>
    </x:row>
    <x:row r="11">
      <x:c r="A11" s="14" t="str">
        <x:v>SUP-ONL-005</x:v>
      </x:c>
      <x:c r="B11" s="14" t="str">
        <x:v>온라인·로비·매치메이킹</x:v>
      </x:c>
      <x:c r="C11" s="14" t="str">
        <x:v>운영 보완</x:v>
      </x:c>
      <x:c r="D11" s="14" t="str">
        <x:v>재접속</x:v>
      </x:c>
      <x:c r="E11" s="14" t="str">
        <x:v>재접속 유예 시간</x:v>
      </x:c>
      <x:c r="F11" s="14" t="str">
        <x:v>최신 개인전 생존 규칙에서 재접속 기능을 구현하고 검증한다. 투표·추방·최종재판 로직을 전제로 하지 않는다.</x:v>
      </x:c>
      <x:c r="G11" s="14" t="str">
        <x:v>일시 연결 끊김 후 유예 시간 내 복귀하면 역할·메모·아이템·생존 상태가 복구된다.</x:v>
      </x:c>
      <x:c r="H11" s="14" t="str">
        <x:v>구현·코드 리뷰·사양 갱신·정상/예외 QA·로그 또는 증빙 연결을 완료하고 미해결 P0/P1 결함이 없다.</x:v>
      </x:c>
      <x:c r="I11" s="14" t="str">
        <x:v>MVP</x:v>
      </x:c>
      <x:c r="J11" s="14" t="str">
        <x:v>P0</x:v>
      </x:c>
      <x:c r="K11" s="14" t="str">
        <x:v>필수</x:v>
      </x:c>
      <x:c r="L11" s="14" t="str">
        <x:v>핵심 규칙</x:v>
      </x:c>
      <x:c r="M11" s="14" t="str">
        <x:v>MVP</x:v>
      </x:c>
      <x:c r="N11" s="14" t="str">
        <x:v>서버 엔지니어링</x:v>
      </x:c>
      <x:c r="O11" s="14" t="str">
        <x:v>미정</x:v>
      </x:c>
      <x:c r="P11" s="14" t="str">
        <x:v>미정</x:v>
      </x:c>
      <x:c r="Q11" s="14" t="str">
        <x:v>공통</x:v>
      </x:c>
      <x:c r="R11" s="14" t="str">
        <x:v>서버 권한</x:v>
      </x:c>
      <x:c r="S11" s="14" t="str">
        <x:v>세션</x:v>
      </x:c>
      <x:c r="T11" s="14" t="str">
        <x:v>M</x:v>
      </x:c>
      <x:c r="U11" s="14" t="str">
        <x:v>미착수</x:v>
      </x:c>
      <x:c r="V11" s="14" t="n">
        <x:f>IF(U11="완료",1,IF(U11="QA 진행 중",0.8,IF(U11="코드 리뷰",0.65,IF(U11="구현 중",0.45,IF(U11="사양 확인 중",0.2,0)))))</x:f>
        <x:v>0</x:v>
      </x:c>
      <x:c r="W11" s="14" t="str">
        <x:v>미정</x:v>
      </x:c>
      <x:c r="X11" s="16"/>
      <x:c r="Y11" s="14"/>
      <x:c r="Z11" s="14" t="str">
        <x:v>중간</x:v>
      </x:c>
      <x:c r="AA11" s="14" t="str">
        <x:v>네트워크</x:v>
      </x:c>
      <x:c r="AB11" s="14" t="str">
        <x:v>TC-SUP-ONL-005-01, TC-SUP-ONL-005-02</x:v>
      </x:c>
      <x:c r="AC11" s="14"/>
      <x:c r="AD11" s="14" t="str">
        <x:v>p.1.2.md / t.1.0.md / v3.0 운영 보완</x:v>
      </x:c>
      <x:c r="AE11" s="14"/>
      <x:c r="AF11" s="16" t="str">
        <x:v>2026-07-10</x:v>
      </x:c>
      <x:c r="AG11" s="14" t="str">
        <x:v>v3.0 운영 보완 항목</x:v>
      </x:c>
      <x:c r="AH11" s="16"/>
      <x:c r="AI11" s="16"/>
      <x:c r="AJ11" s="14" t="str">
        <x:v>착수 전</x:v>
      </x:c>
    </x:row>
    <x:row r="12">
      <x:c r="A12" s="14" t="str">
        <x:v>SUP-ONL-006</x:v>
      </x:c>
      <x:c r="B12" s="14" t="str">
        <x:v>온라인·로비·매치메이킹</x:v>
      </x:c>
      <x:c r="C12" s="14" t="str">
        <x:v>운영 보완</x:v>
      </x:c>
      <x:c r="D12" s="14" t="str">
        <x:v>관전</x:v>
      </x:c>
      <x:c r="E12" s="14" t="str">
        <x:v>사망자 관전 슬롯</x:v>
      </x:c>
      <x:c r="F12" s="14" t="str">
        <x:v>최신 개인전 생존 규칙에서 관전 기능을 구현하고 검증한다. 투표·추방·최종재판 로직을 전제로 하지 않는다.</x:v>
      </x:c>
      <x:c r="G12" s="14" t="str">
        <x:v>사망자는 관전 전용 상태로 전환되고 생존자 상호작용과 음성 채널에 영향을 주지 않는다.</x:v>
      </x:c>
      <x:c r="H12" s="14" t="str">
        <x:v>구현·코드 리뷰·사양 갱신·정상/예외 QA·로그 또는 증빙 연결을 완료하고 미해결 P0/P1 결함이 없다.</x:v>
      </x:c>
      <x:c r="I12" s="14" t="str">
        <x:v>MVP</x:v>
      </x:c>
      <x:c r="J12" s="14" t="str">
        <x:v>P0</x:v>
      </x:c>
      <x:c r="K12" s="14" t="str">
        <x:v>필수</x:v>
      </x:c>
      <x:c r="L12" s="14" t="str">
        <x:v>핵심 규칙</x:v>
      </x:c>
      <x:c r="M12" s="14" t="str">
        <x:v>MVP</x:v>
      </x:c>
      <x:c r="N12" s="14" t="str">
        <x:v>서버 엔지니어링</x:v>
      </x:c>
      <x:c r="O12" s="14" t="str">
        <x:v>미정</x:v>
      </x:c>
      <x:c r="P12" s="14" t="str">
        <x:v>미정</x:v>
      </x:c>
      <x:c r="Q12" s="14" t="str">
        <x:v>공통</x:v>
      </x:c>
      <x:c r="R12" s="14" t="str">
        <x:v>서버 권한</x:v>
      </x:c>
      <x:c r="S12" s="14" t="str">
        <x:v>세션</x:v>
      </x:c>
      <x:c r="T12" s="14" t="str">
        <x:v>M</x:v>
      </x:c>
      <x:c r="U12" s="14" t="str">
        <x:v>미착수</x:v>
      </x:c>
      <x:c r="V12" s="14" t="n">
        <x:f>IF(U12="완료",1,IF(U12="QA 진행 중",0.8,IF(U12="코드 리뷰",0.65,IF(U12="구현 중",0.45,IF(U12="사양 확인 중",0.2,0)))))</x:f>
        <x:v>0</x:v>
      </x:c>
      <x:c r="W12" s="14" t="str">
        <x:v>미정</x:v>
      </x:c>
      <x:c r="X12" s="16"/>
      <x:c r="Y12" s="14"/>
      <x:c r="Z12" s="14" t="str">
        <x:v>중간</x:v>
      </x:c>
      <x:c r="AA12" s="14" t="str">
        <x:v>통합</x:v>
      </x:c>
      <x:c r="AB12" s="14" t="str">
        <x:v>TC-SUP-ONL-006-01, TC-SUP-ONL-006-02</x:v>
      </x:c>
      <x:c r="AC12" s="14"/>
      <x:c r="AD12" s="14" t="str">
        <x:v>p.1.2.md / t.1.0.md / v3.0 운영 보완</x:v>
      </x:c>
      <x:c r="AE12" s="14"/>
      <x:c r="AF12" s="16" t="str">
        <x:v>2026-07-10</x:v>
      </x:c>
      <x:c r="AG12" s="14" t="str">
        <x:v>v3.0 운영 보완 항목</x:v>
      </x:c>
      <x:c r="AH12" s="16"/>
      <x:c r="AI12" s="16"/>
      <x:c r="AJ12" s="14" t="str">
        <x:v>착수 전</x:v>
      </x:c>
    </x:row>
    <x:row r="13">
      <x:c r="A13" s="14" t="str">
        <x:v>SUP-ONL-007</x:v>
      </x:c>
      <x:c r="B13" s="14" t="str">
        <x:v>온라인·로비·매치메이킹</x:v>
      </x:c>
      <x:c r="C13" s="14" t="str">
        <x:v>운영 보완</x:v>
      </x:c>
      <x:c r="D13" s="14" t="str">
        <x:v>동기화</x:v>
      </x:c>
      <x:c r="E13" s="14" t="str">
        <x:v>룸 설정 동기화</x:v>
      </x:c>
      <x:c r="F13" s="14" t="str">
        <x:v>최신 개인전 생존 규칙에서 동기화 기능을 구현하고 검증한다. 투표·추방·최종재판 로직을 전제로 하지 않는다.</x:v>
      </x:c>
      <x:c r="G13" s="14" t="str">
        <x:v>호스트가 변경한 허용 설정이 모든 참가자에게 버전과 해시로 동기화된다.</x:v>
      </x:c>
      <x:c r="H13" s="14" t="str">
        <x:v>구현·코드 리뷰·사양 갱신·정상/예외 QA·로그 또는 증빙 연결을 완료하고 미해결 P0/P1 결함이 없다.</x:v>
      </x:c>
      <x:c r="I13" s="14" t="str">
        <x:v>MVP</x:v>
      </x:c>
      <x:c r="J13" s="14" t="str">
        <x:v>P0</x:v>
      </x:c>
      <x:c r="K13" s="14" t="str">
        <x:v>필수</x:v>
      </x:c>
      <x:c r="L13" s="14" t="str">
        <x:v>핵심 규칙</x:v>
      </x:c>
      <x:c r="M13" s="14" t="str">
        <x:v>MVP</x:v>
      </x:c>
      <x:c r="N13" s="14" t="str">
        <x:v>서버 엔지니어링</x:v>
      </x:c>
      <x:c r="O13" s="14" t="str">
        <x:v>미정</x:v>
      </x:c>
      <x:c r="P13" s="14" t="str">
        <x:v>미정</x:v>
      </x:c>
      <x:c r="Q13" s="14" t="str">
        <x:v>공통</x:v>
      </x:c>
      <x:c r="R13" s="14" t="str">
        <x:v>서버 권한</x:v>
      </x:c>
      <x:c r="S13" s="14" t="str">
        <x:v>세션</x:v>
      </x:c>
      <x:c r="T13" s="14" t="str">
        <x:v>M</x:v>
      </x:c>
      <x:c r="U13" s="14" t="str">
        <x:v>미착수</x:v>
      </x:c>
      <x:c r="V13" s="14" t="n">
        <x:f>IF(U13="완료",1,IF(U13="QA 진행 중",0.8,IF(U13="코드 리뷰",0.65,IF(U13="구현 중",0.45,IF(U13="사양 확인 중",0.2,0)))))</x:f>
        <x:v>0</x:v>
      </x:c>
      <x:c r="W13" s="14" t="str">
        <x:v>미정</x:v>
      </x:c>
      <x:c r="X13" s="16"/>
      <x:c r="Y13" s="14"/>
      <x:c r="Z13" s="14" t="str">
        <x:v>중간</x:v>
      </x:c>
      <x:c r="AA13" s="14" t="str">
        <x:v>네트워크</x:v>
      </x:c>
      <x:c r="AB13" s="14" t="str">
        <x:v>TC-SUP-ONL-007-01, TC-SUP-ONL-007-02</x:v>
      </x:c>
      <x:c r="AC13" s="14"/>
      <x:c r="AD13" s="14" t="str">
        <x:v>p.1.2.md / t.1.0.md / v3.0 운영 보완</x:v>
      </x:c>
      <x:c r="AE13" s="14"/>
      <x:c r="AF13" s="16" t="str">
        <x:v>2026-07-10</x:v>
      </x:c>
      <x:c r="AG13" s="14" t="str">
        <x:v>v3.0 운영 보완 항목</x:v>
      </x:c>
      <x:c r="AH13" s="16"/>
      <x:c r="AI13" s="16"/>
      <x:c r="AJ13" s="14" t="str">
        <x:v>착수 전</x:v>
      </x:c>
    </x:row>
    <x:row r="14">
      <x:c r="A14" s="14" t="str">
        <x:v>SUP-ONL-008</x:v>
      </x:c>
      <x:c r="B14" s="14" t="str">
        <x:v>온라인·로비·매치메이킹</x:v>
      </x:c>
      <x:c r="C14" s="14" t="str">
        <x:v>운영 보완</x:v>
      </x:c>
      <x:c r="D14" s="14" t="str">
        <x:v>지역</x:v>
      </x:c>
      <x:c r="E14" s="14" t="str">
        <x:v>지역·핑 표시</x:v>
      </x:c>
      <x:c r="F14" s="14" t="str">
        <x:v>최신 개인전 생존 규칙에서 지역 기능을 구현하고 검증한다. 투표·추방·최종재판 로직을 전제로 하지 않는다.</x:v>
      </x:c>
      <x:c r="G14" s="14" t="str">
        <x:v>매치 시작 전 예상 지연과 서버 지역을 표시하고 과도한 지연 룸에는 경고한다.</x:v>
      </x:c>
      <x:c r="H14" s="14" t="str">
        <x:v>구현·코드 리뷰·사양 갱신·정상/예외 QA·로그 또는 증빙 연결을 완료하고 미해결 P0/P1 결함이 없다.</x:v>
      </x:c>
      <x:c r="I14" s="14" t="str">
        <x:v>알파</x:v>
      </x:c>
      <x:c r="J14" s="14" t="str">
        <x:v>P1</x:v>
      </x:c>
      <x:c r="K14" s="14" t="str">
        <x:v>필수</x:v>
      </x:c>
      <x:c r="L14" s="14" t="str">
        <x:v>서버·시스템</x:v>
      </x:c>
      <x:c r="M14" s="14" t="str">
        <x:v>Alpha</x:v>
      </x:c>
      <x:c r="N14" s="14" t="str">
        <x:v>서버 엔지니어링</x:v>
      </x:c>
      <x:c r="O14" s="14" t="str">
        <x:v>미정</x:v>
      </x:c>
      <x:c r="P14" s="14" t="str">
        <x:v>미정</x:v>
      </x:c>
      <x:c r="Q14" s="14" t="str">
        <x:v>공통</x:v>
      </x:c>
      <x:c r="R14" s="14" t="str">
        <x:v>서버 권한</x:v>
      </x:c>
      <x:c r="S14" s="14" t="str">
        <x:v>세션</x:v>
      </x:c>
      <x:c r="T14" s="14" t="str">
        <x:v>M</x:v>
      </x:c>
      <x:c r="U14" s="14" t="str">
        <x:v>미착수</x:v>
      </x:c>
      <x:c r="V14" s="14" t="n">
        <x:f>IF(U14="완료",1,IF(U14="QA 진행 중",0.8,IF(U14="코드 리뷰",0.65,IF(U14="구현 중",0.45,IF(U14="사양 확인 중",0.2,0)))))</x:f>
        <x:v>0</x:v>
      </x:c>
      <x:c r="W14" s="14" t="str">
        <x:v>미정</x:v>
      </x:c>
      <x:c r="X14" s="16"/>
      <x:c r="Y14" s="14"/>
      <x:c r="Z14" s="14" t="str">
        <x:v>중간</x:v>
      </x:c>
      <x:c r="AA14" s="14" t="str">
        <x:v>네트워크</x:v>
      </x:c>
      <x:c r="AB14" s="14" t="str">
        <x:v>TC-SUP-ONL-008-01, TC-SUP-ONL-008-02</x:v>
      </x:c>
      <x:c r="AC14" s="14"/>
      <x:c r="AD14" s="14" t="str">
        <x:v>p.1.2.md / t.1.0.md / v3.0 운영 보완</x:v>
      </x:c>
      <x:c r="AE14" s="14"/>
      <x:c r="AF14" s="16" t="str">
        <x:v>2026-07-10</x:v>
      </x:c>
      <x:c r="AG14" s="14" t="str">
        <x:v>v3.0 운영 보완 항목</x:v>
      </x:c>
      <x:c r="AH14" s="16"/>
      <x:c r="AI14" s="16"/>
      <x:c r="AJ14" s="14" t="str">
        <x:v>착수 전</x:v>
      </x:c>
    </x:row>
    <x:row r="15">
      <x:c r="A15" s="14" t="str">
        <x:v>SUP-ONL-009</x:v>
      </x:c>
      <x:c r="B15" s="14" t="str">
        <x:v>온라인·로비·매치메이킹</x:v>
      </x:c>
      <x:c r="C15" s="14" t="str">
        <x:v>운영 보완</x:v>
      </x:c>
      <x:c r="D15" s="14" t="str">
        <x:v>크로스플레이</x:v>
      </x:c>
      <x:c r="E15" s="14" t="str">
        <x:v>플랫폼 호환성 검증</x:v>
      </x:c>
      <x:c r="F15" s="14" t="str">
        <x:v>최신 개인전 생존 규칙에서 크로스플레이 기능을 구현하고 검증한다. 투표·추방·최종재판 로직을 전제로 하지 않는다.</x:v>
      </x:c>
      <x:c r="G15" s="14" t="str">
        <x:v>입력 방식과 플랫폼이 달라도 핵심 행동 시간과 판정이 공정하게 유지된다.</x:v>
      </x:c>
      <x:c r="H15" s="14" t="str">
        <x:v>구현·코드 리뷰·사양 갱신·정상/예외 QA·로그 또는 증빙 연결을 완료하고 미해결 P0/P1 결함이 없다.</x:v>
      </x:c>
      <x:c r="I15" s="14" t="str">
        <x:v>베타</x:v>
      </x:c>
      <x:c r="J15" s="14" t="str">
        <x:v>P1</x:v>
      </x:c>
      <x:c r="K15" s="14" t="str">
        <x:v>필수</x:v>
      </x:c>
      <x:c r="L15" s="14" t="str">
        <x:v>UX·콘텐츠</x:v>
      </x:c>
      <x:c r="M15" s="14" t="str">
        <x:v>Beta</x:v>
      </x:c>
      <x:c r="N15" s="14" t="str">
        <x:v>서버 엔지니어링</x:v>
      </x:c>
      <x:c r="O15" s="14" t="str">
        <x:v>미정</x:v>
      </x:c>
      <x:c r="P15" s="14" t="str">
        <x:v>미정</x:v>
      </x:c>
      <x:c r="Q15" s="14" t="str">
        <x:v>공통</x:v>
      </x:c>
      <x:c r="R15" s="14" t="str">
        <x:v>서버 권한</x:v>
      </x:c>
      <x:c r="S15" s="14" t="str">
        <x:v>세션</x:v>
      </x:c>
      <x:c r="T15" s="14" t="str">
        <x:v>M</x:v>
      </x:c>
      <x:c r="U15" s="14" t="str">
        <x:v>미착수</x:v>
      </x:c>
      <x:c r="V15" s="14" t="n">
        <x:f>IF(U15="완료",1,IF(U15="QA 진행 중",0.8,IF(U15="코드 리뷰",0.65,IF(U15="구현 중",0.45,IF(U15="사양 확인 중",0.2,0)))))</x:f>
        <x:v>0</x:v>
      </x:c>
      <x:c r="W15" s="14" t="str">
        <x:v>미정</x:v>
      </x:c>
      <x:c r="X15" s="16"/>
      <x:c r="Y15" s="14"/>
      <x:c r="Z15" s="14" t="str">
        <x:v>중간</x:v>
      </x:c>
      <x:c r="AA15" s="14" t="str">
        <x:v>호환성</x:v>
      </x:c>
      <x:c r="AB15" s="14" t="str">
        <x:v>TC-SUP-ONL-009-01, TC-SUP-ONL-009-02</x:v>
      </x:c>
      <x:c r="AC15" s="14"/>
      <x:c r="AD15" s="14" t="str">
        <x:v>p.1.2.md / t.1.0.md / v3.0 운영 보완</x:v>
      </x:c>
      <x:c r="AE15" s="14"/>
      <x:c r="AF15" s="16" t="str">
        <x:v>2026-07-10</x:v>
      </x:c>
      <x:c r="AG15" s="14" t="str">
        <x:v>v3.0 운영 보완 항목</x:v>
      </x:c>
      <x:c r="AH15" s="16"/>
      <x:c r="AI15" s="16"/>
      <x:c r="AJ15" s="14" t="str">
        <x:v>착수 전</x:v>
      </x:c>
    </x:row>
    <x:row r="16">
      <x:c r="A16" s="14" t="str">
        <x:v>SUP-ONL-010</x:v>
      </x:c>
      <x:c r="B16" s="14" t="str">
        <x:v>온라인·로비·매치메이킹</x:v>
      </x:c>
      <x:c r="C16" s="14" t="str">
        <x:v>운영 보완</x:v>
      </x:c>
      <x:c r="D16" s="14" t="str">
        <x:v>진행 중 참가</x:v>
      </x:c>
      <x:c r="E16" s="14" t="str">
        <x:v>진행 중 백필 금지</x:v>
      </x:c>
      <x:c r="F16" s="14" t="str">
        <x:v>최신 개인전 생존 규칙에서 진행 중 참가 기능을 구현하고 검증한다. 투표·추방·최종재판 로직을 전제로 하지 않는다.</x:v>
      </x:c>
      <x:c r="G16" s="14" t="str">
        <x:v>역할·정보 비대칭 보호를 위해 게임 시작 후 신규 생존자 참가를 허용하지 않는다.</x:v>
      </x:c>
      <x:c r="H16" s="14" t="str">
        <x:v>구현·코드 리뷰·사양 갱신·정상/예외 QA·로그 또는 증빙 연결을 완료하고 미해결 P0/P1 결함이 없다.</x:v>
      </x:c>
      <x:c r="I16" s="14" t="str">
        <x:v>MVP</x:v>
      </x:c>
      <x:c r="J16" s="14" t="str">
        <x:v>P0</x:v>
      </x:c>
      <x:c r="K16" s="14" t="str">
        <x:v>필수</x:v>
      </x:c>
      <x:c r="L16" s="14" t="str">
        <x:v>핵심 규칙</x:v>
      </x:c>
      <x:c r="M16" s="14" t="str">
        <x:v>MVP</x:v>
      </x:c>
      <x:c r="N16" s="14" t="str">
        <x:v>서버 엔지니어링</x:v>
      </x:c>
      <x:c r="O16" s="14" t="str">
        <x:v>미정</x:v>
      </x:c>
      <x:c r="P16" s="14" t="str">
        <x:v>미정</x:v>
      </x:c>
      <x:c r="Q16" s="14" t="str">
        <x:v>공통</x:v>
      </x:c>
      <x:c r="R16" s="14" t="str">
        <x:v>서버 권한</x:v>
      </x:c>
      <x:c r="S16" s="14" t="str">
        <x:v>세션</x:v>
      </x:c>
      <x:c r="T16" s="14" t="str">
        <x:v>M</x:v>
      </x:c>
      <x:c r="U16" s="14" t="str">
        <x:v>미착수</x:v>
      </x:c>
      <x:c r="V16" s="14" t="n">
        <x:f>IF(U16="완료",1,IF(U16="QA 진행 중",0.8,IF(U16="코드 리뷰",0.65,IF(U16="구현 중",0.45,IF(U16="사양 확인 중",0.2,0)))))</x:f>
        <x:v>0</x:v>
      </x:c>
      <x:c r="W16" s="14" t="str">
        <x:v>미정</x:v>
      </x:c>
      <x:c r="X16" s="16"/>
      <x:c r="Y16" s="14"/>
      <x:c r="Z16" s="14" t="str">
        <x:v>중간</x:v>
      </x:c>
      <x:c r="AA16" s="14" t="str">
        <x:v>통합</x:v>
      </x:c>
      <x:c r="AB16" s="14" t="str">
        <x:v>TC-SUP-ONL-010-01, TC-SUP-ONL-010-02</x:v>
      </x:c>
      <x:c r="AC16" s="14"/>
      <x:c r="AD16" s="14" t="str">
        <x:v>p.1.2.md / t.1.0.md / v3.0 운영 보완</x:v>
      </x:c>
      <x:c r="AE16" s="14"/>
      <x:c r="AF16" s="16" t="str">
        <x:v>2026-07-10</x:v>
      </x:c>
      <x:c r="AG16" s="14" t="str">
        <x:v>v3.0 운영 보완 항목</x:v>
      </x:c>
      <x:c r="AH16" s="16"/>
      <x:c r="AI16" s="16"/>
      <x:c r="AJ16" s="14" t="str">
        <x:v>착수 전</x:v>
      </x:c>
    </x:row>
  </x:sheetData>
  <x:conditionalFormatting sqref="V2:V16">
    <x:cfRule type="dataBar" priority="1">
      <x:dataBar>
        <x:cfvo type="min"/>
        <x:cfvo type="max"/>
        <x:color rgb="FF4F81BD"/>
      </x:dataBar>
      <x:extLst>
        <x:ext xmlns:x14="http://schemas.microsoft.com/office/spreadsheetml/2009/9/main" uri="{B025F937-C7B1-47D3-B67F-A62EFF666E3E}">
          <x14:id>{A056D175-458A-0FCD-C445-1B2EBC7F5D92}</x14:id>
        </x:ext>
      </x:extLst>
    </x:cfRule>
  </x:conditionalFormatting>
  <x:conditionalFormatting sqref="U2:U16">
    <x:cfRule type="expression" dxfId="0" priority="2">
      <x:formula>U2="차단"</x:formula>
    </x:cfRule>
    <x:cfRule type="expression" dxfId="1" priority="3">
      <x:formula>U2="완료"</x:formula>
    </x:cfRule>
  </x:conditionalFormatting>
  <x:dataValidations count="3">
    <x:dataValidation type="list" sqref="J2:J16">
      <x:formula1>"P0,P1,P2,P3"</x:formula1>
    </x:dataValidation>
    <x:dataValidation type="list" sqref="U2:U16">
      <x:formula1>"미착수,사양 확인 중,구현 중,코드 리뷰,QA 진행 중,차단,완료,보류"</x:formula1>
    </x:dataValidation>
    <x:dataValidation type="list" sqref="AJ2:AJ16">
      <x:formula1>"착수 전,작업 중,완료"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056D175-458A-0FCD-C445-1B2EBC7F5D92}">
            <x14:dataBar gradient="1">
              <x14:cfvo type="min"/>
              <x14:cfvo type="max"/>
              <x14:fillColor rgb="FF4F81BD"/>
            </x14:dataBar>
          </x14:cfRule>
          <xm:sqref>V2:V16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0" hidden="0" customWidth="1"/>
    <x:col min="6" max="6" width="30" hidden="0" customWidth="1"/>
  </x:cols>
  <x:sheetData>
    <x:row r="1" ht="30" customHeight="1">
      <x:c r="A1" s="6" t="str">
        <x:v>단계</x:v>
      </x:c>
      <x:c r="B1" s="6" t="str">
        <x:v>서버 상태</x:v>
      </x:c>
      <x:c r="C1" s="6" t="str">
        <x:v>클라이언트 행동</x:v>
      </x:c>
      <x:c r="D1" s="6" t="str">
        <x:v>검증</x:v>
      </x:c>
      <x:c r="E1" s="6" t="str">
        <x:v>실패 처리</x:v>
      </x:c>
      <x:c r="F1" s="6" t="str">
        <x:v>비고</x:v>
      </x:c>
    </x:row>
    <x:row r="2">
      <x:c r="A2" s="14" t="str">
        <x:v>검색/초대</x:v>
      </x:c>
      <x:c r="B2" s="14" t="str">
        <x:v>가용 룸 조회</x:v>
      </x:c>
      <x:c r="C2" s="14" t="str">
        <x:v>공개방/코드 참가</x:v>
      </x:c>
      <x:c r="D2" s="14" t="str">
        <x:v>버전·정원·지역</x:v>
      </x:c>
      <x:c r="E2" s="14" t="str">
        <x:v>오류 코드 표시</x:v>
      </x:c>
      <x:c r="F2" s="14" t="str">
        <x:v>진행 중 백필 금지</x:v>
      </x:c>
    </x:row>
    <x:row r="3">
      <x:c r="A3" s="14" t="str">
        <x:v>로비</x:v>
      </x:c>
      <x:c r="B3" s="14" t="str">
        <x:v>참가자 등록</x:v>
      </x:c>
      <x:c r="C3" s="14" t="str">
        <x:v>준비·장치 테스트</x:v>
      </x:c>
      <x:c r="D3" s="14" t="str">
        <x:v>4~8명·호환성</x:v>
      </x:c>
      <x:c r="E3" s="14" t="str">
        <x:v>참가 거부/재시도</x:v>
      </x:c>
      <x:c r="F3" s="14" t="str">
        <x:v>호스트 이관</x:v>
      </x:c>
    </x:row>
    <x:row r="4">
      <x:c r="A4" s="14" t="str">
        <x:v>로딩</x:v>
      </x:c>
      <x:c r="B4" s="14" t="str">
        <x:v>세션 예약</x:v>
      </x:c>
      <x:c r="C4" s="14" t="str">
        <x:v>에셋 로딩</x:v>
      </x:c>
      <x:c r="D4" s="14" t="str">
        <x:v>해시·타임아웃</x:v>
      </x:c>
      <x:c r="E4" s="14" t="str">
        <x:v>로비 복귀</x:v>
      </x:c>
      <x:c r="F4" s="14" t="str">
        <x:v>역할 미공개</x:v>
      </x:c>
    </x:row>
    <x:row r="5">
      <x:c r="A5" s="14" t="str">
        <x:v>매치</x:v>
      </x:c>
      <x:c r="B5" s="14" t="str">
        <x:v>서버 권한 게임</x:v>
      </x:c>
      <x:c r="C5" s="14" t="str">
        <x:v>플레이</x:v>
      </x:c>
      <x:c r="D5" s="14" t="str">
        <x:v>상태 동기화</x:v>
      </x:c>
      <x:c r="E5" s="14" t="str">
        <x:v>재접속 유예</x:v>
      </x:c>
      <x:c r="F5" s="14" t="str">
        <x:v>백필 없음</x:v>
      </x:c>
    </x:row>
    <x:row r="6">
      <x:c r="A6" s="14" t="str">
        <x:v>관전</x:v>
      </x:c>
      <x:c r="B6" s="14" t="str">
        <x:v>사망 상태</x:v>
      </x:c>
      <x:c r="C6" s="14" t="str">
        <x:v>관전</x:v>
      </x:c>
      <x:c r="D6" s="14" t="str">
        <x:v>채널 분리</x:v>
      </x:c>
      <x:c r="E6" s="14" t="str">
        <x:v>관전 종료</x:v>
      </x:c>
      <x:c r="F6" s="14" t="str">
        <x:v>생존 영향 없음</x:v>
      </x:c>
    </x:row>
    <x:row r="7">
      <x:c r="A7" s="14" t="str">
        <x:v>결과</x:v>
      </x:c>
      <x:c r="B7" s="14" t="str">
        <x:v>결과 저장</x:v>
      </x:c>
      <x:c r="C7" s="14" t="str">
        <x:v>통계 확인</x:v>
      </x:c>
      <x:c r="D7" s="14" t="str">
        <x:v>승자 1명</x:v>
      </x:c>
      <x:c r="E7" s="14" t="str">
        <x:v>재전송</x:v>
      </x:c>
      <x:c r="F7" s="14" t="str">
        <x:v>로비 복귀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6" t="str">
        <x:v>코드</x:v>
      </x:c>
      <x:c r="B1" s="6" t="str">
        <x:v>상황</x:v>
      </x:c>
      <x:c r="C1" s="6" t="str">
        <x:v>사용자 문구</x:v>
      </x:c>
      <x:c r="D1" s="6" t="str">
        <x:v>재시도</x:v>
      </x:c>
      <x:c r="E1" s="6" t="str">
        <x:v>로그</x:v>
      </x:c>
      <x:c r="F1" s="6" t="str">
        <x:v>심각도</x:v>
      </x:c>
    </x:row>
    <x:row r="2">
      <x:c r="A2" s="14" t="str">
        <x:v>ROOM_FULL</x:v>
      </x:c>
      <x:c r="B2" s="14" t="str">
        <x:v>정원 초과</x:v>
      </x:c>
      <x:c r="C2" s="14" t="str">
        <x:v>방이 가득 찼습니다.</x:v>
      </x:c>
      <x:c r="D2" s="14" t="str">
        <x:v>다른 방</x:v>
      </x:c>
      <x:c r="E2" s="14" t="str">
        <x:v>room_id</x:v>
      </x:c>
      <x:c r="F2" s="14" t="str">
        <x:v>정보</x:v>
      </x:c>
    </x:row>
    <x:row r="3">
      <x:c r="A3" s="14" t="str">
        <x:v>VERSION_MISMATCH</x:v>
      </x:c>
      <x:c r="B3" s="14" t="str">
        <x:v>버전 불일치</x:v>
      </x:c>
      <x:c r="C3" s="14" t="str">
        <x:v>게임 버전을 업데이트하세요.</x:v>
      </x:c>
      <x:c r="D3" s="14" t="str">
        <x:v>업데이트 후</x:v>
      </x:c>
      <x:c r="E3" s="14" t="str">
        <x:v>client_version</x:v>
      </x:c>
      <x:c r="F3" s="14" t="str">
        <x:v>차단</x:v>
      </x:c>
    </x:row>
    <x:row r="4">
      <x:c r="A4" s="14" t="str">
        <x:v>SESSION_EXPIRED</x:v>
      </x:c>
      <x:c r="B4" s="14" t="str">
        <x:v>재접속 유예 만료</x:v>
      </x:c>
      <x:c r="C4" s="14" t="str">
        <x:v>재접속 시간이 만료되었습니다.</x:v>
      </x:c>
      <x:c r="D4" s="14" t="str">
        <x:v>관전/로비</x:v>
      </x:c>
      <x:c r="E4" s="14" t="str">
        <x:v>session_id</x:v>
      </x:c>
      <x:c r="F4" s="14" t="str">
        <x:v>경고</x:v>
      </x:c>
    </x:row>
    <x:row r="5">
      <x:c r="A5" s="14" t="str">
        <x:v>SETTINGS_HASH</x:v>
      </x:c>
      <x:c r="B5" s="14" t="str">
        <x:v>설정 불일치</x:v>
      </x:c>
      <x:c r="C5" s="14" t="str">
        <x:v>방 설정을 다시 동기화합니다.</x:v>
      </x:c>
      <x:c r="D5" s="14" t="str">
        <x:v>자동</x:v>
      </x:c>
      <x:c r="E5" s="14" t="str">
        <x:v>settings_hash</x:v>
      </x:c>
      <x:c r="F5" s="14" t="str">
        <x:v>경고</x:v>
      </x:c>
    </x:row>
    <x:row r="6">
      <x:c r="A6" s="14" t="str">
        <x:v>REGION_LATENCY</x:v>
      </x:c>
      <x:c r="B6" s="14" t="str">
        <x:v>높은 지연</x:v>
      </x:c>
      <x:c r="C6" s="14" t="str">
        <x:v>이 방은 지연이 높을 수 있습니다.</x:v>
      </x:c>
      <x:c r="D6" s="14" t="str">
        <x:v>선택</x:v>
      </x:c>
      <x:c r="E6" s="14" t="str">
        <x:v>ping</x:v>
      </x:c>
      <x:c r="F6" s="14" t="str">
        <x:v>정보</x:v>
      </x:c>
    </x:row>
    <x:row r="7">
      <x:c r="A7" s="14" t="str">
        <x:v>MATCH_STARTED</x:v>
      </x:c>
      <x:c r="B7" s="14" t="str">
        <x:v>진행 중 참가</x:v>
      </x:c>
      <x:c r="C7" s="14" t="str">
        <x:v>게임이 이미 시작되었습니다.</x:v>
      </x:c>
      <x:c r="D7" s="14" t="str">
        <x:v>관전 여부</x:v>
      </x:c>
      <x:c r="E7" s="14" t="str">
        <x:v>room_id</x:v>
      </x:c>
      <x:c r="F7" s="14" t="str">
        <x:v>정보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6" t="str">
        <x:v>대상</x:v>
      </x:c>
      <x:c r="B1" s="6" t="str">
        <x:v>최소 기준</x:v>
      </x:c>
      <x:c r="C1" s="6" t="str">
        <x:v>검증 항목</x:v>
      </x:c>
      <x:c r="D1" s="6" t="str">
        <x:v>차이 보정</x:v>
      </x:c>
      <x:c r="E1" s="6" t="str">
        <x:v>출시 판정</x:v>
      </x:c>
    </x:row>
    <x:row r="2">
      <x:c r="A2" s="14" t="str">
        <x:v>PC 키보드/마우스</x:v>
      </x:c>
      <x:c r="B2" s="14" t="str">
        <x:v>60fps</x:v>
      </x:c>
      <x:c r="C2" s="14" t="str">
        <x:v>부착 조준·음성</x:v>
      </x:c>
      <x:c r="D2" s="14" t="str">
        <x:v>기준</x:v>
      </x:c>
      <x:c r="E2" s="14" t="str">
        <x:v>필수</x:v>
      </x:c>
    </x:row>
    <x:row r="3">
      <x:c r="A3" s="14" t="str">
        <x:v>PC 컨트롤러</x:v>
      </x:c>
      <x:c r="B3" s="14" t="str">
        <x:v>60fps</x:v>
      </x:c>
      <x:c r="C3" s="14" t="str">
        <x:v>버튼 리매핑</x:v>
      </x:c>
      <x:c r="D3" s="14" t="str">
        <x:v>조준 보정 제한</x:v>
      </x:c>
      <x:c r="E3" s="14" t="str">
        <x:v>필수</x:v>
      </x:c>
    </x:row>
    <x:row r="4">
      <x:c r="A4" s="14" t="str">
        <x:v>콘솔</x:v>
      </x:c>
      <x:c r="B4" s="14" t="str">
        <x:v>플랫폼 기준</x:v>
      </x:c>
      <x:c r="C4" s="14" t="str">
        <x:v>초대·음성·인증</x:v>
      </x:c>
      <x:c r="D4" s="14" t="str">
        <x:v>플랫폼 UI</x:v>
      </x:c>
      <x:c r="E4" s="14" t="str">
        <x:v>조건부</x:v>
      </x:c>
    </x:row>
    <x:row r="5">
      <x:c r="A5" s="14" t="str">
        <x:v>저사양 PC</x:v>
      </x:c>
      <x:c r="B5" s="14" t="str">
        <x:v>30fps</x:v>
      </x:c>
      <x:c r="C5" s="14" t="str">
        <x:v>네트워크·가독성</x:v>
      </x:c>
      <x:c r="D5" s="14" t="str">
        <x:v>효과 축소</x:v>
      </x:c>
      <x:c r="E5" s="14" t="str">
        <x:v>필수</x:v>
      </x:c>
    </x:row>
    <x:row r="6">
      <x:c r="A6" s="14" t="str">
        <x:v>크로스플레이</x:v>
      </x:c>
      <x:c r="B6" s="14" t="str">
        <x:v>동일 프로토콜</x:v>
      </x:c>
      <x:c r="C6" s="14" t="str">
        <x:v>입력 공정성</x:v>
      </x:c>
      <x:c r="D6" s="14" t="str">
        <x:v>서버 판정</x:v>
      </x:c>
      <x:c r="E6" s="14" t="str">
        <x:v>Beta 승인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20" hidden="0" customWidth="1"/>
    <x:col min="4" max="4" width="34" hidden="0" customWidth="1"/>
    <x:col min="5" max="5" width="44" hidden="0" customWidth="1"/>
    <x:col min="6" max="6" width="38" hidden="0" customWidth="1"/>
    <x:col min="7" max="7" width="48" hidden="0" customWidth="1"/>
    <x:col min="8" max="8" width="46" hidden="0" customWidth="1"/>
    <x:col min="9" max="9" width="12" hidden="0" customWidth="1"/>
    <x:col min="10" max="10" width="10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  <x:col min="16" max="16" width="18" hidden="0" customWidth="1"/>
    <x:col min="17" max="17" width="14" hidden="0" customWidth="1"/>
    <x:col min="18" max="18" width="13" hidden="0" customWidth="1"/>
    <x:col min="19" max="19" width="24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 ht="30" customHeight="1">
      <x:c r="A1" s="6" t="str">
        <x:v>테스트 ID</x:v>
      </x:c>
      <x:c r="B1" s="6" t="str">
        <x:v>관련 ID</x:v>
      </x:c>
      <x:c r="C1" s="6" t="str">
        <x:v>부문</x:v>
      </x:c>
      <x:c r="D1" s="6" t="str">
        <x:v>제목</x:v>
      </x:c>
      <x:c r="E1" s="6" t="str">
        <x:v>목적</x:v>
      </x:c>
      <x:c r="F1" s="6" t="str">
        <x:v>사전 조건</x:v>
      </x:c>
      <x:c r="G1" s="6" t="str">
        <x:v>절차</x:v>
      </x:c>
      <x:c r="H1" s="6" t="str">
        <x:v>예상 결과</x:v>
      </x:c>
      <x:c r="I1" s="6" t="str">
        <x:v>QA 유형</x:v>
      </x:c>
      <x:c r="J1" s="6" t="str">
        <x:v>우선순위</x:v>
      </x:c>
      <x:c r="K1" s="6" t="str">
        <x:v>대상 플랫폼</x:v>
      </x:c>
      <x:c r="L1" s="6" t="str">
        <x:v>자동화 후보</x:v>
      </x:c>
      <x:c r="M1" s="6" t="str">
        <x:v>상태</x:v>
      </x:c>
      <x:c r="N1" s="6" t="str">
        <x:v>담당자명</x:v>
      </x:c>
      <x:c r="O1" s="6" t="str">
        <x:v>대상 빌드</x:v>
      </x:c>
      <x:c r="P1" s="6" t="str">
        <x:v>증빙 링크</x:v>
      </x:c>
      <x:c r="Q1" s="6" t="str">
        <x:v>결함 키</x:v>
      </x:c>
      <x:c r="R1" s="6" t="str">
        <x:v>최종 갱신일</x:v>
      </x:c>
      <x:c r="S1" s="6" t="str">
        <x:v>비고</x:v>
      </x:c>
      <x:c r="T1" s="6" t="str">
        <x:v>시작일</x:v>
      </x:c>
      <x:c r="U1" s="6" t="str">
        <x:v>종료일</x:v>
      </x:c>
      <x:c r="V1" s="6" t="str">
        <x:v>진행상황</x:v>
      </x:c>
    </x:row>
    <x:row r="2">
      <x:c r="A2" s="14" t="str">
        <x:v>TC-CHK-0005-01</x:v>
      </x:c>
      <x:c r="B2" s="14" t="str">
        <x:v>CHK-0005</x:v>
      </x:c>
      <x:c r="C2" s="14" t="str">
        <x:v>온라인·로비·매치메이킹</x:v>
      </x:c>
      <x:c r="D2" s="14" t="str">
        <x:v>정상 시나리오: 중도 이탈 처리</x:v>
      </x:c>
      <x:c r="E2" s="14" t="str">
        <x:v>플레이어 이탈 시 생존자 수, 마피아 유전 후보, 승리 판정이 정상 갱신된다.</x:v>
      </x:c>
      <x:c r="F2" s="14" t="str">
        <x:v>대상 기능이 포함된 MVP 빌드, 4~8인 테스트 룸과 로그 접근 권한을 준비한다.</x:v>
      </x:c>
      <x:c r="G2" s="14" t="str">
        <x:v>1. 표준 룸 설정을 구성한다.
2. 중도 이탈 처리 기능을 실행한다.
3. UI·서버 상태·로그를 확인한다.
4. 메모 3장 사망과 최후 생존자 규칙을 훼손하지 않는지 확인한다.</x:v>
      </x:c>
      <x:c r="H2" s="14" t="str">
        <x:v>플레이어 이탈 시 생존자 수, 마피아 유전 후보, 승리 판정이 정상 갱신된다.</x:v>
      </x:c>
      <x:c r="I2" s="14" t="str">
        <x:v>통합</x:v>
      </x:c>
      <x:c r="J2" s="14" t="str">
        <x:v>P0</x:v>
      </x:c>
      <x:c r="K2" s="14" t="str">
        <x:v>공통</x:v>
      </x:c>
      <x:c r="L2" s="14" t="str">
        <x:v>예</x:v>
      </x:c>
      <x:c r="M2" s="14" t="str">
        <x:v>미실시</x:v>
      </x:c>
      <x:c r="N2" s="14" t="str">
        <x:v>미정</x:v>
      </x:c>
      <x:c r="O2" s="14" t="str">
        <x:v>MVP</x:v>
      </x:c>
      <x:c r="P2" s="14"/>
      <x:c r="Q2" s="14"/>
      <x:c r="R2" s="16" t="str">
        <x:v>2026-07-10</x:v>
      </x:c>
      <x:c r="S2" s="14"/>
      <x:c r="T2" s="16"/>
      <x:c r="U2" s="16"/>
      <x:c r="V2" s="14" t="str">
        <x:v>착수 전</x:v>
      </x:c>
    </x:row>
    <x:row r="3">
      <x:c r="A3" s="14" t="str">
        <x:v>TC-CHK-0005-02</x:v>
      </x:c>
      <x:c r="B3" s="14" t="str">
        <x:v>CHK-0005</x:v>
      </x:c>
      <x:c r="C3" s="14" t="str">
        <x:v>온라인·로비·매치메이킹</x:v>
      </x:c>
      <x:c r="D3" s="14" t="str">
        <x:v>예외·경계 시나리오: 중도 이탈 처리</x:v>
      </x:c>
      <x:c r="E3" s="14" t="str">
        <x:v>중복·지연·권한 부족·연결 끊김·동시 입력에서 데이터 손상, 정보 유출, 사망/승리 판정 분기가 없는지 확인한다.</x:v>
      </x:c>
      <x:c r="F3" s="14" t="str">
        <x:v>대상 기능이 포함된 MVP 빌드와 비정상 입력·네트워크 열화 재현 수단을 준비한다.</x:v>
      </x:c>
      <x:c r="G3" s="14" t="str">
        <x:v>1. 경계값 또는 허용되지 않은 페이즈를 구성한다.
2. 중도 이탈 처리 요청을 중복·지연·무효 값으로 실행한다.
3. 서버 거부·롤백·오류 표시·감사 로그를 확인한다.
4. 모든 클라이언트의 생존자·메모·아이템 상태가 일치하는지 확인한다.</x:v>
      </x:c>
      <x:c r="H3" s="14" t="str">
        <x:v>요청은 안전하게 거부 또는 복구되고, 자기 등 메모·실제 작성자·위조 여부가 노출되지 않으며 진행 중단이 발생하지 않는다.</x:v>
      </x:c>
      <x:c r="I3" s="14" t="str">
        <x:v>통합</x:v>
      </x:c>
      <x:c r="J3" s="14" t="str">
        <x:v>P0</x:v>
      </x:c>
      <x:c r="K3" s="14" t="str">
        <x:v>공통</x:v>
      </x:c>
      <x:c r="L3" s="14" t="str">
        <x:v>예</x:v>
      </x:c>
      <x:c r="M3" s="14" t="str">
        <x:v>미실시</x:v>
      </x:c>
      <x:c r="N3" s="14" t="str">
        <x:v>미정</x:v>
      </x:c>
      <x:c r="O3" s="14" t="str">
        <x:v>MVP</x:v>
      </x:c>
      <x:c r="P3" s="14"/>
      <x:c r="Q3" s="14"/>
      <x:c r="R3" s="16" t="str">
        <x:v>2026-07-10</x:v>
      </x:c>
      <x:c r="S3" s="14"/>
      <x:c r="T3" s="16"/>
      <x:c r="U3" s="16"/>
      <x:c r="V3" s="14" t="str">
        <x:v>착수 전</x:v>
      </x:c>
    </x:row>
    <x:row r="4">
      <x:c r="A4" s="14" t="str">
        <x:v>TC-CHK-0006-01</x:v>
      </x:c>
      <x:c r="B4" s="14" t="str">
        <x:v>CHK-0006</x:v>
      </x:c>
      <x:c r="C4" s="14" t="str">
        <x:v>온라인·로비·매치메이킹</x:v>
      </x:c>
      <x:c r="D4" s="14" t="str">
        <x:v>정상 시나리오: 재접속 처리</x:v>
      </x:c>
      <x:c r="E4" s="14" t="str">
        <x:v>일시 네트워크 끊김 후 재접속 시 역할/메모/아이템/상태가 서버 값으로 복구된다.</x:v>
      </x:c>
      <x:c r="F4" s="14" t="str">
        <x:v>대상 기능이 포함된 MVP 빌드, 4~8인 테스트 룸과 로그 접근 권한을 준비한다.</x:v>
      </x:c>
      <x:c r="G4" s="14" t="str">
        <x:v>1. 표준 룸 설정을 구성한다.
2. 재접속 처리 기능을 실행한다.
3. UI·서버 상태·로그를 확인한다.
4. 메모 3장 사망과 최후 생존자 규칙을 훼손하지 않는지 확인한다.</x:v>
      </x:c>
      <x:c r="H4" s="14" t="str">
        <x:v>일시 네트워크 끊김 후 재접속 시 역할/메모/아이템/상태가 서버 값으로 복구된다.</x:v>
      </x:c>
      <x:c r="I4" s="14" t="str">
        <x:v>통합</x:v>
      </x:c>
      <x:c r="J4" s="14" t="str">
        <x:v>P0</x:v>
      </x:c>
      <x:c r="K4" s="14" t="str">
        <x:v>공통</x:v>
      </x:c>
      <x:c r="L4" s="14" t="str">
        <x:v>예</x:v>
      </x:c>
      <x:c r="M4" s="14" t="str">
        <x:v>미실시</x:v>
      </x:c>
      <x:c r="N4" s="14" t="str">
        <x:v>미정</x:v>
      </x:c>
      <x:c r="O4" s="14" t="str">
        <x:v>MVP</x:v>
      </x:c>
      <x:c r="P4" s="14"/>
      <x:c r="Q4" s="14"/>
      <x:c r="R4" s="16" t="str">
        <x:v>2026-07-10</x:v>
      </x:c>
      <x:c r="S4" s="14"/>
      <x:c r="T4" s="16"/>
      <x:c r="U4" s="16"/>
      <x:c r="V4" s="14" t="str">
        <x:v>착수 전</x:v>
      </x:c>
    </x:row>
    <x:row r="5">
      <x:c r="A5" s="14" t="str">
        <x:v>TC-CHK-0006-02</x:v>
      </x:c>
      <x:c r="B5" s="14" t="str">
        <x:v>CHK-0006</x:v>
      </x:c>
      <x:c r="C5" s="14" t="str">
        <x:v>온라인·로비·매치메이킹</x:v>
      </x:c>
      <x:c r="D5" s="14" t="str">
        <x:v>예외·경계 시나리오: 재접속 처리</x:v>
      </x:c>
      <x:c r="E5" s="14" t="str">
        <x:v>중복·지연·권한 부족·연결 끊김·동시 입력에서 데이터 손상, 정보 유출, 사망/승리 판정 분기가 없는지 확인한다.</x:v>
      </x:c>
      <x:c r="F5" s="14" t="str">
        <x:v>대상 기능이 포함된 MVP 빌드와 비정상 입력·네트워크 열화 재현 수단을 준비한다.</x:v>
      </x:c>
      <x:c r="G5" s="14" t="str">
        <x:v>1. 경계값 또는 허용되지 않은 페이즈를 구성한다.
2. 재접속 처리 요청을 중복·지연·무효 값으로 실행한다.
3. 서버 거부·롤백·오류 표시·감사 로그를 확인한다.
4. 모든 클라이언트의 생존자·메모·아이템 상태가 일치하는지 확인한다.</x:v>
      </x:c>
      <x:c r="H5" s="14" t="str">
        <x:v>요청은 안전하게 거부 또는 복구되고, 자기 등 메모·실제 작성자·위조 여부가 노출되지 않으며 진행 중단이 발생하지 않는다.</x:v>
      </x:c>
      <x:c r="I5" s="14" t="str">
        <x:v>통합</x:v>
      </x:c>
      <x:c r="J5" s="14" t="str">
        <x:v>P0</x:v>
      </x:c>
      <x:c r="K5" s="14" t="str">
        <x:v>공통</x:v>
      </x:c>
      <x:c r="L5" s="14" t="str">
        <x:v>예</x:v>
      </x:c>
      <x:c r="M5" s="14" t="str">
        <x:v>미실시</x:v>
      </x:c>
      <x:c r="N5" s="14" t="str">
        <x:v>미정</x:v>
      </x:c>
      <x:c r="O5" s="14" t="str">
        <x:v>MVP</x:v>
      </x:c>
      <x:c r="P5" s="14"/>
      <x:c r="Q5" s="14"/>
      <x:c r="R5" s="16" t="str">
        <x:v>2026-07-10</x:v>
      </x:c>
      <x:c r="S5" s="14"/>
      <x:c r="T5" s="16"/>
      <x:c r="U5" s="16"/>
      <x:c r="V5" s="14" t="str">
        <x:v>착수 전</x:v>
      </x:c>
    </x:row>
    <x:row r="6">
      <x:c r="A6" s="14" t="str">
        <x:v>TC-CHK-0174-01</x:v>
      </x:c>
      <x:c r="B6" s="14" t="str">
        <x:v>CHK-0174</x:v>
      </x:c>
      <x:c r="C6" s="14" t="str">
        <x:v>온라인·로비·매치메이킹</x:v>
      </x:c>
      <x:c r="D6" s="14" t="str">
        <x:v>정상 시나리오: 공개방</x:v>
      </x:c>
      <x:c r="E6" s="14" t="str">
        <x:v>공개 매치 검색, 입장, 인원 충족, 시작 흐름이 동작한다.</x:v>
      </x:c>
      <x:c r="F6" s="14" t="str">
        <x:v>대상 기능이 포함된 Alpha 빌드, 4~8인 테스트 룸과 로그 접근 권한을 준비한다.</x:v>
      </x:c>
      <x:c r="G6" s="14" t="str">
        <x:v>1. 표준 룸 설정을 구성한다.
2. 공개방 기능을 실행한다.
3. UI·서버 상태·로그를 확인한다.
4. 메모 3장 사망과 최후 생존자 규칙을 훼손하지 않는지 확인한다.</x:v>
      </x:c>
      <x:c r="H6" s="14" t="str">
        <x:v>공개 매치 검색, 입장, 인원 충족, 시작 흐름이 동작한다.</x:v>
      </x:c>
      <x:c r="I6" s="14" t="str">
        <x:v>통합</x:v>
      </x:c>
      <x:c r="J6" s="14" t="str">
        <x:v>P0</x:v>
      </x:c>
      <x:c r="K6" s="14" t="str">
        <x:v>Server</x:v>
      </x:c>
      <x:c r="L6" s="14" t="str">
        <x:v>예</x:v>
      </x:c>
      <x:c r="M6" s="14" t="str">
        <x:v>미실시</x:v>
      </x:c>
      <x:c r="N6" s="14" t="str">
        <x:v>미정</x:v>
      </x:c>
      <x:c r="O6" s="14" t="str">
        <x:v>Alpha</x:v>
      </x:c>
      <x:c r="P6" s="14"/>
      <x:c r="Q6" s="14"/>
      <x:c r="R6" s="16" t="str">
        <x:v>2026-07-10</x:v>
      </x:c>
      <x:c r="S6" s="14"/>
      <x:c r="T6" s="16"/>
      <x:c r="U6" s="16"/>
      <x:c r="V6" s="14" t="str">
        <x:v>착수 전</x:v>
      </x:c>
    </x:row>
    <x:row r="7">
      <x:c r="A7" s="14" t="str">
        <x:v>TC-CHK-0174-02</x:v>
      </x:c>
      <x:c r="B7" s="14" t="str">
        <x:v>CHK-0174</x:v>
      </x:c>
      <x:c r="C7" s="14" t="str">
        <x:v>온라인·로비·매치메이킹</x:v>
      </x:c>
      <x:c r="D7" s="14" t="str">
        <x:v>예외·경계 시나리오: 공개방</x:v>
      </x:c>
      <x:c r="E7" s="14" t="str">
        <x:v>중복·지연·권한 부족·연결 끊김·동시 입력에서 데이터 손상, 정보 유출, 사망/승리 판정 분기가 없는지 확인한다.</x:v>
      </x:c>
      <x:c r="F7" s="14" t="str">
        <x:v>대상 기능이 포함된 Alpha 빌드와 비정상 입력·네트워크 열화 재현 수단을 준비한다.</x:v>
      </x:c>
      <x:c r="G7" s="14" t="str">
        <x:v>1. 경계값 또는 허용되지 않은 페이즈를 구성한다.
2. 공개방 요청을 중복·지연·무효 값으로 실행한다.
3. 서버 거부·롤백·오류 표시·감사 로그를 확인한다.
4. 모든 클라이언트의 생존자·메모·아이템 상태가 일치하는지 확인한다.</x:v>
      </x:c>
      <x:c r="H7" s="14" t="str">
        <x:v>요청은 안전하게 거부 또는 복구되고, 자기 등 메모·실제 작성자·위조 여부가 노출되지 않으며 진행 중단이 발생하지 않는다.</x:v>
      </x:c>
      <x:c r="I7" s="14" t="str">
        <x:v>통합</x:v>
      </x:c>
      <x:c r="J7" s="14" t="str">
        <x:v>P0</x:v>
      </x:c>
      <x:c r="K7" s="14" t="str">
        <x:v>Server</x:v>
      </x:c>
      <x:c r="L7" s="14" t="str">
        <x:v>예</x:v>
      </x:c>
      <x:c r="M7" s="14" t="str">
        <x:v>미실시</x:v>
      </x:c>
      <x:c r="N7" s="14" t="str">
        <x:v>미정</x:v>
      </x:c>
      <x:c r="O7" s="14" t="str">
        <x:v>Alpha</x:v>
      </x:c>
      <x:c r="P7" s="14"/>
      <x:c r="Q7" s="14"/>
      <x:c r="R7" s="16" t="str">
        <x:v>2026-07-10</x:v>
      </x:c>
      <x:c r="S7" s="14"/>
      <x:c r="T7" s="16"/>
      <x:c r="U7" s="16"/>
      <x:c r="V7" s="14" t="str">
        <x:v>착수 전</x:v>
      </x:c>
    </x:row>
    <x:row r="8">
      <x:c r="A8" s="14" t="str">
        <x:v>TC-CHK-0175-01</x:v>
      </x:c>
      <x:c r="B8" s="14" t="str">
        <x:v>CHK-0175</x:v>
      </x:c>
      <x:c r="C8" s="14" t="str">
        <x:v>온라인·로비·매치메이킹</x:v>
      </x:c>
      <x:c r="D8" s="14" t="str">
        <x:v>정상 시나리오: 비공개방</x:v>
      </x:c>
      <x:c r="E8" s="14" t="str">
        <x:v>초대 코드로 비공개방을 생성/입장할 수 있다.</x:v>
      </x:c>
      <x:c r="F8" s="14" t="str">
        <x:v>대상 기능이 포함된 Alpha 빌드, 4~8인 테스트 룸과 로그 접근 권한을 준비한다.</x:v>
      </x:c>
      <x:c r="G8" s="14" t="str">
        <x:v>1. 표준 룸 설정을 구성한다.
2. 비공개방 기능을 실행한다.
3. UI·서버 상태·로그를 확인한다.
4. 메모 3장 사망과 최후 생존자 규칙을 훼손하지 않는지 확인한다.</x:v>
      </x:c>
      <x:c r="H8" s="14" t="str">
        <x:v>초대 코드로 비공개방을 생성/입장할 수 있다.</x:v>
      </x:c>
      <x:c r="I8" s="14" t="str">
        <x:v>통합</x:v>
      </x:c>
      <x:c r="J8" s="14" t="str">
        <x:v>P0</x:v>
      </x:c>
      <x:c r="K8" s="14" t="str">
        <x:v>Server</x:v>
      </x:c>
      <x:c r="L8" s="14" t="str">
        <x:v>예</x:v>
      </x:c>
      <x:c r="M8" s="14" t="str">
        <x:v>미실시</x:v>
      </x:c>
      <x:c r="N8" s="14" t="str">
        <x:v>미정</x:v>
      </x:c>
      <x:c r="O8" s="14" t="str">
        <x:v>Alpha</x:v>
      </x:c>
      <x:c r="P8" s="14"/>
      <x:c r="Q8" s="14"/>
      <x:c r="R8" s="16" t="str">
        <x:v>2026-07-10</x:v>
      </x:c>
      <x:c r="S8" s="14"/>
      <x:c r="T8" s="16"/>
      <x:c r="U8" s="16"/>
      <x:c r="V8" s="14" t="str">
        <x:v>착수 전</x:v>
      </x:c>
    </x:row>
    <x:row r="9">
      <x:c r="A9" s="14" t="str">
        <x:v>TC-CHK-0175-02</x:v>
      </x:c>
      <x:c r="B9" s="14" t="str">
        <x:v>CHK-0175</x:v>
      </x:c>
      <x:c r="C9" s="14" t="str">
        <x:v>온라인·로비·매치메이킹</x:v>
      </x:c>
      <x:c r="D9" s="14" t="str">
        <x:v>예외·경계 시나리오: 비공개방</x:v>
      </x:c>
      <x:c r="E9" s="14" t="str">
        <x:v>중복·지연·권한 부족·연결 끊김·동시 입력에서 데이터 손상, 정보 유출, 사망/승리 판정 분기가 없는지 확인한다.</x:v>
      </x:c>
      <x:c r="F9" s="14" t="str">
        <x:v>대상 기능이 포함된 Alpha 빌드와 비정상 입력·네트워크 열화 재현 수단을 준비한다.</x:v>
      </x:c>
      <x:c r="G9" s="14" t="str">
        <x:v>1. 경계값 또는 허용되지 않은 페이즈를 구성한다.
2. 비공개방 요청을 중복·지연·무효 값으로 실행한다.
3. 서버 거부·롤백·오류 표시·감사 로그를 확인한다.
4. 모든 클라이언트의 생존자·메모·아이템 상태가 일치하는지 확인한다.</x:v>
      </x:c>
      <x:c r="H9" s="14" t="str">
        <x:v>요청은 안전하게 거부 또는 복구되고, 자기 등 메모·실제 작성자·위조 여부가 노출되지 않으며 진행 중단이 발생하지 않는다.</x:v>
      </x:c>
      <x:c r="I9" s="14" t="str">
        <x:v>통합</x:v>
      </x:c>
      <x:c r="J9" s="14" t="str">
        <x:v>P0</x:v>
      </x:c>
      <x:c r="K9" s="14" t="str">
        <x:v>Server</x:v>
      </x:c>
      <x:c r="L9" s="14" t="str">
        <x:v>예</x:v>
      </x:c>
      <x:c r="M9" s="14" t="str">
        <x:v>미실시</x:v>
      </x:c>
      <x:c r="N9" s="14" t="str">
        <x:v>미정</x:v>
      </x:c>
      <x:c r="O9" s="14" t="str">
        <x:v>Alpha</x:v>
      </x:c>
      <x:c r="P9" s="14"/>
      <x:c r="Q9" s="14"/>
      <x:c r="R9" s="16" t="str">
        <x:v>2026-07-10</x:v>
      </x:c>
      <x:c r="S9" s="14"/>
      <x:c r="T9" s="16"/>
      <x:c r="U9" s="16"/>
      <x:c r="V9" s="14" t="str">
        <x:v>착수 전</x:v>
      </x:c>
    </x:row>
    <x:row r="10">
      <x:c r="A10" s="14" t="str">
        <x:v>TC-CHK-0176-01</x:v>
      </x:c>
      <x:c r="B10" s="14" t="str">
        <x:v>CHK-0176</x:v>
      </x:c>
      <x:c r="C10" s="14" t="str">
        <x:v>온라인·로비·매치메이킹</x:v>
      </x:c>
      <x:c r="D10" s="14" t="str">
        <x:v>정상 시나리오: 준비 상태</x:v>
      </x:c>
      <x:c r="E10" s="14" t="str">
        <x:v>모든 플레이어 준비 완료 또는 방장 시작 조건이 정상 작동한다.</x:v>
      </x:c>
      <x:c r="F10" s="14" t="str">
        <x:v>대상 기능이 포함된 Alpha 빌드, 4~8인 테스트 룸과 로그 접근 권한을 준비한다.</x:v>
      </x:c>
      <x:c r="G10" s="14" t="str">
        <x:v>1. 표준 룸 설정을 구성한다.
2. 준비 상태 기능을 실행한다.
3. UI·서버 상태·로그를 확인한다.
4. 메모 3장 사망과 최후 생존자 규칙을 훼손하지 않는지 확인한다.</x:v>
      </x:c>
      <x:c r="H10" s="14" t="str">
        <x:v>모든 플레이어 준비 완료 또는 방장 시작 조건이 정상 작동한다.</x:v>
      </x:c>
      <x:c r="I10" s="14" t="str">
        <x:v>통합</x:v>
      </x:c>
      <x:c r="J10" s="14" t="str">
        <x:v>P0</x:v>
      </x:c>
      <x:c r="K10" s="14" t="str">
        <x:v>Server</x:v>
      </x:c>
      <x:c r="L10" s="14" t="str">
        <x:v>예</x:v>
      </x:c>
      <x:c r="M10" s="14" t="str">
        <x:v>미실시</x:v>
      </x:c>
      <x:c r="N10" s="14" t="str">
        <x:v>미정</x:v>
      </x:c>
      <x:c r="O10" s="14" t="str">
        <x:v>Alpha</x:v>
      </x:c>
      <x:c r="P10" s="14"/>
      <x:c r="Q10" s="14"/>
      <x:c r="R10" s="16" t="str">
        <x:v>2026-07-10</x:v>
      </x:c>
      <x:c r="S10" s="14"/>
      <x:c r="T10" s="16"/>
      <x:c r="U10" s="16"/>
      <x:c r="V10" s="14" t="str">
        <x:v>착수 전</x:v>
      </x:c>
    </x:row>
    <x:row r="11">
      <x:c r="A11" s="14" t="str">
        <x:v>TC-CHK-0176-02</x:v>
      </x:c>
      <x:c r="B11" s="14" t="str">
        <x:v>CHK-0176</x:v>
      </x:c>
      <x:c r="C11" s="14" t="str">
        <x:v>온라인·로비·매치메이킹</x:v>
      </x:c>
      <x:c r="D11" s="14" t="str">
        <x:v>예외·경계 시나리오: 준비 상태</x:v>
      </x:c>
      <x:c r="E11" s="14" t="str">
        <x:v>중복·지연·권한 부족·연결 끊김·동시 입력에서 데이터 손상, 정보 유출, 사망/승리 판정 분기가 없는지 확인한다.</x:v>
      </x:c>
      <x:c r="F11" s="14" t="str">
        <x:v>대상 기능이 포함된 Alpha 빌드와 비정상 입력·네트워크 열화 재현 수단을 준비한다.</x:v>
      </x:c>
      <x:c r="G11" s="14" t="str">
        <x:v>1. 경계값 또는 허용되지 않은 페이즈를 구성한다.
2. 준비 상태 요청을 중복·지연·무효 값으로 실행한다.
3. 서버 거부·롤백·오류 표시·감사 로그를 확인한다.
4. 모든 클라이언트의 생존자·메모·아이템 상태가 일치하는지 확인한다.</x:v>
      </x:c>
      <x:c r="H11" s="14" t="str">
        <x:v>요청은 안전하게 거부 또는 복구되고, 자기 등 메모·실제 작성자·위조 여부가 노출되지 않으며 진행 중단이 발생하지 않는다.</x:v>
      </x:c>
      <x:c r="I11" s="14" t="str">
        <x:v>통합</x:v>
      </x:c>
      <x:c r="J11" s="14" t="str">
        <x:v>P0</x:v>
      </x:c>
      <x:c r="K11" s="14" t="str">
        <x:v>Server</x:v>
      </x:c>
      <x:c r="L11" s="14" t="str">
        <x:v>예</x:v>
      </x:c>
      <x:c r="M11" s="14" t="str">
        <x:v>미실시</x:v>
      </x:c>
      <x:c r="N11" s="14" t="str">
        <x:v>미정</x:v>
      </x:c>
      <x:c r="O11" s="14" t="str">
        <x:v>Alpha</x:v>
      </x:c>
      <x:c r="P11" s="14"/>
      <x:c r="Q11" s="14"/>
      <x:c r="R11" s="16" t="str">
        <x:v>2026-07-10</x:v>
      </x:c>
      <x:c r="S11" s="14"/>
      <x:c r="T11" s="16"/>
      <x:c r="U11" s="16"/>
      <x:c r="V11" s="14" t="str">
        <x:v>착수 전</x:v>
      </x:c>
    </x:row>
    <x:row r="12">
      <x:c r="A12" s="14" t="str">
        <x:v>TC-SUP-ONL-001-01</x:v>
      </x:c>
      <x:c r="B12" s="14" t="str">
        <x:v>SUP-ONL-001</x:v>
      </x:c>
      <x:c r="C12" s="14" t="str">
        <x:v>온라인·로비·매치메이킹</x:v>
      </x:c>
      <x:c r="D12" s="14" t="str">
        <x:v>정상 시나리오: 공개·비공개 룸 생성</x:v>
      </x:c>
      <x:c r="E12" s="14" t="str">
        <x:v>4~8인 룸을 공개 또는 참가 코드 방식으로 생성할 수 있다.</x:v>
      </x:c>
      <x:c r="F12" s="14" t="str">
        <x:v>대상 기능이 포함된 MVP 빌드, 4~8인 테스트 룸과 로그 접근 권한을 준비한다.</x:v>
      </x:c>
      <x:c r="G12" s="14" t="str">
        <x:v>1. 표준 룸 설정을 구성한다.
2. 공개·비공개 룸 생성 기능을 실행한다.
3. UI·서버 상태·로그를 확인한다.
4. 메모 3장 사망과 최후 생존자 규칙을 훼손하지 않는지 확인한다.</x:v>
      </x:c>
      <x:c r="H12" s="14" t="str">
        <x:v>4~8인 룸을 공개 또는 참가 코드 방식으로 생성할 수 있다.</x:v>
      </x:c>
      <x:c r="I12" s="14" t="str">
        <x:v>통합</x:v>
      </x:c>
      <x:c r="J12" s="14" t="str">
        <x:v>P0</x:v>
      </x:c>
      <x:c r="K12" s="14" t="str">
        <x:v>공통</x:v>
      </x:c>
      <x:c r="L12" s="14" t="str">
        <x:v>예</x:v>
      </x:c>
      <x:c r="M12" s="14" t="str">
        <x:v>미실시</x:v>
      </x:c>
      <x:c r="N12" s="14" t="str">
        <x:v>미정</x:v>
      </x:c>
      <x:c r="O12" s="14" t="str">
        <x:v>MVP</x:v>
      </x:c>
      <x:c r="P12" s="14"/>
      <x:c r="Q12" s="14"/>
      <x:c r="R12" s="16" t="str">
        <x:v>2026-07-10</x:v>
      </x:c>
      <x:c r="S12" s="14"/>
      <x:c r="T12" s="16"/>
      <x:c r="U12" s="16"/>
      <x:c r="V12" s="14" t="str">
        <x:v>착수 전</x:v>
      </x:c>
    </x:row>
    <x:row r="13">
      <x:c r="A13" s="14" t="str">
        <x:v>TC-SUP-ONL-001-02</x:v>
      </x:c>
      <x:c r="B13" s="14" t="str">
        <x:v>SUP-ONL-001</x:v>
      </x:c>
      <x:c r="C13" s="14" t="str">
        <x:v>온라인·로비·매치메이킹</x:v>
      </x:c>
      <x:c r="D13" s="14" t="str">
        <x:v>예외·경계 시나리오: 공개·비공개 룸 생성</x:v>
      </x:c>
      <x:c r="E13" s="14" t="str">
        <x:v>중복·지연·권한 부족·연결 끊김·동시 입력에서 데이터 손상, 정보 유출, 사망/승리 판정 분기가 없는지 확인한다.</x:v>
      </x:c>
      <x:c r="F13" s="14" t="str">
        <x:v>대상 기능이 포함된 MVP 빌드와 비정상 입력·네트워크 열화 재현 수단을 준비한다.</x:v>
      </x:c>
      <x:c r="G13" s="14" t="str">
        <x:v>1. 경계값 또는 허용되지 않은 페이즈를 구성한다.
2. 공개·비공개 룸 생성 요청을 중복·지연·무효 값으로 실행한다.
3. 서버 거부·롤백·오류 표시·감사 로그를 확인한다.
4. 모든 클라이언트의 생존자·메모·아이템 상태가 일치하는지 확인한다.</x:v>
      </x:c>
      <x:c r="H13" s="14" t="str">
        <x:v>요청은 안전하게 거부 또는 복구되고, 자기 등 메모·실제 작성자·위조 여부가 노출되지 않으며 진행 중단이 발생하지 않는다.</x:v>
      </x:c>
      <x:c r="I13" s="14" t="str">
        <x:v>통합</x:v>
      </x:c>
      <x:c r="J13" s="14" t="str">
        <x:v>P0</x:v>
      </x:c>
      <x:c r="K13" s="14" t="str">
        <x:v>공통</x:v>
      </x:c>
      <x:c r="L13" s="14" t="str">
        <x:v>예</x:v>
      </x:c>
      <x:c r="M13" s="14" t="str">
        <x:v>미실시</x:v>
      </x:c>
      <x:c r="N13" s="14" t="str">
        <x:v>미정</x:v>
      </x:c>
      <x:c r="O13" s="14" t="str">
        <x:v>MVP</x:v>
      </x:c>
      <x:c r="P13" s="14"/>
      <x:c r="Q13" s="14"/>
      <x:c r="R13" s="16" t="str">
        <x:v>2026-07-10</x:v>
      </x:c>
      <x:c r="S13" s="14"/>
      <x:c r="T13" s="16"/>
      <x:c r="U13" s="16"/>
      <x:c r="V13" s="14" t="str">
        <x:v>착수 전</x:v>
      </x:c>
    </x:row>
    <x:row r="14">
      <x:c r="A14" s="14" t="str">
        <x:v>TC-SUP-ONL-002-01</x:v>
      </x:c>
      <x:c r="B14" s="14" t="str">
        <x:v>SUP-ONL-002</x:v>
      </x:c>
      <x:c r="C14" s="14" t="str">
        <x:v>온라인·로비·매치메이킹</x:v>
      </x:c>
      <x:c r="D14" s="14" t="str">
        <x:v>정상 시나리오: 참가 코드·초대 링크</x:v>
      </x:c>
      <x:c r="E14" s="14" t="str">
        <x:v>유효/만료/가득 찬 룸에 대한 결과가 구분되고 중복 참가가 방지된다.</x:v>
      </x:c>
      <x:c r="F14" s="14" t="str">
        <x:v>대상 기능이 포함된 MVP 빌드, 4~8인 테스트 룸과 로그 접근 권한을 준비한다.</x:v>
      </x:c>
      <x:c r="G14" s="14" t="str">
        <x:v>1. 표준 룸 설정을 구성한다.
2. 참가 코드·초대 링크 기능을 실행한다.
3. UI·서버 상태·로그를 확인한다.
4. 메모 3장 사망과 최후 생존자 규칙을 훼손하지 않는지 확인한다.</x:v>
      </x:c>
      <x:c r="H14" s="14" t="str">
        <x:v>유효/만료/가득 찬 룸에 대한 결과가 구분되고 중복 참가가 방지된다.</x:v>
      </x:c>
      <x:c r="I14" s="14" t="str">
        <x:v>통합</x:v>
      </x:c>
      <x:c r="J14" s="14" t="str">
        <x:v>P0</x:v>
      </x:c>
      <x:c r="K14" s="14" t="str">
        <x:v>공통</x:v>
      </x:c>
      <x:c r="L14" s="14" t="str">
        <x:v>예</x:v>
      </x:c>
      <x:c r="M14" s="14" t="str">
        <x:v>미실시</x:v>
      </x:c>
      <x:c r="N14" s="14" t="str">
        <x:v>미정</x:v>
      </x:c>
      <x:c r="O14" s="14" t="str">
        <x:v>MVP</x:v>
      </x:c>
      <x:c r="P14" s="14"/>
      <x:c r="Q14" s="14"/>
      <x:c r="R14" s="16" t="str">
        <x:v>2026-07-10</x:v>
      </x:c>
      <x:c r="S14" s="14"/>
      <x:c r="T14" s="16"/>
      <x:c r="U14" s="16"/>
      <x:c r="V14" s="14" t="str">
        <x:v>착수 전</x:v>
      </x:c>
    </x:row>
    <x:row r="15">
      <x:c r="A15" s="14" t="str">
        <x:v>TC-SUP-ONL-002-02</x:v>
      </x:c>
      <x:c r="B15" s="14" t="str">
        <x:v>SUP-ONL-002</x:v>
      </x:c>
      <x:c r="C15" s="14" t="str">
        <x:v>온라인·로비·매치메이킹</x:v>
      </x:c>
      <x:c r="D15" s="14" t="str">
        <x:v>예외·경계 시나리오: 참가 코드·초대 링크</x:v>
      </x:c>
      <x:c r="E15" s="14" t="str">
        <x:v>중복·지연·권한 부족·연결 끊김·동시 입력에서 데이터 손상, 정보 유출, 사망/승리 판정 분기가 없는지 확인한다.</x:v>
      </x:c>
      <x:c r="F15" s="14" t="str">
        <x:v>대상 기능이 포함된 MVP 빌드와 비정상 입력·네트워크 열화 재현 수단을 준비한다.</x:v>
      </x:c>
      <x:c r="G15" s="14" t="str">
        <x:v>1. 경계값 또는 허용되지 않은 페이즈를 구성한다.
2. 참가 코드·초대 링크 요청을 중복·지연·무효 값으로 실행한다.
3. 서버 거부·롤백·오류 표시·감사 로그를 확인한다.
4. 모든 클라이언트의 생존자·메모·아이템 상태가 일치하는지 확인한다.</x:v>
      </x:c>
      <x:c r="H15" s="14" t="str">
        <x:v>요청은 안전하게 거부 또는 복구되고, 자기 등 메모·실제 작성자·위조 여부가 노출되지 않으며 진행 중단이 발생하지 않는다.</x:v>
      </x:c>
      <x:c r="I15" s="14" t="str">
        <x:v>통합</x:v>
      </x:c>
      <x:c r="J15" s="14" t="str">
        <x:v>P0</x:v>
      </x:c>
      <x:c r="K15" s="14" t="str">
        <x:v>공통</x:v>
      </x:c>
      <x:c r="L15" s="14" t="str">
        <x:v>예</x:v>
      </x:c>
      <x:c r="M15" s="14" t="str">
        <x:v>미실시</x:v>
      </x:c>
      <x:c r="N15" s="14" t="str">
        <x:v>미정</x:v>
      </x:c>
      <x:c r="O15" s="14" t="str">
        <x:v>MVP</x:v>
      </x:c>
      <x:c r="P15" s="14"/>
      <x:c r="Q15" s="14"/>
      <x:c r="R15" s="16" t="str">
        <x:v>2026-07-10</x:v>
      </x:c>
      <x:c r="S15" s="14"/>
      <x:c r="T15" s="16"/>
      <x:c r="U15" s="16"/>
      <x:c r="V15" s="14" t="str">
        <x:v>착수 전</x:v>
      </x:c>
    </x:row>
    <x:row r="16">
      <x:c r="A16" s="14" t="str">
        <x:v>TC-SUP-ONL-003-01</x:v>
      </x:c>
      <x:c r="B16" s="14" t="str">
        <x:v>SUP-ONL-003</x:v>
      </x:c>
      <x:c r="C16" s="14" t="str">
        <x:v>온라인·로비·매치메이킹</x:v>
      </x:c>
      <x:c r="D16" s="14" t="str">
        <x:v>정상 시나리오: 호스트 권한·이관</x:v>
      </x:c>
      <x:c r="E16" s="14" t="str">
        <x:v>호스트 이탈 시 권한이 결정론적으로 이관되고 룸 설정이 유지된다.</x:v>
      </x:c>
      <x:c r="F16" s="14" t="str">
        <x:v>대상 기능이 포함된 MVP 빌드, 4~8인 테스트 룸과 로그 접근 권한을 준비한다.</x:v>
      </x:c>
      <x:c r="G16" s="14" t="str">
        <x:v>1. 표준 룸 설정을 구성한다.
2. 호스트 권한·이관 기능을 실행한다.
3. UI·서버 상태·로그를 확인한다.
4. 메모 3장 사망과 최후 생존자 규칙을 훼손하지 않는지 확인한다.</x:v>
      </x:c>
      <x:c r="H16" s="14" t="str">
        <x:v>호스트 이탈 시 권한이 결정론적으로 이관되고 룸 설정이 유지된다.</x:v>
      </x:c>
      <x:c r="I16" s="14" t="str">
        <x:v>통합</x:v>
      </x:c>
      <x:c r="J16" s="14" t="str">
        <x:v>P0</x:v>
      </x:c>
      <x:c r="K16" s="14" t="str">
        <x:v>공통</x:v>
      </x:c>
      <x:c r="L16" s="14" t="str">
        <x:v>예</x:v>
      </x:c>
      <x:c r="M16" s="14" t="str">
        <x:v>미실시</x:v>
      </x:c>
      <x:c r="N16" s="14" t="str">
        <x:v>미정</x:v>
      </x:c>
      <x:c r="O16" s="14" t="str">
        <x:v>MVP</x:v>
      </x:c>
      <x:c r="P16" s="14"/>
      <x:c r="Q16" s="14"/>
      <x:c r="R16" s="16" t="str">
        <x:v>2026-07-10</x:v>
      </x:c>
      <x:c r="S16" s="14"/>
      <x:c r="T16" s="16"/>
      <x:c r="U16" s="16"/>
      <x:c r="V16" s="14" t="str">
        <x:v>착수 전</x:v>
      </x:c>
    </x:row>
    <x:row r="17">
      <x:c r="A17" s="14" t="str">
        <x:v>TC-SUP-ONL-003-02</x:v>
      </x:c>
      <x:c r="B17" s="14" t="str">
        <x:v>SUP-ONL-003</x:v>
      </x:c>
      <x:c r="C17" s="14" t="str">
        <x:v>온라인·로비·매치메이킹</x:v>
      </x:c>
      <x:c r="D17" s="14" t="str">
        <x:v>예외·경계 시나리오: 호스트 권한·이관</x:v>
      </x:c>
      <x:c r="E17" s="14" t="str">
        <x:v>중복·지연·권한 부족·연결 끊김·동시 입력에서 데이터 손상, 정보 유출, 사망/승리 판정 분기가 없는지 확인한다.</x:v>
      </x:c>
      <x:c r="F17" s="14" t="str">
        <x:v>대상 기능이 포함된 MVP 빌드와 비정상 입력·네트워크 열화 재현 수단을 준비한다.</x:v>
      </x:c>
      <x:c r="G17" s="14" t="str">
        <x:v>1. 경계값 또는 허용되지 않은 페이즈를 구성한다.
2. 호스트 권한·이관 요청을 중복·지연·무효 값으로 실행한다.
3. 서버 거부·롤백·오류 표시·감사 로그를 확인한다.
4. 모든 클라이언트의 생존자·메모·아이템 상태가 일치하는지 확인한다.</x:v>
      </x:c>
      <x:c r="H17" s="14" t="str">
        <x:v>요청은 안전하게 거부 또는 복구되고, 자기 등 메모·실제 작성자·위조 여부가 노출되지 않으며 진행 중단이 발생하지 않는다.</x:v>
      </x:c>
      <x:c r="I17" s="14" t="str">
        <x:v>통합</x:v>
      </x:c>
      <x:c r="J17" s="14" t="str">
        <x:v>P0</x:v>
      </x:c>
      <x:c r="K17" s="14" t="str">
        <x:v>공통</x:v>
      </x:c>
      <x:c r="L17" s="14" t="str">
        <x:v>예</x:v>
      </x:c>
      <x:c r="M17" s="14" t="str">
        <x:v>미실시</x:v>
      </x:c>
      <x:c r="N17" s="14" t="str">
        <x:v>미정</x:v>
      </x:c>
      <x:c r="O17" s="14" t="str">
        <x:v>MVP</x:v>
      </x:c>
      <x:c r="P17" s="14"/>
      <x:c r="Q17" s="14"/>
      <x:c r="R17" s="16" t="str">
        <x:v>2026-07-10</x:v>
      </x:c>
      <x:c r="S17" s="14"/>
      <x:c r="T17" s="16"/>
      <x:c r="U17" s="16"/>
      <x:c r="V17" s="14" t="str">
        <x:v>착수 전</x:v>
      </x:c>
    </x:row>
    <x:row r="18">
      <x:c r="A18" s="14" t="str">
        <x:v>TC-SUP-ONL-004-01</x:v>
      </x:c>
      <x:c r="B18" s="14" t="str">
        <x:v>SUP-ONL-004</x:v>
      </x:c>
      <x:c r="C18" s="14" t="str">
        <x:v>온라인·로비·매치메이킹</x:v>
      </x:c>
      <x:c r="D18" s="14" t="str">
        <x:v>정상 시나리오: 시작 조건 검증</x:v>
      </x:c>
      <x:c r="E18" s="14" t="str">
        <x:v>최소 인원, 준비 상태, 버전 호환, 필수 에셋 로딩이 충족되어야 시작된다.</x:v>
      </x:c>
      <x:c r="F18" s="14" t="str">
        <x:v>대상 기능이 포함된 MVP 빌드, 4~8인 테스트 룸과 로그 접근 권한을 준비한다.</x:v>
      </x:c>
      <x:c r="G18" s="14" t="str">
        <x:v>1. 표준 룸 설정을 구성한다.
2. 시작 조건 검증 기능을 실행한다.
3. UI·서버 상태·로그를 확인한다.
4. 메모 3장 사망과 최후 생존자 규칙을 훼손하지 않는지 확인한다.</x:v>
      </x:c>
      <x:c r="H18" s="14" t="str">
        <x:v>최소 인원, 준비 상태, 버전 호환, 필수 에셋 로딩이 충족되어야 시작된다.</x:v>
      </x:c>
      <x:c r="I18" s="14" t="str">
        <x:v>통합</x:v>
      </x:c>
      <x:c r="J18" s="14" t="str">
        <x:v>P0</x:v>
      </x:c>
      <x:c r="K18" s="14" t="str">
        <x:v>공통</x:v>
      </x:c>
      <x:c r="L18" s="14" t="str">
        <x:v>예</x:v>
      </x:c>
      <x:c r="M18" s="14" t="str">
        <x:v>미실시</x:v>
      </x:c>
      <x:c r="N18" s="14" t="str">
        <x:v>미정</x:v>
      </x:c>
      <x:c r="O18" s="14" t="str">
        <x:v>MVP</x:v>
      </x:c>
      <x:c r="P18" s="14"/>
      <x:c r="Q18" s="14"/>
      <x:c r="R18" s="16" t="str">
        <x:v>2026-07-10</x:v>
      </x:c>
      <x:c r="S18" s="14"/>
      <x:c r="T18" s="16"/>
      <x:c r="U18" s="16"/>
      <x:c r="V18" s="14" t="str">
        <x:v>착수 전</x:v>
      </x:c>
    </x:row>
    <x:row r="19">
      <x:c r="A19" s="14" t="str">
        <x:v>TC-SUP-ONL-004-02</x:v>
      </x:c>
      <x:c r="B19" s="14" t="str">
        <x:v>SUP-ONL-004</x:v>
      </x:c>
      <x:c r="C19" s="14" t="str">
        <x:v>온라인·로비·매치메이킹</x:v>
      </x:c>
      <x:c r="D19" s="14" t="str">
        <x:v>예외·경계 시나리오: 시작 조건 검증</x:v>
      </x:c>
      <x:c r="E19" s="14" t="str">
        <x:v>중복·지연·권한 부족·연결 끊김·동시 입력에서 데이터 손상, 정보 유출, 사망/승리 판정 분기가 없는지 확인한다.</x:v>
      </x:c>
      <x:c r="F19" s="14" t="str">
        <x:v>대상 기능이 포함된 MVP 빌드와 비정상 입력·네트워크 열화 재현 수단을 준비한다.</x:v>
      </x:c>
      <x:c r="G19" s="14" t="str">
        <x:v>1. 경계값 또는 허용되지 않은 페이즈를 구성한다.
2. 시작 조건 검증 요청을 중복·지연·무효 값으로 실행한다.
3. 서버 거부·롤백·오류 표시·감사 로그를 확인한다.
4. 모든 클라이언트의 생존자·메모·아이템 상태가 일치하는지 확인한다.</x:v>
      </x:c>
      <x:c r="H19" s="14" t="str">
        <x:v>요청은 안전하게 거부 또는 복구되고, 자기 등 메모·실제 작성자·위조 여부가 노출되지 않으며 진행 중단이 발생하지 않는다.</x:v>
      </x:c>
      <x:c r="I19" s="14" t="str">
        <x:v>통합</x:v>
      </x:c>
      <x:c r="J19" s="14" t="str">
        <x:v>P0</x:v>
      </x:c>
      <x:c r="K19" s="14" t="str">
        <x:v>공통</x:v>
      </x:c>
      <x:c r="L19" s="14" t="str">
        <x:v>예</x:v>
      </x:c>
      <x:c r="M19" s="14" t="str">
        <x:v>미실시</x:v>
      </x:c>
      <x:c r="N19" s="14" t="str">
        <x:v>미정</x:v>
      </x:c>
      <x:c r="O19" s="14" t="str">
        <x:v>MVP</x:v>
      </x:c>
      <x:c r="P19" s="14"/>
      <x:c r="Q19" s="14"/>
      <x:c r="R19" s="16" t="str">
        <x:v>2026-07-10</x:v>
      </x:c>
      <x:c r="S19" s="14"/>
      <x:c r="T19" s="16"/>
      <x:c r="U19" s="16"/>
      <x:c r="V19" s="14" t="str">
        <x:v>착수 전</x:v>
      </x:c>
    </x:row>
    <x:row r="20">
      <x:c r="A20" s="14" t="str">
        <x:v>TC-SUP-ONL-005-01</x:v>
      </x:c>
      <x:c r="B20" s="14" t="str">
        <x:v>SUP-ONL-005</x:v>
      </x:c>
      <x:c r="C20" s="14" t="str">
        <x:v>온라인·로비·매치메이킹</x:v>
      </x:c>
      <x:c r="D20" s="14" t="str">
        <x:v>정상 시나리오: 재접속 유예 시간</x:v>
      </x:c>
      <x:c r="E20" s="14" t="str">
        <x:v>일시 연결 끊김 후 유예 시간 내 복귀하면 역할·메모·아이템·생존 상태가 복구된다.</x:v>
      </x:c>
      <x:c r="F20" s="14" t="str">
        <x:v>대상 기능이 포함된 MVP 빌드, 4~8인 테스트 룸과 로그 접근 권한을 준비한다.</x:v>
      </x:c>
      <x:c r="G20" s="14" t="str">
        <x:v>1. 표준 룸 설정을 구성한다.
2. 재접속 유예 시간 기능을 실행한다.
3. UI·서버 상태·로그를 확인한다.
4. 메모 3장 사망과 최후 생존자 규칙을 훼손하지 않는지 확인한다.</x:v>
      </x:c>
      <x:c r="H20" s="14" t="str">
        <x:v>일시 연결 끊김 후 유예 시간 내 복귀하면 역할·메모·아이템·생존 상태가 복구된다.</x:v>
      </x:c>
      <x:c r="I20" s="14" t="str">
        <x:v>네트워크</x:v>
      </x:c>
      <x:c r="J20" s="14" t="str">
        <x:v>P0</x:v>
      </x:c>
      <x:c r="K20" s="14" t="str">
        <x:v>공통</x:v>
      </x:c>
      <x:c r="L20" s="14" t="str">
        <x:v>예</x:v>
      </x:c>
      <x:c r="M20" s="14" t="str">
        <x:v>미실시</x:v>
      </x:c>
      <x:c r="N20" s="14" t="str">
        <x:v>미정</x:v>
      </x:c>
      <x:c r="O20" s="14" t="str">
        <x:v>MVP</x:v>
      </x:c>
      <x:c r="P20" s="14"/>
      <x:c r="Q20" s="14"/>
      <x:c r="R20" s="16" t="str">
        <x:v>2026-07-10</x:v>
      </x:c>
      <x:c r="S20" s="14"/>
      <x:c r="T20" s="16"/>
      <x:c r="U20" s="16"/>
      <x:c r="V20" s="14" t="str">
        <x:v>착수 전</x:v>
      </x:c>
    </x:row>
    <x:row r="21">
      <x:c r="A21" s="14" t="str">
        <x:v>TC-SUP-ONL-005-02</x:v>
      </x:c>
      <x:c r="B21" s="14" t="str">
        <x:v>SUP-ONL-005</x:v>
      </x:c>
      <x:c r="C21" s="14" t="str">
        <x:v>온라인·로비·매치메이킹</x:v>
      </x:c>
      <x:c r="D21" s="14" t="str">
        <x:v>예외·경계 시나리오: 재접속 유예 시간</x:v>
      </x:c>
      <x:c r="E21" s="14" t="str">
        <x:v>중복·지연·권한 부족·연결 끊김·동시 입력에서 데이터 손상, 정보 유출, 사망/승리 판정 분기가 없는지 확인한다.</x:v>
      </x:c>
      <x:c r="F21" s="14" t="str">
        <x:v>대상 기능이 포함된 MVP 빌드와 비정상 입력·네트워크 열화 재현 수단을 준비한다.</x:v>
      </x:c>
      <x:c r="G21" s="14" t="str">
        <x:v>1. 경계값 또는 허용되지 않은 페이즈를 구성한다.
2. 재접속 유예 시간 요청을 중복·지연·무효 값으로 실행한다.
3. 서버 거부·롤백·오류 표시·감사 로그를 확인한다.
4. 모든 클라이언트의 생존자·메모·아이템 상태가 일치하는지 확인한다.</x:v>
      </x:c>
      <x:c r="H21" s="14" t="str">
        <x:v>요청은 안전하게 거부 또는 복구되고, 자기 등 메모·실제 작성자·위조 여부가 노출되지 않으며 진행 중단이 발생하지 않는다.</x:v>
      </x:c>
      <x:c r="I21" s="14" t="str">
        <x:v>네트워크</x:v>
      </x:c>
      <x:c r="J21" s="14" t="str">
        <x:v>P0</x:v>
      </x:c>
      <x:c r="K21" s="14" t="str">
        <x:v>공통</x:v>
      </x:c>
      <x:c r="L21" s="14" t="str">
        <x:v>예</x:v>
      </x:c>
      <x:c r="M21" s="14" t="str">
        <x:v>미실시</x:v>
      </x:c>
      <x:c r="N21" s="14" t="str">
        <x:v>미정</x:v>
      </x:c>
      <x:c r="O21" s="14" t="str">
        <x:v>MVP</x:v>
      </x:c>
      <x:c r="P21" s="14"/>
      <x:c r="Q21" s="14"/>
      <x:c r="R21" s="16" t="str">
        <x:v>2026-07-10</x:v>
      </x:c>
      <x:c r="S21" s="14"/>
      <x:c r="T21" s="16"/>
      <x:c r="U21" s="16"/>
      <x:c r="V21" s="14" t="str">
        <x:v>착수 전</x:v>
      </x:c>
    </x:row>
    <x:row r="22">
      <x:c r="A22" s="14" t="str">
        <x:v>TC-SUP-ONL-006-01</x:v>
      </x:c>
      <x:c r="B22" s="14" t="str">
        <x:v>SUP-ONL-006</x:v>
      </x:c>
      <x:c r="C22" s="14" t="str">
        <x:v>온라인·로비·매치메이킹</x:v>
      </x:c>
      <x:c r="D22" s="14" t="str">
        <x:v>정상 시나리오: 사망자 관전 슬롯</x:v>
      </x:c>
      <x:c r="E22" s="14" t="str">
        <x:v>사망자는 관전 전용 상태로 전환되고 생존자 상호작용과 음성 채널에 영향을 주지 않는다.</x:v>
      </x:c>
      <x:c r="F22" s="14" t="str">
        <x:v>대상 기능이 포함된 MVP 빌드, 4~8인 테스트 룸과 로그 접근 권한을 준비한다.</x:v>
      </x:c>
      <x:c r="G22" s="14" t="str">
        <x:v>1. 표준 룸 설정을 구성한다.
2. 사망자 관전 슬롯 기능을 실행한다.
3. UI·서버 상태·로그를 확인한다.
4. 메모 3장 사망과 최후 생존자 규칙을 훼손하지 않는지 확인한다.</x:v>
      </x:c>
      <x:c r="H22" s="14" t="str">
        <x:v>사망자는 관전 전용 상태로 전환되고 생존자 상호작용과 음성 채널에 영향을 주지 않는다.</x:v>
      </x:c>
      <x:c r="I22" s="14" t="str">
        <x:v>통합</x:v>
      </x:c>
      <x:c r="J22" s="14" t="str">
        <x:v>P0</x:v>
      </x:c>
      <x:c r="K22" s="14" t="str">
        <x:v>공통</x:v>
      </x:c>
      <x:c r="L22" s="14" t="str">
        <x:v>예</x:v>
      </x:c>
      <x:c r="M22" s="14" t="str">
        <x:v>미실시</x:v>
      </x:c>
      <x:c r="N22" s="14" t="str">
        <x:v>미정</x:v>
      </x:c>
      <x:c r="O22" s="14" t="str">
        <x:v>MVP</x:v>
      </x:c>
      <x:c r="P22" s="14"/>
      <x:c r="Q22" s="14"/>
      <x:c r="R22" s="16" t="str">
        <x:v>2026-07-10</x:v>
      </x:c>
      <x:c r="S22" s="14"/>
      <x:c r="T22" s="16"/>
      <x:c r="U22" s="16"/>
      <x:c r="V22" s="14" t="str">
        <x:v>착수 전</x:v>
      </x:c>
    </x:row>
    <x:row r="23">
      <x:c r="A23" s="14" t="str">
        <x:v>TC-SUP-ONL-006-02</x:v>
      </x:c>
      <x:c r="B23" s="14" t="str">
        <x:v>SUP-ONL-006</x:v>
      </x:c>
      <x:c r="C23" s="14" t="str">
        <x:v>온라인·로비·매치메이킹</x:v>
      </x:c>
      <x:c r="D23" s="14" t="str">
        <x:v>예외·경계 시나리오: 사망자 관전 슬롯</x:v>
      </x:c>
      <x:c r="E23" s="14" t="str">
        <x:v>중복·지연·권한 부족·연결 끊김·동시 입력에서 데이터 손상, 정보 유출, 사망/승리 판정 분기가 없는지 확인한다.</x:v>
      </x:c>
      <x:c r="F23" s="14" t="str">
        <x:v>대상 기능이 포함된 MVP 빌드와 비정상 입력·네트워크 열화 재현 수단을 준비한다.</x:v>
      </x:c>
      <x:c r="G23" s="14" t="str">
        <x:v>1. 경계값 또는 허용되지 않은 페이즈를 구성한다.
2. 사망자 관전 슬롯 요청을 중복·지연·무효 값으로 실행한다.
3. 서버 거부·롤백·오류 표시·감사 로그를 확인한다.
4. 모든 클라이언트의 생존자·메모·아이템 상태가 일치하는지 확인한다.</x:v>
      </x:c>
      <x:c r="H23" s="14" t="str">
        <x:v>요청은 안전하게 거부 또는 복구되고, 자기 등 메모·실제 작성자·위조 여부가 노출되지 않으며 진행 중단이 발생하지 않는다.</x:v>
      </x:c>
      <x:c r="I23" s="14" t="str">
        <x:v>통합</x:v>
      </x:c>
      <x:c r="J23" s="14" t="str">
        <x:v>P0</x:v>
      </x:c>
      <x:c r="K23" s="14" t="str">
        <x:v>공통</x:v>
      </x:c>
      <x:c r="L23" s="14" t="str">
        <x:v>예</x:v>
      </x:c>
      <x:c r="M23" s="14" t="str">
        <x:v>미실시</x:v>
      </x:c>
      <x:c r="N23" s="14" t="str">
        <x:v>미정</x:v>
      </x:c>
      <x:c r="O23" s="14" t="str">
        <x:v>MVP</x:v>
      </x:c>
      <x:c r="P23" s="14"/>
      <x:c r="Q23" s="14"/>
      <x:c r="R23" s="16" t="str">
        <x:v>2026-07-10</x:v>
      </x:c>
      <x:c r="S23" s="14"/>
      <x:c r="T23" s="16"/>
      <x:c r="U23" s="16"/>
      <x:c r="V23" s="14" t="str">
        <x:v>착수 전</x:v>
      </x:c>
    </x:row>
    <x:row r="24">
      <x:c r="A24" s="14" t="str">
        <x:v>TC-SUP-ONL-007-01</x:v>
      </x:c>
      <x:c r="B24" s="14" t="str">
        <x:v>SUP-ONL-007</x:v>
      </x:c>
      <x:c r="C24" s="14" t="str">
        <x:v>온라인·로비·매치메이킹</x:v>
      </x:c>
      <x:c r="D24" s="14" t="str">
        <x:v>정상 시나리오: 룸 설정 동기화</x:v>
      </x:c>
      <x:c r="E24" s="14" t="str">
        <x:v>호스트가 변경한 허용 설정이 모든 참가자에게 버전과 해시로 동기화된다.</x:v>
      </x:c>
      <x:c r="F24" s="14" t="str">
        <x:v>대상 기능이 포함된 MVP 빌드, 4~8인 테스트 룸과 로그 접근 권한을 준비한다.</x:v>
      </x:c>
      <x:c r="G24" s="14" t="str">
        <x:v>1. 표준 룸 설정을 구성한다.
2. 룸 설정 동기화 기능을 실행한다.
3. UI·서버 상태·로그를 확인한다.
4. 메모 3장 사망과 최후 생존자 규칙을 훼손하지 않는지 확인한다.</x:v>
      </x:c>
      <x:c r="H24" s="14" t="str">
        <x:v>호스트가 변경한 허용 설정이 모든 참가자에게 버전과 해시로 동기화된다.</x:v>
      </x:c>
      <x:c r="I24" s="14" t="str">
        <x:v>네트워크</x:v>
      </x:c>
      <x:c r="J24" s="14" t="str">
        <x:v>P0</x:v>
      </x:c>
      <x:c r="K24" s="14" t="str">
        <x:v>공통</x:v>
      </x:c>
      <x:c r="L24" s="14" t="str">
        <x:v>예</x:v>
      </x:c>
      <x:c r="M24" s="14" t="str">
        <x:v>미실시</x:v>
      </x:c>
      <x:c r="N24" s="14" t="str">
        <x:v>미정</x:v>
      </x:c>
      <x:c r="O24" s="14" t="str">
        <x:v>MVP</x:v>
      </x:c>
      <x:c r="P24" s="14"/>
      <x:c r="Q24" s="14"/>
      <x:c r="R24" s="16" t="str">
        <x:v>2026-07-10</x:v>
      </x:c>
      <x:c r="S24" s="14"/>
      <x:c r="T24" s="16"/>
      <x:c r="U24" s="16"/>
      <x:c r="V24" s="14" t="str">
        <x:v>착수 전</x:v>
      </x:c>
    </x:row>
    <x:row r="25">
      <x:c r="A25" s="14" t="str">
        <x:v>TC-SUP-ONL-007-02</x:v>
      </x:c>
      <x:c r="B25" s="14" t="str">
        <x:v>SUP-ONL-007</x:v>
      </x:c>
      <x:c r="C25" s="14" t="str">
        <x:v>온라인·로비·매치메이킹</x:v>
      </x:c>
      <x:c r="D25" s="14" t="str">
        <x:v>예외·경계 시나리오: 룸 설정 동기화</x:v>
      </x:c>
      <x:c r="E25" s="14" t="str">
        <x:v>중복·지연·권한 부족·연결 끊김·동시 입력에서 데이터 손상, 정보 유출, 사망/승리 판정 분기가 없는지 확인한다.</x:v>
      </x:c>
      <x:c r="F25" s="14" t="str">
        <x:v>대상 기능이 포함된 MVP 빌드와 비정상 입력·네트워크 열화 재현 수단을 준비한다.</x:v>
      </x:c>
      <x:c r="G25" s="14" t="str">
        <x:v>1. 경계값 또는 허용되지 않은 페이즈를 구성한다.
2. 룸 설정 동기화 요청을 중복·지연·무효 값으로 실행한다.
3. 서버 거부·롤백·오류 표시·감사 로그를 확인한다.
4. 모든 클라이언트의 생존자·메모·아이템 상태가 일치하는지 확인한다.</x:v>
      </x:c>
      <x:c r="H25" s="14" t="str">
        <x:v>요청은 안전하게 거부 또는 복구되고, 자기 등 메모·실제 작성자·위조 여부가 노출되지 않으며 진행 중단이 발생하지 않는다.</x:v>
      </x:c>
      <x:c r="I25" s="14" t="str">
        <x:v>네트워크</x:v>
      </x:c>
      <x:c r="J25" s="14" t="str">
        <x:v>P0</x:v>
      </x:c>
      <x:c r="K25" s="14" t="str">
        <x:v>공통</x:v>
      </x:c>
      <x:c r="L25" s="14" t="str">
        <x:v>예</x:v>
      </x:c>
      <x:c r="M25" s="14" t="str">
        <x:v>미실시</x:v>
      </x:c>
      <x:c r="N25" s="14" t="str">
        <x:v>미정</x:v>
      </x:c>
      <x:c r="O25" s="14" t="str">
        <x:v>MVP</x:v>
      </x:c>
      <x:c r="P25" s="14"/>
      <x:c r="Q25" s="14"/>
      <x:c r="R25" s="16" t="str">
        <x:v>2026-07-10</x:v>
      </x:c>
      <x:c r="S25" s="14"/>
      <x:c r="T25" s="16"/>
      <x:c r="U25" s="16"/>
      <x:c r="V25" s="14" t="str">
        <x:v>착수 전</x:v>
      </x:c>
    </x:row>
    <x:row r="26">
      <x:c r="A26" s="14" t="str">
        <x:v>TC-SUP-ONL-008-01</x:v>
      </x:c>
      <x:c r="B26" s="14" t="str">
        <x:v>SUP-ONL-008</x:v>
      </x:c>
      <x:c r="C26" s="14" t="str">
        <x:v>온라인·로비·매치메이킹</x:v>
      </x:c>
      <x:c r="D26" s="14" t="str">
        <x:v>정상 시나리오: 지역·핑 표시</x:v>
      </x:c>
      <x:c r="E26" s="14" t="str">
        <x:v>매치 시작 전 예상 지연과 서버 지역을 표시하고 과도한 지연 룸에는 경고한다.</x:v>
      </x:c>
      <x:c r="F26" s="14" t="str">
        <x:v>대상 기능이 포함된 Alpha 빌드, 4~8인 테스트 룸과 로그 접근 권한을 준비한다.</x:v>
      </x:c>
      <x:c r="G26" s="14" t="str">
        <x:v>1. 표준 룸 설정을 구성한다.
2. 지역·핑 표시 기능을 실행한다.
3. UI·서버 상태·로그를 확인한다.
4. 메모 3장 사망과 최후 생존자 규칙을 훼손하지 않는지 확인한다.</x:v>
      </x:c>
      <x:c r="H26" s="14" t="str">
        <x:v>매치 시작 전 예상 지연과 서버 지역을 표시하고 과도한 지연 룸에는 경고한다.</x:v>
      </x:c>
      <x:c r="I26" s="14" t="str">
        <x:v>네트워크</x:v>
      </x:c>
      <x:c r="J26" s="14" t="str">
        <x:v>P1</x:v>
      </x:c>
      <x:c r="K26" s="14" t="str">
        <x:v>공통</x:v>
      </x:c>
      <x:c r="L26" s="14" t="str">
        <x:v>예</x:v>
      </x:c>
      <x:c r="M26" s="14" t="str">
        <x:v>미실시</x:v>
      </x:c>
      <x:c r="N26" s="14" t="str">
        <x:v>미정</x:v>
      </x:c>
      <x:c r="O26" s="14" t="str">
        <x:v>Alpha</x:v>
      </x:c>
      <x:c r="P26" s="14"/>
      <x:c r="Q26" s="14"/>
      <x:c r="R26" s="16" t="str">
        <x:v>2026-07-10</x:v>
      </x:c>
      <x:c r="S26" s="14"/>
      <x:c r="T26" s="16"/>
      <x:c r="U26" s="16"/>
      <x:c r="V26" s="14" t="str">
        <x:v>착수 전</x:v>
      </x:c>
    </x:row>
    <x:row r="27">
      <x:c r="A27" s="14" t="str">
        <x:v>TC-SUP-ONL-008-02</x:v>
      </x:c>
      <x:c r="B27" s="14" t="str">
        <x:v>SUP-ONL-008</x:v>
      </x:c>
      <x:c r="C27" s="14" t="str">
        <x:v>온라인·로비·매치메이킹</x:v>
      </x:c>
      <x:c r="D27" s="14" t="str">
        <x:v>예외·경계 시나리오: 지역·핑 표시</x:v>
      </x:c>
      <x:c r="E27" s="14" t="str">
        <x:v>중복·지연·권한 부족·연결 끊김·동시 입력에서 데이터 손상, 정보 유출, 사망/승리 판정 분기가 없는지 확인한다.</x:v>
      </x:c>
      <x:c r="F27" s="14" t="str">
        <x:v>대상 기능이 포함된 Alpha 빌드와 비정상 입력·네트워크 열화 재현 수단을 준비한다.</x:v>
      </x:c>
      <x:c r="G27" s="14" t="str">
        <x:v>1. 경계값 또는 허용되지 않은 페이즈를 구성한다.
2. 지역·핑 표시 요청을 중복·지연·무효 값으로 실행한다.
3. 서버 거부·롤백·오류 표시·감사 로그를 확인한다.
4. 모든 클라이언트의 생존자·메모·아이템 상태가 일치하는지 확인한다.</x:v>
      </x:c>
      <x:c r="H27" s="14" t="str">
        <x:v>요청은 안전하게 거부 또는 복구되고, 자기 등 메모·실제 작성자·위조 여부가 노출되지 않으며 진행 중단이 발생하지 않는다.</x:v>
      </x:c>
      <x:c r="I27" s="14" t="str">
        <x:v>네트워크</x:v>
      </x:c>
      <x:c r="J27" s="14" t="str">
        <x:v>P1</x:v>
      </x:c>
      <x:c r="K27" s="14" t="str">
        <x:v>공통</x:v>
      </x:c>
      <x:c r="L27" s="14" t="str">
        <x:v>예</x:v>
      </x:c>
      <x:c r="M27" s="14" t="str">
        <x:v>미실시</x:v>
      </x:c>
      <x:c r="N27" s="14" t="str">
        <x:v>미정</x:v>
      </x:c>
      <x:c r="O27" s="14" t="str">
        <x:v>Alpha</x:v>
      </x:c>
      <x:c r="P27" s="14"/>
      <x:c r="Q27" s="14"/>
      <x:c r="R27" s="16" t="str">
        <x:v>2026-07-10</x:v>
      </x:c>
      <x:c r="S27" s="14"/>
      <x:c r="T27" s="16"/>
      <x:c r="U27" s="16"/>
      <x:c r="V27" s="14" t="str">
        <x:v>착수 전</x:v>
      </x:c>
    </x:row>
    <x:row r="28">
      <x:c r="A28" s="14" t="str">
        <x:v>TC-SUP-ONL-009-01</x:v>
      </x:c>
      <x:c r="B28" s="14" t="str">
        <x:v>SUP-ONL-009</x:v>
      </x:c>
      <x:c r="C28" s="14" t="str">
        <x:v>온라인·로비·매치메이킹</x:v>
      </x:c>
      <x:c r="D28" s="14" t="str">
        <x:v>정상 시나리오: 플랫폼 호환성 검증</x:v>
      </x:c>
      <x:c r="E28" s="14" t="str">
        <x:v>입력 방식과 플랫폼이 달라도 핵심 행동 시간과 판정이 공정하게 유지된다.</x:v>
      </x:c>
      <x:c r="F28" s="14" t="str">
        <x:v>대상 기능이 포함된 Beta 빌드, 4~8인 테스트 룸과 로그 접근 권한을 준비한다.</x:v>
      </x:c>
      <x:c r="G28" s="14" t="str">
        <x:v>1. 표준 룸 설정을 구성한다.
2. 플랫폼 호환성 검증 기능을 실행한다.
3. UI·서버 상태·로그를 확인한다.
4. 메모 3장 사망과 최후 생존자 규칙을 훼손하지 않는지 확인한다.</x:v>
      </x:c>
      <x:c r="H28" s="14" t="str">
        <x:v>입력 방식과 플랫폼이 달라도 핵심 행동 시간과 판정이 공정하게 유지된다.</x:v>
      </x:c>
      <x:c r="I28" s="14" t="str">
        <x:v>호환성</x:v>
      </x:c>
      <x:c r="J28" s="14" t="str">
        <x:v>P1</x:v>
      </x:c>
      <x:c r="K28" s="14" t="str">
        <x:v>공통</x:v>
      </x:c>
      <x:c r="L28" s="14" t="str">
        <x:v>예</x:v>
      </x:c>
      <x:c r="M28" s="14" t="str">
        <x:v>미실시</x:v>
      </x:c>
      <x:c r="N28" s="14" t="str">
        <x:v>미정</x:v>
      </x:c>
      <x:c r="O28" s="14" t="str">
        <x:v>Beta</x:v>
      </x:c>
      <x:c r="P28" s="14"/>
      <x:c r="Q28" s="14"/>
      <x:c r="R28" s="16" t="str">
        <x:v>2026-07-10</x:v>
      </x:c>
      <x:c r="S28" s="14"/>
      <x:c r="T28" s="16"/>
      <x:c r="U28" s="16"/>
      <x:c r="V28" s="14" t="str">
        <x:v>착수 전</x:v>
      </x:c>
    </x:row>
    <x:row r="29">
      <x:c r="A29" s="14" t="str">
        <x:v>TC-SUP-ONL-009-02</x:v>
      </x:c>
      <x:c r="B29" s="14" t="str">
        <x:v>SUP-ONL-009</x:v>
      </x:c>
      <x:c r="C29" s="14" t="str">
        <x:v>온라인·로비·매치메이킹</x:v>
      </x:c>
      <x:c r="D29" s="14" t="str">
        <x:v>예외·경계 시나리오: 플랫폼 호환성 검증</x:v>
      </x:c>
      <x:c r="E29" s="14" t="str">
        <x:v>중복·지연·권한 부족·연결 끊김·동시 입력에서 데이터 손상, 정보 유출, 사망/승리 판정 분기가 없는지 확인한다.</x:v>
      </x:c>
      <x:c r="F29" s="14" t="str">
        <x:v>대상 기능이 포함된 Beta 빌드와 비정상 입력·네트워크 열화 재현 수단을 준비한다.</x:v>
      </x:c>
      <x:c r="G29" s="14" t="str">
        <x:v>1. 경계값 또는 허용되지 않은 페이즈를 구성한다.
2. 플랫폼 호환성 검증 요청을 중복·지연·무효 값으로 실행한다.
3. 서버 거부·롤백·오류 표시·감사 로그를 확인한다.
4. 모든 클라이언트의 생존자·메모·아이템 상태가 일치하는지 확인한다.</x:v>
      </x:c>
      <x:c r="H29" s="14" t="str">
        <x:v>요청은 안전하게 거부 또는 복구되고, 자기 등 메모·실제 작성자·위조 여부가 노출되지 않으며 진행 중단이 발생하지 않는다.</x:v>
      </x:c>
      <x:c r="I29" s="14" t="str">
        <x:v>호환성</x:v>
      </x:c>
      <x:c r="J29" s="14" t="str">
        <x:v>P1</x:v>
      </x:c>
      <x:c r="K29" s="14" t="str">
        <x:v>공통</x:v>
      </x:c>
      <x:c r="L29" s="14" t="str">
        <x:v>예</x:v>
      </x:c>
      <x:c r="M29" s="14" t="str">
        <x:v>미실시</x:v>
      </x:c>
      <x:c r="N29" s="14" t="str">
        <x:v>미정</x:v>
      </x:c>
      <x:c r="O29" s="14" t="str">
        <x:v>Beta</x:v>
      </x:c>
      <x:c r="P29" s="14"/>
      <x:c r="Q29" s="14"/>
      <x:c r="R29" s="16" t="str">
        <x:v>2026-07-10</x:v>
      </x:c>
      <x:c r="S29" s="14"/>
      <x:c r="T29" s="16"/>
      <x:c r="U29" s="16"/>
      <x:c r="V29" s="14" t="str">
        <x:v>착수 전</x:v>
      </x:c>
    </x:row>
    <x:row r="30">
      <x:c r="A30" s="14" t="str">
        <x:v>TC-SUP-ONL-010-01</x:v>
      </x:c>
      <x:c r="B30" s="14" t="str">
        <x:v>SUP-ONL-010</x:v>
      </x:c>
      <x:c r="C30" s="14" t="str">
        <x:v>온라인·로비·매치메이킹</x:v>
      </x:c>
      <x:c r="D30" s="14" t="str">
        <x:v>정상 시나리오: 진행 중 백필 금지</x:v>
      </x:c>
      <x:c r="E30" s="14" t="str">
        <x:v>역할·정보 비대칭 보호를 위해 게임 시작 후 신규 생존자 참가를 허용하지 않는다.</x:v>
      </x:c>
      <x:c r="F30" s="14" t="str">
        <x:v>대상 기능이 포함된 MVP 빌드, 4~8인 테스트 룸과 로그 접근 권한을 준비한다.</x:v>
      </x:c>
      <x:c r="G30" s="14" t="str">
        <x:v>1. 표준 룸 설정을 구성한다.
2. 진행 중 백필 금지 기능을 실행한다.
3. UI·서버 상태·로그를 확인한다.
4. 메모 3장 사망과 최후 생존자 규칙을 훼손하지 않는지 확인한다.</x:v>
      </x:c>
      <x:c r="H30" s="14" t="str">
        <x:v>역할·정보 비대칭 보호를 위해 게임 시작 후 신규 생존자 참가를 허용하지 않는다.</x:v>
      </x:c>
      <x:c r="I30" s="14" t="str">
        <x:v>통합</x:v>
      </x:c>
      <x:c r="J30" s="14" t="str">
        <x:v>P0</x:v>
      </x:c>
      <x:c r="K30" s="14" t="str">
        <x:v>공통</x:v>
      </x:c>
      <x:c r="L30" s="14" t="str">
        <x:v>예</x:v>
      </x:c>
      <x:c r="M30" s="14" t="str">
        <x:v>미실시</x:v>
      </x:c>
      <x:c r="N30" s="14" t="str">
        <x:v>미정</x:v>
      </x:c>
      <x:c r="O30" s="14" t="str">
        <x:v>MVP</x:v>
      </x:c>
      <x:c r="P30" s="14"/>
      <x:c r="Q30" s="14"/>
      <x:c r="R30" s="16" t="str">
        <x:v>2026-07-10</x:v>
      </x:c>
      <x:c r="S30" s="14"/>
      <x:c r="T30" s="16"/>
      <x:c r="U30" s="16"/>
      <x:c r="V30" s="14" t="str">
        <x:v>착수 전</x:v>
      </x:c>
    </x:row>
    <x:row r="31">
      <x:c r="A31" s="14" t="str">
        <x:v>TC-SUP-ONL-010-02</x:v>
      </x:c>
      <x:c r="B31" s="14" t="str">
        <x:v>SUP-ONL-010</x:v>
      </x:c>
      <x:c r="C31" s="14" t="str">
        <x:v>온라인·로비·매치메이킹</x:v>
      </x:c>
      <x:c r="D31" s="14" t="str">
        <x:v>예외·경계 시나리오: 진행 중 백필 금지</x:v>
      </x:c>
      <x:c r="E31" s="14" t="str">
        <x:v>중복·지연·권한 부족·연결 끊김·동시 입력에서 데이터 손상, 정보 유출, 사망/승리 판정 분기가 없는지 확인한다.</x:v>
      </x:c>
      <x:c r="F31" s="14" t="str">
        <x:v>대상 기능이 포함된 MVP 빌드와 비정상 입력·네트워크 열화 재현 수단을 준비한다.</x:v>
      </x:c>
      <x:c r="G31" s="14" t="str">
        <x:v>1. 경계값 또는 허용되지 않은 페이즈를 구성한다.
2. 진행 중 백필 금지 요청을 중복·지연·무효 값으로 실행한다.
3. 서버 거부·롤백·오류 표시·감사 로그를 확인한다.
4. 모든 클라이언트의 생존자·메모·아이템 상태가 일치하는지 확인한다.</x:v>
      </x:c>
      <x:c r="H31" s="14" t="str">
        <x:v>요청은 안전하게 거부 또는 복구되고, 자기 등 메모·실제 작성자·위조 여부가 노출되지 않으며 진행 중단이 발생하지 않는다.</x:v>
      </x:c>
      <x:c r="I31" s="14" t="str">
        <x:v>통합</x:v>
      </x:c>
      <x:c r="J31" s="14" t="str">
        <x:v>P0</x:v>
      </x:c>
      <x:c r="K31" s="14" t="str">
        <x:v>공통</x:v>
      </x:c>
      <x:c r="L31" s="14" t="str">
        <x:v>예</x:v>
      </x:c>
      <x:c r="M31" s="14" t="str">
        <x:v>미실시</x:v>
      </x:c>
      <x:c r="N31" s="14" t="str">
        <x:v>미정</x:v>
      </x:c>
      <x:c r="O31" s="14" t="str">
        <x:v>MVP</x:v>
      </x:c>
      <x:c r="P31" s="14"/>
      <x:c r="Q31" s="14"/>
      <x:c r="R31" s="16" t="str">
        <x:v>2026-07-10</x:v>
      </x:c>
      <x:c r="S31" s="14"/>
      <x:c r="T31" s="16"/>
      <x:c r="U31" s="16"/>
      <x:c r="V31" s="14" t="str">
        <x:v>착수 전</x:v>
      </x:c>
    </x:row>
  </x:sheetData>
  <x:conditionalFormatting sqref="M2:M31">
    <x:cfRule type="expression" dxfId="2" priority="1">
      <x:formula>M2="실패"</x:formula>
    </x:cfRule>
    <x:cfRule type="expression" dxfId="3" priority="2">
      <x:formula>M2="통과"</x:formula>
    </x:cfRule>
  </x:conditionalFormatting>
  <x:dataValidations count="2">
    <x:dataValidation type="list" sqref="M2:M31">
      <x:formula1>"미실시,진행 중,통과,실패,차단,대상 제외"</x:formula1>
    </x:dataValidation>
    <x:dataValidation type="list" sqref="V2:V31">
      <x:formula1>"착수 전,작업 중,완료"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42" hidden="0" customWidth="1"/>
    <x:col min="5" max="5" width="34" hidden="0" customWidth="1"/>
    <x:col min="6" max="6" width="30" hidden="0" customWidth="1"/>
    <x:col min="7" max="7" width="12" hidden="0" customWidth="1"/>
    <x:col min="8" max="8" width="12" hidden="0" customWidth="1"/>
    <x:col min="9" max="9" width="10" hidden="0" customWidth="1"/>
    <x:col min="10" max="10" width="16" hidden="0" customWidth="1"/>
    <x:col min="11" max="11" width="40" hidden="0" customWidth="1"/>
    <x:col min="12" max="12" width="36" hidden="0" customWidth="1"/>
    <x:col min="13" max="13" width="12" hidden="0" customWidth="1"/>
    <x:col min="14" max="14" width="24" hidden="0" customWidth="1"/>
    <x:col min="15" max="15" width="13" hidden="0" customWidth="1"/>
    <x:col min="16" max="16" width="22" hidden="0" customWidth="1"/>
  </x:cols>
  <x:sheetData>
    <x:row r="1" ht="30" customHeight="1">
      <x:c r="A1" s="6" t="str">
        <x:v>위험 ID</x:v>
      </x:c>
      <x:c r="B1" s="6" t="str">
        <x:v>부문</x:v>
      </x:c>
      <x:c r="C1" s="6" t="str">
        <x:v>분류</x:v>
      </x:c>
      <x:c r="D1" s="6" t="str">
        <x:v>위험 내용</x:v>
      </x:c>
      <x:c r="E1" s="6" t="str">
        <x:v>발생 조건</x:v>
      </x:c>
      <x:c r="F1" s="6" t="str">
        <x:v>영향</x:v>
      </x:c>
      <x:c r="G1" s="6" t="str">
        <x:v>발생 확률</x:v>
      </x:c>
      <x:c r="H1" s="6" t="str">
        <x:v>영향도</x:v>
      </x:c>
      <x:c r="I1" s="6" t="str">
        <x:v>점수</x:v>
      </x:c>
      <x:c r="J1" s="6" t="str">
        <x:v>담당자</x:v>
      </x:c>
      <x:c r="K1" s="6" t="str">
        <x:v>예방 조치</x:v>
      </x:c>
      <x:c r="L1" s="6" t="str">
        <x:v>비상 대책</x:v>
      </x:c>
      <x:c r="M1" s="6" t="str">
        <x:v>상태</x:v>
      </x:c>
      <x:c r="N1" s="6" t="str">
        <x:v>관련 ID</x:v>
      </x:c>
      <x:c r="O1" s="6" t="str">
        <x:v>검토일</x:v>
      </x:c>
      <x:c r="P1" s="6" t="str">
        <x:v>비고</x:v>
      </x:c>
    </x:row>
    <x:row r="2">
      <x:c r="A2" s="14" t="str">
        <x:v>R-04-01</x:v>
      </x:c>
      <x:c r="B2" s="14" t="str">
        <x:v>온라인·로비·매치메이킹</x:v>
      </x:c>
      <x:c r="C2" s="14" t="str">
        <x:v>세션</x:v>
      </x:c>
      <x:c r="D2" s="14" t="str">
        <x:v>재접속 중 역할·메모 상태가 유실될 수 있다.</x:v>
      </x:c>
      <x:c r="E2" s="14" t="str">
        <x:v>세션 토큰·스냅샷 불일치</x:v>
      </x:c>
      <x:c r="F2" s="14" t="str">
        <x:v>승패 왜곡</x:v>
      </x:c>
      <x:c r="G2" s="14" t="str">
        <x:v>중간</x:v>
      </x:c>
      <x:c r="H2" s="14" t="str">
        <x:v>높음</x:v>
      </x:c>
      <x:c r="I2" s="14" t="n">
        <x:f>IF(G2="높음",3,IF(G2="중간",2,1))*IF(H2="높음",3,IF(H2="중간",2,1))</x:f>
        <x:v>6</x:v>
      </x:c>
      <x:c r="J2" s="14" t="str">
        <x:v>미정</x:v>
      </x:c>
      <x:c r="K2" s="14" t="str">
        <x:v>서버 스냅샷과 유예 시간 테스트를 적용한다.</x:v>
      </x:c>
      <x:c r="L2" s="14" t="str">
        <x:v>해당 플레이어 안전 사망 처리</x:v>
      </x:c>
      <x:c r="M2" s="14" t="str">
        <x:v>미대응</x:v>
      </x:c>
      <x:c r="N2" s="14" t="str">
        <x:v>SUP-ONL-005</x:v>
      </x:c>
      <x:c r="O2" s="14" t="str">
        <x:v>미정</x:v>
      </x:c>
      <x:c r="P2" s="14"/>
    </x:row>
    <x:row r="3">
      <x:c r="A3" s="14" t="str">
        <x:v>R-04-02</x:v>
      </x:c>
      <x:c r="B3" s="14" t="str">
        <x:v>온라인·로비·매치메이킹</x:v>
      </x:c>
      <x:c r="C3" s="14" t="str">
        <x:v>권한</x:v>
      </x:c>
      <x:c r="D3" s="14" t="str">
        <x:v>호스트 이관 중 룸 설정이 변조되거나 유실될 수 있다.</x:v>
      </x:c>
      <x:c r="E3" s="14" t="str">
        <x:v>호스트 이탈·동시 승계</x:v>
      </x:c>
      <x:c r="F3" s="14" t="str">
        <x:v>세션 중단</x:v>
      </x:c>
      <x:c r="G3" s="14" t="str">
        <x:v>중간</x:v>
      </x:c>
      <x:c r="H3" s="14" t="str">
        <x:v>높음</x:v>
      </x:c>
      <x:c r="I3" s="14" t="n">
        <x:f>IF(G3="높음",3,IF(G3="중간",2,1))*IF(H3="높음",3,IF(H3="중간",2,1))</x:f>
        <x:v>6</x:v>
      </x:c>
      <x:c r="J3" s="14" t="str">
        <x:v>미정</x:v>
      </x:c>
      <x:c r="K3" s="14" t="str">
        <x:v>서버 권한 이관과 설정 해시를 검증한다.</x:v>
      </x:c>
      <x:c r="L3" s="14" t="str">
        <x:v>룸 종료 및 재매칭</x:v>
      </x:c>
      <x:c r="M3" s="14" t="str">
        <x:v>미대응</x:v>
      </x:c>
      <x:c r="N3" s="14" t="str">
        <x:v>SUP-ONL-003,SUP-ONL-007</x:v>
      </x:c>
      <x:c r="O3" s="14" t="str">
        <x:v>미정</x:v>
      </x:c>
      <x:c r="P3" s="14"/>
    </x:row>
    <x:row r="4">
      <x:c r="A4" s="14" t="str">
        <x:v>R-04-03</x:v>
      </x:c>
      <x:c r="B4" s="14" t="str">
        <x:v>온라인·로비·매치메이킹</x:v>
      </x:c>
      <x:c r="C4" s="14" t="str">
        <x:v>호환성</x:v>
      </x:c>
      <x:c r="D4" s="14" t="str">
        <x:v>크로스플레이 지연과 입력 차이가 부착 공정성을 해칠 수 있다.</x:v>
      </x:c>
      <x:c r="E4" s="14" t="str">
        <x:v>플랫폼별 프레임·핑 차이</x:v>
      </x:c>
      <x:c r="F4" s="14" t="str">
        <x:v>플랫폼 편향</x:v>
      </x:c>
      <x:c r="G4" s="14" t="str">
        <x:v>중간</x:v>
      </x:c>
      <x:c r="H4" s="14" t="str">
        <x:v>중간</x:v>
      </x:c>
      <x:c r="I4" s="14" t="n">
        <x:f>IF(G4="높음",3,IF(G4="중간",2,1))*IF(H4="높음",3,IF(H4="중간",2,1))</x:f>
        <x:v>4</x:v>
      </x:c>
      <x:c r="J4" s="14" t="str">
        <x:v>미정</x:v>
      </x:c>
      <x:c r="K4" s="14" t="str">
        <x:v>입력 보정과 서버 판정 KPI를 비교한다.</x:v>
      </x:c>
      <x:c r="L4" s="14" t="str">
        <x:v>크로스플레이 제한 옵션</x:v>
      </x:c>
      <x:c r="M4" s="14" t="str">
        <x:v>미대응</x:v>
      </x:c>
      <x:c r="N4" s="14" t="str">
        <x:v>SUP-ONL-009</x:v>
      </x:c>
      <x:c r="O4" s="14" t="str">
        <x:v>미정</x:v>
      </x:c>
      <x:c r="P4" s="14"/>
    </x:row>
  </x:sheetData>
  <x:conditionalFormatting sqref="I2:I4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dataValidations count="1">
    <x:dataValidation type="list" sqref="M2:M4">
      <x:formula1>"미대응,대응 중,모니터링,수용,해소,종료"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6" hidden="0" customWidth="1"/>
    <x:col min="4" max="4" width="42" hidden="0" customWidth="1"/>
    <x:col min="5" max="5" width="34" hidden="0" customWidth="1"/>
    <x:col min="6" max="6" width="38" hidden="0" customWidth="1"/>
    <x:col min="7" max="7" width="24" hidden="0" customWidth="1"/>
    <x:col min="8" max="8" width="12" hidden="0" customWidth="1"/>
    <x:col min="9" max="9" width="16" hidden="0" customWidth="1"/>
    <x:col min="10" max="10" width="13" hidden="0" customWidth="1"/>
    <x:col min="11" max="11" width="24" hidden="0" customWidth="1"/>
    <x:col min="12" max="12" width="38" hidden="0" customWidth="1"/>
    <x:col min="13" max="13" width="13" hidden="0" customWidth="1"/>
  </x:cols>
  <x:sheetData>
    <x:row r="1" ht="30" customHeight="1">
      <x:c r="A1" s="6" t="str">
        <x:v>의사결정 ID</x:v>
      </x:c>
      <x:c r="B1" s="6" t="str">
        <x:v>부문</x:v>
      </x:c>
      <x:c r="C1" s="6" t="str">
        <x:v>논점</x:v>
      </x:c>
      <x:c r="D1" s="6" t="str">
        <x:v>결정 질문</x:v>
      </x:c>
      <x:c r="E1" s="6" t="str">
        <x:v>선택지</x:v>
      </x:c>
      <x:c r="F1" s="6" t="str">
        <x:v>권고안</x:v>
      </x:c>
      <x:c r="G1" s="6" t="str">
        <x:v>최종 결정</x:v>
      </x:c>
      <x:c r="H1" s="6" t="str">
        <x:v>상태</x:v>
      </x:c>
      <x:c r="I1" s="6" t="str">
        <x:v>결정권자</x:v>
      </x:c>
      <x:c r="J1" s="6" t="str">
        <x:v>기한</x:v>
      </x:c>
      <x:c r="K1" s="6" t="str">
        <x:v>관련 ID</x:v>
      </x:c>
      <x:c r="L1" s="6" t="str">
        <x:v>판단 근거·증빙</x:v>
      </x:c>
      <x:c r="M1" s="6" t="str">
        <x:v>최종 갱신일</x:v>
      </x:c>
    </x:row>
    <x:row r="2">
      <x:c r="A2" s="14" t="str">
        <x:v>D-04-01</x:v>
      </x:c>
      <x:c r="B2" s="14" t="str">
        <x:v>온라인·로비·매치메이킹</x:v>
      </x:c>
      <x:c r="C2" s="14" t="str">
        <x:v>진행 중 참가</x:v>
      </x:c>
      <x:c r="D2" s="14" t="str">
        <x:v>매치 시작 후 신규 참가자를 허용할 것인가?</x:v>
      </x:c>
      <x:c r="E2" s="14" t="str">
        <x:v>A: 허용 / B: 관전만 / C: 금지</x:v>
      </x:c>
      <x:c r="F2" s="14" t="str">
        <x:v>신규 생존자 참가 금지, 초대된 사용자는 관전만 허용 여부를 별도 검토.</x:v>
      </x:c>
      <x:c r="G2" s="14" t="str">
        <x:v>미정</x:v>
      </x:c>
      <x:c r="H2" s="14" t="str">
        <x:v>미정</x:v>
      </x:c>
      <x:c r="I2" s="14" t="str">
        <x:v>제품 책임자</x:v>
      </x:c>
      <x:c r="J2" s="16" t="str">
        <x:v>2026-07-31</x:v>
      </x:c>
      <x:c r="K2" s="14" t="str">
        <x:v>SUP-ONL-010</x:v>
      </x:c>
      <x:c r="L2" s="14" t="str">
        <x:v>p.1.2.md / t.1.0.md 및 플레이테스트 데이터로 승인</x:v>
      </x:c>
      <x:c r="M2" s="16" t="str">
        <x:v>2026-07-10</x:v>
      </x:c>
    </x:row>
    <x:row r="3">
      <x:c r="A3" s="14" t="str">
        <x:v>D-04-02</x:v>
      </x:c>
      <x:c r="B3" s="14" t="str">
        <x:v>온라인·로비·매치메이킹</x:v>
      </x:c>
      <x:c r="C3" s="14" t="str">
        <x:v>이탈 처리</x:v>
      </x:c>
      <x:c r="D3" s="14" t="str">
        <x:v>재접속 유예 종료 후 이탈 플레이어를 어떻게 처리할 것인가?</x:v>
      </x:c>
      <x:c r="E3" s="14" t="str">
        <x:v>A: 즉시 사망 / B: AI 대체 / C: 무효화</x:v>
      </x:c>
      <x:c r="F3" s="14" t="str">
        <x:v>MVP는 사망 처리하고 생존자·유전 후보에서 제거한다.</x:v>
      </x:c>
      <x:c r="G3" s="14" t="str">
        <x:v>미정</x:v>
      </x:c>
      <x:c r="H3" s="14" t="str">
        <x:v>미정</x:v>
      </x:c>
      <x:c r="I3" s="14" t="str">
        <x:v>제품 책임자</x:v>
      </x:c>
      <x:c r="J3" s="16" t="str">
        <x:v>2026-07-31</x:v>
      </x:c>
      <x:c r="K3" s="14" t="str">
        <x:v>SUP-ONL-005</x:v>
      </x:c>
      <x:c r="L3" s="14" t="str">
        <x:v>p.1.2.md / t.1.0.md 및 플레이테스트 데이터로 승인</x:v>
      </x:c>
      <x:c r="M3" s="16" t="str">
        <x:v>2026-07-10</x:v>
      </x:c>
    </x:row>
  </x:sheetData>
  <x:dataValidations count="1">
    <x:dataValidation type="list" sqref="H2:H3">
      <x:formula1>"미정,검토 중,승인됨,반려,보류"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14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24" hidden="0" customWidth="1"/>
    <x:col min="10" max="10" width="16" hidden="0" customWidth="1"/>
    <x:col min="11" max="11" width="14" hidden="0" customWidth="1"/>
    <x:col min="12" max="12" width="16" hidden="0" customWidth="1"/>
    <x:col min="13" max="13" width="14" hidden="0" customWidth="1"/>
  </x:cols>
  <x:sheetData>
    <x:row r="1" ht="30" customHeight="1">
      <x:c r="A1" s="6" t="str">
        <x:v>상태</x:v>
      </x:c>
      <x:c r="B1" s="6" t="str">
        <x:v>우선순위</x:v>
      </x:c>
      <x:c r="C1" s="6" t="str">
        <x:v>범위</x:v>
      </x:c>
      <x:c r="D1" s="6" t="str">
        <x:v>게이트</x:v>
      </x:c>
      <x:c r="E1" s="6" t="str">
        <x:v>위험도</x:v>
      </x:c>
      <x:c r="F1" s="6" t="str">
        <x:v>예상 규모</x:v>
      </x:c>
      <x:c r="G1" s="6" t="str">
        <x:v>QA 유형</x:v>
      </x:c>
      <x:c r="H1" s="6" t="str">
        <x:v>플랫폼</x:v>
      </x:c>
      <x:c r="I1" s="6" t="str">
        <x:v>권한 주체</x:v>
      </x:c>
      <x:c r="J1" s="6" t="str">
        <x:v>저장 범위</x:v>
      </x:c>
      <x:c r="K1" s="6" t="str">
        <x:v>QA 상태</x:v>
      </x:c>
      <x:c r="L1" s="6" t="str">
        <x:v>의사결정 상태</x:v>
      </x:c>
      <x:c r="M1" s="6" t="str">
        <x:v>위험 상태</x:v>
      </x:c>
    </x:row>
    <x:row r="2">
      <x:c r="A2" s="14" t="str">
        <x:v>미착수</x:v>
      </x:c>
      <x:c r="B2" s="14" t="str">
        <x:v>P0</x:v>
      </x:c>
      <x:c r="C2" s="14" t="str">
        <x:v>MVP</x:v>
      </x:c>
      <x:c r="D2" s="14" t="str">
        <x:v>필수</x:v>
      </x:c>
      <x:c r="E2" s="14" t="str">
        <x:v>높음</x:v>
      </x:c>
      <x:c r="F2" s="14" t="str">
        <x:v>XS</x:v>
      </x:c>
      <x:c r="G2" s="14" t="str">
        <x:v>기능</x:v>
      </x:c>
      <x:c r="H2" s="14" t="str">
        <x:v>공통</x:v>
      </x:c>
      <x:c r="I2" s="14" t="str">
        <x:v>서버 권한</x:v>
      </x:c>
      <x:c r="J2" s="14" t="str">
        <x:v>없음</x:v>
      </x:c>
      <x:c r="K2" s="14" t="str">
        <x:v>미실시</x:v>
      </x:c>
      <x:c r="L2" s="14" t="str">
        <x:v>미정</x:v>
      </x:c>
      <x:c r="M2" s="14" t="str">
        <x:v>미대응</x:v>
      </x:c>
    </x:row>
    <x:row r="3">
      <x:c r="A3" s="14" t="str">
        <x:v>사양 확인 중</x:v>
      </x:c>
      <x:c r="B3" s="14" t="str">
        <x:v>P1</x:v>
      </x:c>
      <x:c r="C3" s="14" t="str">
        <x:v>알파</x:v>
      </x:c>
      <x:c r="D3" s="14" t="str">
        <x:v>조건부</x:v>
      </x:c>
      <x:c r="E3" s="14" t="str">
        <x:v>중간</x:v>
      </x:c>
      <x:c r="F3" s="14" t="str">
        <x:v>S</x:v>
      </x:c>
      <x:c r="G3" s="14" t="str">
        <x:v>통합</x:v>
      </x:c>
      <x:c r="H3" s="14" t="str">
        <x:v>PC</x:v>
      </x:c>
      <x:c r="I3" s="14" t="str">
        <x:v>클라이언트 예측·서버 검증</x:v>
      </x:c>
      <x:c r="J3" s="14" t="str">
        <x:v>세션</x:v>
      </x:c>
      <x:c r="K3" s="14" t="str">
        <x:v>진행 중</x:v>
      </x:c>
      <x:c r="L3" s="14" t="str">
        <x:v>검토 중</x:v>
      </x:c>
      <x:c r="M3" s="14" t="str">
        <x:v>대응 중</x:v>
      </x:c>
    </x:row>
    <x:row r="4">
      <x:c r="A4" s="14" t="str">
        <x:v>구현 중</x:v>
      </x:c>
      <x:c r="B4" s="14" t="str">
        <x:v>P2</x:v>
      </x:c>
      <x:c r="C4" s="14" t="str">
        <x:v>베타</x:v>
      </x:c>
      <x:c r="D4" s="14" t="str">
        <x:v>권장</x:v>
      </x:c>
      <x:c r="E4" s="14" t="str">
        <x:v>낮음</x:v>
      </x:c>
      <x:c r="F4" s="14" t="str">
        <x:v>M</x:v>
      </x:c>
      <x:c r="G4" s="14" t="str">
        <x:v>경계값</x:v>
      </x:c>
      <x:c r="H4" s="14" t="str">
        <x:v>콘솔</x:v>
      </x:c>
      <x:c r="I4" s="14" t="str">
        <x:v>클라이언트 로컬</x:v>
      </x:c>
      <x:c r="J4" s="14" t="str">
        <x:v>매치</x:v>
      </x:c>
      <x:c r="K4" s="14" t="str">
        <x:v>통과</x:v>
      </x:c>
      <x:c r="L4" s="14" t="str">
        <x:v>승인됨</x:v>
      </x:c>
      <x:c r="M4" s="14" t="str">
        <x:v>모니터링</x:v>
      </x:c>
    </x:row>
    <x:row r="5">
      <x:c r="A5" s="14" t="str">
        <x:v>코드 리뷰</x:v>
      </x:c>
      <x:c r="B5" s="14" t="str">
        <x:v>P3</x:v>
      </x:c>
      <x:c r="C5" s="14" t="str">
        <x:v>릴리스 후보</x:v>
      </x:c>
      <x:c r="D5" s="14" t="str">
        <x:v>대상 제외</x:v>
      </x:c>
      <x:c r="E5" s="14"/>
      <x:c r="F5" s="14" t="str">
        <x:v>L</x:v>
      </x:c>
      <x:c r="G5" s="14" t="str">
        <x:v>네트워크</x:v>
      </x:c>
      <x:c r="H5" s="14" t="str">
        <x:v>모바일</x:v>
      </x:c>
      <x:c r="I5" s="14" t="str">
        <x:v>서비스·프로세스 권한</x:v>
      </x:c>
      <x:c r="J5" s="14" t="str">
        <x:v>계정·백엔드</x:v>
      </x:c>
      <x:c r="K5" s="14" t="str">
        <x:v>실패</x:v>
      </x:c>
      <x:c r="L5" s="14" t="str">
        <x:v>반려</x:v>
      </x:c>
      <x:c r="M5" s="14" t="str">
        <x:v>수용</x:v>
      </x:c>
    </x:row>
    <x:row r="6">
      <x:c r="A6" s="14" t="str">
        <x:v>QA 진행 중</x:v>
      </x:c>
      <x:c r="B6" s="14"/>
      <x:c r="C6" s="14" t="str">
        <x:v>출시</x:v>
      </x:c>
      <x:c r="D6" s="14"/>
      <x:c r="E6" s="14"/>
      <x:c r="F6" s="14" t="str">
        <x:v>XL</x:v>
      </x:c>
      <x:c r="G6" s="14" t="str">
        <x:v>보안</x:v>
      </x:c>
      <x:c r="H6" s="14" t="str">
        <x:v>서버</x:v>
      </x:c>
      <x:c r="I6" s="14" t="str">
        <x:v>호스트 권한</x:v>
      </x:c>
      <x:c r="J6" s="14" t="str">
        <x:v>단말 로컬</x:v>
      </x:c>
      <x:c r="K6" s="14" t="str">
        <x:v>차단</x:v>
      </x:c>
      <x:c r="L6" s="14" t="str">
        <x:v>보류</x:v>
      </x:c>
      <x:c r="M6" s="14" t="str">
        <x:v>해소</x:v>
      </x:c>
    </x:row>
    <x:row r="7">
      <x:c r="A7" s="14" t="str">
        <x:v>차단</x:v>
      </x:c>
      <x:c r="B7" s="14"/>
      <x:c r="C7" s="14" t="str">
        <x:v>시즌 1</x:v>
      </x:c>
      <x:c r="D7" s="14"/>
      <x:c r="E7" s="14"/>
      <x:c r="F7" s="14" t="str">
        <x:v>분할 필요</x:v>
      </x:c>
      <x:c r="G7" s="14" t="str">
        <x:v>성능</x:v>
      </x:c>
      <x:c r="H7" s="14" t="str">
        <x:v>백엔드</x:v>
      </x:c>
      <x:c r="I7" s="14" t="str">
        <x:v>콘텐츠 데이터</x:v>
      </x:c>
      <x:c r="J7" s="14" t="str">
        <x:v>백엔드</x:v>
      </x:c>
      <x:c r="K7" s="14" t="str">
        <x:v>대상 제외</x:v>
      </x:c>
      <x:c r="L7" s="14"/>
      <x:c r="M7" s="14" t="str">
        <x:v>종료</x:v>
      </x:c>
    </x:row>
    <x:row r="8">
      <x:c r="A8" s="14" t="str">
        <x:v>완료</x:v>
      </x:c>
      <x:c r="B8" s="14"/>
      <x:c r="C8" s="14" t="str">
        <x:v>출시 후</x:v>
      </x:c>
      <x:c r="D8" s="14"/>
      <x:c r="E8" s="14"/>
      <x:c r="F8" s="14"/>
      <x:c r="G8" s="14" t="str">
        <x:v>호환성</x:v>
      </x:c>
      <x:c r="H8" s="14" t="str">
        <x:v>도구</x:v>
      </x:c>
      <x:c r="I8" s="14" t="str">
        <x:v>해당 없음</x:v>
      </x:c>
      <x:c r="J8" s="14" t="str">
        <x:v>감사 로그</x:v>
      </x:c>
      <x:c r="K8" s="14"/>
      <x:c r="L8" s="14"/>
      <x:c r="M8" s="14"/>
    </x:row>
    <x:row r="9">
      <x:c r="A9" s="14" t="str">
        <x:v>보류</x:v>
      </x:c>
      <x:c r="B9" s="14"/>
      <x:c r="C9" s="14" t="str">
        <x:v>대상 제외</x:v>
      </x:c>
      <x:c r="D9" s="14"/>
      <x:c r="E9" s="14"/>
      <x:c r="F9" s="14"/>
      <x:c r="G9" s="14" t="str">
        <x:v>사용성</x:v>
      </x:c>
      <x:c r="H9" s="14" t="str">
        <x:v>웹·관리자</x:v>
      </x:c>
      <x:c r="I9" s="14"/>
      <x:c r="J9" s="14"/>
      <x:c r="K9" s="14"/>
      <x:c r="L9" s="14"/>
      <x:c r="M9" s="14"/>
    </x:row>
    <x:row r="10">
      <x:c r="A10" s="14"/>
      <x:c r="B10" s="14"/>
      <x:c r="C10" s="14"/>
      <x:c r="D10" s="14"/>
      <x:c r="E10" s="14"/>
      <x:c r="F10" s="14"/>
      <x:c r="G10" s="14" t="str">
        <x:v>접근성</x:v>
      </x:c>
      <x:c r="H10" s="14"/>
      <x:c r="I10" s="14"/>
      <x:c r="J10" s="14"/>
      <x:c r="K10" s="14"/>
      <x:c r="L10" s="14"/>
      <x:c r="M10" s="14"/>
    </x:row>
    <x:row r="11">
      <x:c r="A11" s="14"/>
      <x:c r="B11" s="14"/>
      <x:c r="C11" s="14"/>
      <x:c r="D11" s="14"/>
      <x:c r="E11" s="14"/>
      <x:c r="F11" s="14"/>
      <x:c r="G11" s="14" t="str">
        <x:v>현지화</x:v>
      </x:c>
      <x:c r="H11" s="14"/>
      <x:c r="I11" s="14"/>
      <x:c r="J11" s="14"/>
      <x:c r="K11" s="14"/>
      <x:c r="L11" s="14"/>
      <x:c r="M11" s="14"/>
    </x:row>
    <x:row r="12">
      <x:c r="A12" s="14"/>
      <x:c r="B12" s="14"/>
      <x:c r="C12" s="14"/>
      <x:c r="D12" s="14"/>
      <x:c r="E12" s="14"/>
      <x:c r="F12" s="14"/>
      <x:c r="G12" s="14" t="str">
        <x:v>밸런스</x:v>
      </x:c>
      <x:c r="H12" s="14"/>
      <x:c r="I12" s="14"/>
      <x:c r="J12" s="14"/>
      <x:c r="K12" s="14"/>
      <x:c r="L12" s="14"/>
      <x:c r="M12" s="14"/>
    </x:row>
    <x:row r="13">
      <x:c r="A13" s="14"/>
      <x:c r="B13" s="14"/>
      <x:c r="C13" s="14"/>
      <x:c r="D13" s="14"/>
      <x:c r="E13" s="14"/>
      <x:c r="F13" s="14"/>
      <x:c r="G13" s="14" t="str">
        <x:v>운영</x:v>
      </x:c>
      <x:c r="H13" s="14"/>
      <x:c r="I13" s="14"/>
      <x:c r="J13" s="14"/>
      <x:c r="K13" s="14"/>
      <x:c r="L13" s="14"/>
      <x:c r="M13" s="14"/>
    </x:row>
  </x:sheetData>
  <x:pageMargins left="0.7" right="0.7" top="0.75" bottom="0.75" header="0.3" footer="0.3"/>
</x:worksheet>
</file>