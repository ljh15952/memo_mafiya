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3bf218e7dc3429d" /></Relationships>
</file>

<file path=xl/workbook.xml><?xml version="1.0" encoding="utf-8"?>
<x:workbook xmlns:x="http://schemas.openxmlformats.org/spreadsheetml/2006/main">
  <x:sheets>
    <x:sheet xmlns:r="http://schemas.openxmlformats.org/officeDocument/2006/relationships" name="00_개요" sheetId="1" r:id="R49f8fac7c6fb48ca"/>
    <x:sheet xmlns:r="http://schemas.openxmlformats.org/officeDocument/2006/relationships" name="01_백로그" sheetId="2" r:id="R82fe3979479e4944"/>
    <x:sheet xmlns:r="http://schemas.openxmlformats.org/officeDocument/2006/relationships" name="02_에셋_대장" sheetId="3" r:id="R6494602a29ca45f5"/>
    <x:sheet xmlns:r="http://schemas.openxmlformats.org/officeDocument/2006/relationships" name="03_판독성_매트릭스" sheetId="4" r:id="R6db3a4fcdcd74ecb"/>
    <x:sheet xmlns:r="http://schemas.openxmlformats.org/officeDocument/2006/relationships" name="04_상점_설정" sheetId="5" r:id="R8ab04b0111a642a7"/>
    <x:sheet xmlns:r="http://schemas.openxmlformats.org/officeDocument/2006/relationships" name="80_QA_케이스" sheetId="6" r:id="R027fa20021b546ae"/>
    <x:sheet xmlns:r="http://schemas.openxmlformats.org/officeDocument/2006/relationships" name="90_리스크" sheetId="7" r:id="R50de55db517640c8"/>
    <x:sheet xmlns:r="http://schemas.openxmlformats.org/officeDocument/2006/relationships" name="91_의사결정" sheetId="8" r:id="Rb8092997dfa74348"/>
    <x:sheet xmlns:r="http://schemas.openxmlformats.org/officeDocument/2006/relationships" name="99_목록" sheetId="9" r:id="R78d0d880c88040d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4">
    <x:font>
      <x:sz val="11"/>
      <x:name val="Carlito"/>
    </x:font>
    <x:font>
      <x:b/>
      <x:sz val="16"/>
      <x:color rgb="FFFFFFFF"/>
      <x:name val="Carlito"/>
    </x:font>
    <x:font>
      <x:i/>
      <x:sz val="11"/>
      <x:color rgb="FF1F1F1F"/>
      <x:name val="Carlito"/>
    </x:font>
    <x:font>
      <x:b/>
      <x:sz val="11"/>
      <x:color rgb="FFFFFFFF"/>
      <x:name val="Carlito"/>
    </x:font>
  </x:fonts>
  <x:fills count="5">
    <x:fill>
      <x:patternFill patternType="none"/>
    </x:fill>
    <x:fill>
      <x:patternFill patternType="gray125"/>
    </x:fill>
    <x:fill>
      <x:patternFill patternType="solid">
        <x:fgColor rgb="FF7030A0"/>
      </x:patternFill>
    </x:fill>
    <x:fill>
      <x:patternFill patternType="solid">
        <x:fgColor rgb="FFD9EAF7"/>
      </x:patternFill>
    </x:fill>
    <x:fill>
      <x:patternFill patternType="solid">
        <x:fgColor rgb="FF17365D"/>
      </x:patternFill>
    </x:fill>
  </x:fills>
  <x:borders count="2">
    <x:border/>
    <x:border/>
  </x:borders>
  <x:cellStyleXfs count="1">
    <x:xf numFmtId="0" fontId="0" fillId="0" borderId="0"/>
  </x:cellStyleXfs>
  <x:cellXfs count="5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0" fontId="3" fillId="4"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0" borderId="0" xfId="0" applyNumberFormat="1" applyFont="1" applyFill="1" applyBorder="1"/>
    <x:xf numFmtId="0" fontId="3" fillId="2" borderId="0" xfId="0" applyNumberFormat="1" applyFont="1" applyFill="1" applyBorder="1" applyAlignment="1">
      <x:alignment horizontal="center" vertical="top" wrapText="1"/>
    </x:xf>
    <x:xf numFmtId="201" fontId="0" fillId="0" borderId="0" xfId="0" applyNumberFormat="1" applyFont="1" applyFill="1" applyBorder="1"/>
    <x:xf numFmtId="0" fontId="0" fillId="0" borderId="0" xfId="0" applyNumberFormat="1" applyFont="1" applyFill="1" applyBorder="1" applyAlignment="1">
      <x:alignment horizontal="center"/>
    </x:xf>
    <x:xf numFmtId="201" fontId="0" fillId="0" borderId="0" xfId="0" applyNumberFormat="1" applyFont="1" applyFill="1" applyBorder="1" applyAlignment="1">
      <x:alignment horizontal="center"/>
    </x:xf>
    <x:xf numFmtId="0" fontId="0" fillId="0" borderId="0" xfId="0" applyNumberFormat="1" applyFont="1" applyFill="1" applyBorder="1" applyAlignment="1">
      <x:alignment horizontal="center" vertical="center"/>
    </x:xf>
    <x:xf numFmtId="201" fontId="0" fillId="0" borderId="0" xfId="0" applyNumberFormat="1" applyFont="1" applyFill="1" applyBorder="1" applyAlignment="1">
      <x:alignment horizontal="center" vertical="center"/>
    </x:xf>
  </x:cellXfs>
  <x:cellStyles count="1">
    <x:cellStyle name="Normal" xfId="0"/>
  </x:cellStyles>
  <x:dxfs count="36">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b/>
        <x:color rgb="FF9C0006"/>
      </x:font>
      <x:fill>
        <x:patternFill>
          <x:bgColor rgb="FFFCE4D6"/>
        </x:patternFill>
      </x:fill>
    </x:dxf>
    <x:dxf>
      <x:fill>
        <x:patternFill>
          <x:bgColor rgb="FFFFF2CC"/>
        </x:patternFill>
      </x:fill>
    </x:dxf>
    <x:dxf>
      <x:font>
        <x:b/>
        <x:color rgb="FF990000"/>
      </x:font>
      <x:fill>
        <x:patternFill>
          <x:bgColor rgb="FFF4CCCC"/>
        </x:patternFill>
      </x:fill>
    </x:dxf>
    <x:dxf>
      <x:fill>
        <x:patternFill>
          <x:bgColor rgb="FFFFF2CC"/>
        </x:patternFill>
      </x:fill>
    </x:dxf>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b/>
        <x:color rgb="FF9C0006"/>
      </x:font>
      <x:fill>
        <x:patternFill>
          <x:bgColor rgb="FFFCE4D6"/>
        </x:patternFill>
      </x:fill>
    </x:dxf>
    <x:dxf>
      <x:fill>
        <x:patternFill>
          <x:bgColor rgb="FFFFF2CC"/>
        </x:patternFill>
      </x:fill>
    </x:dxf>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color rgb="FF374151"/>
      </x:font>
      <x:fill>
        <x:patternFill patternType="solid">
          <x:bgColor rgb="FFE5E7EB"/>
        </x:patternFill>
      </x:fill>
    </x:dxf>
    <x:dxf>
      <x:font>
        <x:color rgb="FF92400E"/>
      </x:font>
      <x:fill>
        <x:patternFill patternType="solid">
          <x:bgColor rgb="FFFEF3C7"/>
        </x:patternFill>
      </x:fill>
    </x:dxf>
    <x:dxf>
      <x:font>
        <x:color rgb="FF166534"/>
      </x:font>
      <x:fill>
        <x:patternFill patternType="solid">
          <x:bgColor rgb="FFDCFCE7"/>
        </x:patternFill>
      </x:fill>
    </x:dxf>
    <x:dxf>
      <x:font>
        <x:color rgb="FF374151"/>
      </x:font>
      <x:fill>
        <x:patternFill patternType="solid">
          <x:bgColor rgb="FFE5E7EB"/>
        </x:patternFill>
      </x:fill>
    </x:dxf>
    <x:dxf>
      <x:font>
        <x:color rgb="FF92400E"/>
      </x:font>
      <x:fill>
        <x:patternFill patternType="solid">
          <x:bgColor rgb="FFFEF3C7"/>
        </x:patternFill>
      </x:fill>
    </x:dxf>
    <x:dxf>
      <x:font>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6029f2ffec740fb" /><Relationship Type="http://schemas.openxmlformats.org/officeDocument/2006/relationships/theme" Target="/xl/theme/theme1.xml" Id="R3f18a7bfe4514093" /><Relationship Type="http://schemas.openxmlformats.org/officeDocument/2006/relationships/sharedStrings" Target="/xl/sharedStrings.xml" Id="R4e8a497d3e134779" /><Relationship Type="http://schemas.openxmlformats.org/officeDocument/2006/relationships/worksheet" Target="/xl/worksheets/sheet1.xml" Id="R49f8fac7c6fb48ca" /><Relationship Type="http://schemas.openxmlformats.org/officeDocument/2006/relationships/worksheet" Target="/xl/worksheets/sheet2.xml" Id="R82fe3979479e4944" /><Relationship Type="http://schemas.openxmlformats.org/officeDocument/2006/relationships/worksheet" Target="/xl/worksheets/sheet3.xml" Id="R6494602a29ca45f5" /><Relationship Type="http://schemas.openxmlformats.org/officeDocument/2006/relationships/worksheet" Target="/xl/worksheets/sheet4.xml" Id="R6db3a4fcdcd74ecb" /><Relationship Type="http://schemas.openxmlformats.org/officeDocument/2006/relationships/worksheet" Target="/xl/worksheets/sheet5.xml" Id="R8ab04b0111a642a7" /><Relationship Type="http://schemas.openxmlformats.org/officeDocument/2006/relationships/worksheet" Target="/xl/worksheets/sheet6.xml" Id="R027fa20021b546ae" /><Relationship Type="http://schemas.openxmlformats.org/officeDocument/2006/relationships/worksheet" Target="/xl/worksheets/sheet7.xml" Id="R50de55db517640c8" /><Relationship Type="http://schemas.openxmlformats.org/officeDocument/2006/relationships/worksheet" Target="/xl/worksheets/sheet8.xml" Id="Rb8092997dfa74348" /><Relationship Type="http://schemas.openxmlformats.org/officeDocument/2006/relationships/worksheet" Target="/xl/worksheets/sheet9.xml" Id="R78d0d880c88040dd" /></Relationships>
</file>

<file path=xl/drawings/_rels/drawing1.xml.rels>&#65279;<?xml version="1.0" encoding="utf-8"?><Relationships xmlns="http://schemas.openxmlformats.org/package/2006/relationships"><Relationship Type="http://schemas.openxmlformats.org/officeDocument/2006/relationships/chart" Target="/xl/drawings/charts/chart1.xml" Id="R79a3aff1615748f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작업 상태 분포</a:t>
            </a:r>
          </a:p>
        </c:rich>
      </c:tx>
      <c:overlay val="0"/>
    </c:title>
    <c:autoTitleDeleted val="0"/>
    <c:plotArea>
      <c:layout/>
      <c:barChart>
        <c:barDir val="col"/>
        <c:varyColors val="0"/>
        <c:ser>
          <c:idx val="0"/>
          <c:order val="0"/>
          <c:tx>
            <c:v>건수</c:v>
          </c:tx>
          <c:cat>
            <c:strRef>
              <c:f>'00_개요'!$E$5:$E$12</c:f>
              <c:strCache>
                <c:ptCount val="0"/>
              </c:strCache>
            </c:strRef>
          </c:cat>
          <c:val>
            <c:numRef>
              <c:f>'00_개요'!$F$5:$F$12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3</xdr:row>
      <xdr:rowOff>0</xdr:rowOff>
    </xdr:from>
    <xdr:to>
      <xdr:col>16</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9a3aff1615748f7"/>
        </a:graphicData>
      </a:graphic>
    </xdr:graphicFrame>
    <xdr:clientData/>
  </xdr:twoCellAnchor>
</xdr:wsDr>
</file>

<file path=xl/tables/table1.xml><?xml version="1.0" encoding="utf-8"?>
<x:table xmlns:x="http://schemas.openxmlformats.org/spreadsheetml/2006/main" id="8" name="BacklogTable" displayName="BacklogTable" ref="A1:AJ32" headerRowCount="1">
  <x:tableColumns count="36">
    <x:tableColumn id="1" name="ID"/>
    <x:tableColumn id="2" name="부문"/>
    <x:tableColumn id="3" name="에픽"/>
    <x:tableColumn id="4" name="기능 그룹"/>
    <x:tableColumn id="5" name="구현 항목"/>
    <x:tableColumn id="6" name="목적·설명"/>
    <x:tableColumn id="7" name="수용 기준"/>
    <x:tableColumn id="8" name="완료 정의"/>
    <x:tableColumn id="9" name="범위"/>
    <x:tableColumn id="10" name="우선순위"/>
    <x:tableColumn id="11" name="릴리스 게이트"/>
    <x:tableColumn id="12" name="게이트 분류"/>
    <x:tableColumn id="13" name="마일스톤"/>
    <x:tableColumn id="14" name="담당 부문"/>
    <x:tableColumn id="15" name="담당자명"/>
    <x:tableColumn id="16" name="검토자"/>
    <x:tableColumn id="17" name="대상 플랫폼"/>
    <x:tableColumn id="18" name="권한·실행 주체"/>
    <x:tableColumn id="19" name="영속화"/>
    <x:tableColumn id="20" name="예상 규모"/>
    <x:tableColumn id="21" name="상태"/>
    <x:tableColumn id="22" name="진행률"/>
    <x:tableColumn id="23" name="스프린트"/>
    <x:tableColumn id="24" name="기한"/>
    <x:tableColumn id="25" name="의존 ID"/>
    <x:tableColumn id="26" name="위험도"/>
    <x:tableColumn id="27" name="QA 유형"/>
    <x:tableColumn id="28" name="테스트 케이스 ID"/>
    <x:tableColumn id="29" name="외부 추적 도구 키"/>
    <x:tableColumn id="30" name="근거"/>
    <x:tableColumn id="31" name="증빙 링크"/>
    <x:tableColumn id="32" name="최종 갱신일"/>
    <x:tableColumn id="33" name="비고"/>
    <x:tableColumn id="34" name="시작일"/>
    <x:tableColumn id="35" name="종료일"/>
    <x:tableColumn id="36" name="진행상황"/>
  </x:tableColumns>
  <x:tableStyleInfo name="TableStyleMedium2" showRowStripes="1"/>
</x:table>
</file>

<file path=xl/tables/table2.xml><?xml version="1.0" encoding="utf-8"?>
<x:table xmlns:x="http://schemas.openxmlformats.org/spreadsheetml/2006/main" id="2" name="CHRSpec1" displayName="CHRSpec1" ref="A1:K7" headerRowCount="1">
  <x:tableColumns count="11">
    <x:tableColumn id="1" name="에셋 ID"/>
    <x:tableColumn id="2" name="범주"/>
    <x:tableColumn id="3" name="표시 이름"/>
    <x:tableColumn id="4" name="리그·소켓"/>
    <x:tableColumn id="5" name="LOD"/>
    <x:tableColumn id="6" name="색상 규칙"/>
    <x:tableColumn id="7" name="메모 간섭"/>
    <x:tableColumn id="8" name="MVP"/>
    <x:tableColumn id="9" name="판독성 승인"/>
    <x:tableColumn id="10" name="담당"/>
    <x:tableColumn id="11" name="상태"/>
  </x:tableColumns>
  <x:tableStyleInfo name="TableStyleMedium2" showRowStripes="1"/>
</x:table>
</file>

<file path=xl/tables/table3.xml><?xml version="1.0" encoding="utf-8"?>
<x:table xmlns:x="http://schemas.openxmlformats.org/spreadsheetml/2006/main" id="3" name="CHRSpec2" displayName="CHRSpec2" ref="A1:I7" headerRowCount="1">
  <x:tableColumns count="9">
    <x:tableColumn id="1" name="시험 ID"/>
    <x:tableColumn id="2" name="조건"/>
    <x:tableColumn id="3" name="거리"/>
    <x:tableColumn id="4" name="조명"/>
    <x:tableColumn id="5" name="FOV·해상도"/>
    <x:tableColumn id="6" name="장비"/>
    <x:tableColumn id="7" name="기대 결과"/>
    <x:tableColumn id="8" name="관련 ID"/>
    <x:tableColumn id="9" name="상태"/>
  </x:tableColumns>
  <x:tableStyleInfo name="TableStyleMedium2" showRowStripes="1"/>
</x:table>
</file>

<file path=xl/tables/table4.xml><?xml version="1.0" encoding="utf-8"?>
<x:table xmlns:x="http://schemas.openxmlformats.org/spreadsheetml/2006/main" id="4" name="CHRSpec3" displayName="CHRSpec3" ref="A1:L3" headerRowCount="1">
  <x:tableColumns count="12">
    <x:tableColumn id="1" name="상품 SKU"/>
    <x:tableColumn id="2" name="아이템 ID"/>
    <x:tableColumn id="3" name="판매 방식"/>
    <x:tableColumn id="4" name="가격·비용"/>
    <x:tableColumn id="5" name="지역"/>
    <x:tableColumn id="6" name="연령 제한"/>
    <x:tableColumn id="7" name="시작일"/>
    <x:tableColumn id="8" name="종료일"/>
    <x:tableColumn id="9" name="확률 세트"/>
    <x:tableColumn id="10" name="중복 규칙"/>
    <x:tableColumn id="11" name="승인"/>
    <x:tableColumn id="12" name="상태"/>
  </x:tableColumns>
  <x:tableStyleInfo name="TableStyleMedium2" showRowStripes="1"/>
</x:table>
</file>

<file path=xl/tables/table5.xml><?xml version="1.0" encoding="utf-8"?>
<x:table xmlns:x="http://schemas.openxmlformats.org/spreadsheetml/2006/main" id="9" name="QACasesTable" displayName="QACasesTable" ref="A1:V47" headerRowCount="1">
  <x:tableColumns count="22">
    <x:tableColumn id="1" name="테스트 ID"/>
    <x:tableColumn id="2" name="관련 ID"/>
    <x:tableColumn id="3" name="부문"/>
    <x:tableColumn id="4" name="제목"/>
    <x:tableColumn id="5" name="목적"/>
    <x:tableColumn id="6" name="사전 조건"/>
    <x:tableColumn id="7" name="절차"/>
    <x:tableColumn id="8" name="예상 결과"/>
    <x:tableColumn id="9" name="QA 유형"/>
    <x:tableColumn id="10" name="우선순위"/>
    <x:tableColumn id="11" name="대상 플랫폼"/>
    <x:tableColumn id="12" name="자동화 후보"/>
    <x:tableColumn id="13" name="상태"/>
    <x:tableColumn id="14" name="담당자명"/>
    <x:tableColumn id="15" name="대상 빌드"/>
    <x:tableColumn id="16" name="증빙 링크"/>
    <x:tableColumn id="17" name="결함 키"/>
    <x:tableColumn id="18" name="최종 갱신일"/>
    <x:tableColumn id="19" name="비고"/>
    <x:tableColumn id="20" name="시작일"/>
    <x:tableColumn id="21" name="종료일"/>
    <x:tableColumn id="22" name="진행상황"/>
  </x:tableColumns>
  <x:tableStyleInfo name="TableStyleMedium2" showRowStripes="1"/>
</x:table>
</file>

<file path=xl/tables/table6.xml><?xml version="1.0" encoding="utf-8"?>
<x:table xmlns:x="http://schemas.openxmlformats.org/spreadsheetml/2006/main" id="6" name="RiskTable" displayName="RiskTable" ref="A1:P5" headerRowCount="1">
  <x:tableColumns count="16">
    <x:tableColumn id="1" name="위험 ID"/>
    <x:tableColumn id="2" name="부문"/>
    <x:tableColumn id="3" name="분류"/>
    <x:tableColumn id="4" name="위험 내용"/>
    <x:tableColumn id="5" name="발생 조건"/>
    <x:tableColumn id="6" name="영향"/>
    <x:tableColumn id="7" name="발생 확률"/>
    <x:tableColumn id="8" name="영향도"/>
    <x:tableColumn id="9" name="점수"/>
    <x:tableColumn id="10" name="담당자"/>
    <x:tableColumn id="11" name="예방 조치"/>
    <x:tableColumn id="12" name="비상 대책"/>
    <x:tableColumn id="13" name="상태"/>
    <x:tableColumn id="14" name="관련 ID"/>
    <x:tableColumn id="15" name="검토일"/>
    <x:tableColumn id="16" name="비고"/>
  </x:tableColumns>
  <x:tableStyleInfo name="TableStyleMedium2" showRowStripes="1"/>
</x:table>
</file>

<file path=xl/tables/table7.xml><?xml version="1.0" encoding="utf-8"?>
<x:table xmlns:x="http://schemas.openxmlformats.org/spreadsheetml/2006/main" id="7" name="DecisionTable" displayName="DecisionTable" ref="A1:M3" headerRowCount="1">
  <x:tableColumns count="13">
    <x:tableColumn id="1" name="의사결정 ID"/>
    <x:tableColumn id="2" name="부문"/>
    <x:tableColumn id="3" name="논점"/>
    <x:tableColumn id="4" name="결정 질문"/>
    <x:tableColumn id="5" name="선택지"/>
    <x:tableColumn id="6" name="권고안"/>
    <x:tableColumn id="7" name="최종 결정"/>
    <x:tableColumn id="8" name="상태"/>
    <x:tableColumn id="9" name="결정권자"/>
    <x:tableColumn id="10" name="기한"/>
    <x:tableColumn id="11" name="관련 ID"/>
    <x:tableColumn id="12" name="판단 근거·증빙"/>
    <x:tableColumn id="13" name="최종 갱신일"/>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35fc6a87bf24b97" /></Relationships>
</file>

<file path=xl/worksheets/_rels/sheet2.xml.rels>&#65279;<?xml version="1.0" encoding="utf-8"?><Relationships xmlns="http://schemas.openxmlformats.org/package/2006/relationships"><Relationship Type="http://schemas.openxmlformats.org/officeDocument/2006/relationships/table" Target="/xl/tables/table1.xml" Id="Rd083e15a8e6a4905" /></Relationships>
</file>

<file path=xl/worksheets/_rels/sheet3.xml.rels>&#65279;<?xml version="1.0" encoding="utf-8"?><Relationships xmlns="http://schemas.openxmlformats.org/package/2006/relationships"><Relationship Type="http://schemas.openxmlformats.org/officeDocument/2006/relationships/table" Target="/xl/tables/table2.xml" Id="Rcfca5b6840a54f5b" /></Relationships>
</file>

<file path=xl/worksheets/_rels/sheet4.xml.rels>&#65279;<?xml version="1.0" encoding="utf-8"?><Relationships xmlns="http://schemas.openxmlformats.org/package/2006/relationships"><Relationship Type="http://schemas.openxmlformats.org/officeDocument/2006/relationships/table" Target="/xl/tables/table3.xml" Id="R78abbc3bea414247" /></Relationships>
</file>

<file path=xl/worksheets/_rels/sheet5.xml.rels>&#65279;<?xml version="1.0" encoding="utf-8"?><Relationships xmlns="http://schemas.openxmlformats.org/package/2006/relationships"><Relationship Type="http://schemas.openxmlformats.org/officeDocument/2006/relationships/table" Target="/xl/tables/table4.xml" Id="R759ce5b440ce480e" /></Relationships>
</file>

<file path=xl/worksheets/_rels/sheet6.xml.rels>&#65279;<?xml version="1.0" encoding="utf-8"?><Relationships xmlns="http://schemas.openxmlformats.org/package/2006/relationships"><Relationship Type="http://schemas.openxmlformats.org/officeDocument/2006/relationships/table" Target="/xl/tables/table5.xml" Id="Rc0f1e2e3aca84da9" /></Relationships>
</file>

<file path=xl/worksheets/_rels/sheet7.xml.rels>&#65279;<?xml version="1.0" encoding="utf-8"?><Relationships xmlns="http://schemas.openxmlformats.org/package/2006/relationships"><Relationship Type="http://schemas.openxmlformats.org/officeDocument/2006/relationships/table" Target="/xl/tables/table6.xml" Id="Rfb351a4d7b474f63" /></Relationships>
</file>

<file path=xl/worksheets/_rels/sheet8.xml.rels>&#65279;<?xml version="1.0" encoding="utf-8"?><Relationships xmlns="http://schemas.openxmlformats.org/package/2006/relationships"><Relationship Type="http://schemas.openxmlformats.org/officeDocument/2006/relationships/table" Target="/xl/tables/table7.xml" Id="R6596335097af41fc" /></Relationships>
</file>

<file path=xl/worksheets/sheet1.xml><?xml version="1.0" encoding="utf-8"?>
<x:worksheet xmlns:x="http://schemas.openxmlformats.org/spreadsheetml/2006/main">
  <x:sheetFormatPr defaultRowHeight="15"/>
  <x:cols>
    <x:col min="1" max="1" width="29" hidden="0" customWidth="1"/>
    <x:col min="2" max="2" width="23" hidden="0" customWidth="1"/>
    <x:col min="3" max="3" width="34" hidden="0" customWidth="1"/>
    <x:col min="4" max="4" width="23" hidden="0" customWidth="1"/>
    <x:col min="5" max="5" width="25" hidden="0" customWidth="1"/>
    <x:col min="6" max="6" width="25" hidden="0" customWidth="1"/>
    <x:col min="7" max="7" width="25" hidden="0" customWidth="1"/>
    <x:col min="8" max="8" width="31" hidden="0" customWidth="1"/>
  </x:cols>
  <x:sheetData>
    <x:row r="1" ht="34" customHeight="1">
      <x:c r="A1" s="5" t="str">
        <x:v>캐릭터·커스터마이징·커머스 구현 관리대장</x:v>
      </x:c>
      <x:c r="B1" s="5"/>
      <x:c r="C1" s="5"/>
      <x:c r="D1" s="5"/>
      <x:c r="E1" s="5"/>
      <x:c r="F1" s="5"/>
      <x:c r="G1" s="5"/>
      <x:c r="H1" s="5"/>
    </x:row>
    <x:row r="2" ht="28" customHeight="1">
      <x:c r="A2" s="13" t="str">
        <x:v>버전 2.0-ko / 갱신일 2026-07-10 / 담당 부문: 캐릭터 아트·테크 아트</x:v>
      </x:c>
      <x:c r="B2" s="13"/>
      <x:c r="C2" s="13"/>
      <x:c r="D2" s="13"/>
      <x:c r="E2" s="13"/>
      <x:c r="F2" s="13"/>
      <x:c r="G2" s="13"/>
      <x:c r="H2" s="13"/>
    </x:row>
    <x:row r="3">
      <x:c r="A3"/>
      <x:c r="B3"/>
      <x:c r="C3"/>
      <x:c r="D3"/>
      <x:c r="E3"/>
      <x:c r="F3"/>
      <x:c r="G3"/>
      <x:c r="H3"/>
    </x:row>
    <x:row r="4">
      <x:c r="A4" s="26" t="str">
        <x:v>핵심 지표</x:v>
      </x:c>
      <x:c r="B4" s="26" t="str">
        <x:v>값</x:v>
      </x:c>
      <x:c r="C4" s="26" t="str">
        <x:v>판정·설명</x:v>
      </x:c>
      <x:c r="D4" s="26"/>
      <x:c r="E4" s="26" t="str">
        <x:v>상태</x:v>
      </x:c>
      <x:c r="F4" s="26" t="str">
        <x:v>건수</x:v>
      </x:c>
      <x:c r="G4" s="26" t="str">
        <x:v>비율</x:v>
      </x:c>
      <x:c r="H4" s="26"/>
    </x:row>
    <x:row r="5">
      <x:c r="A5" s="27" t="str">
        <x:v>전체 작업</x:v>
      </x:c>
      <x:c r="B5" s="27" t="n">
        <x:f>COUNTA('01_백로그'!A2:A32)</x:f>
        <x:v>31</x:v>
      </x:c>
      <x:c r="C5" s="27" t="str">
        <x:v>백로그 전체 수</x:v>
      </x:c>
      <x:c r="D5" s="27"/>
      <x:c r="E5" s="27" t="str">
        <x:v>미착수</x:v>
      </x:c>
      <x:c r="F5" s="27" t="n">
        <x:f>COUNTIF('01_백로그'!U2:U32,E5)</x:f>
        <x:v>31</x:v>
      </x:c>
      <x:c r="G5" s="28" t="n">
        <x:f>IFERROR(F5/$B$5,0)</x:f>
        <x:v>1</x:v>
      </x:c>
      <x:c r="H5" s="27"/>
    </x:row>
    <x:row r="6">
      <x:c r="A6" s="27" t="str">
        <x:v>MVP 작업</x:v>
      </x:c>
      <x:c r="B6" s="27" t="n">
        <x:f>COUNTIF('01_백로그'!I2:I32,"MVP")</x:f>
        <x:v>16</x:v>
      </x:c>
      <x:c r="C6" s="27" t="str">
        <x:v>MVP 범위</x:v>
      </x:c>
      <x:c r="D6" s="27"/>
      <x:c r="E6" s="27" t="str">
        <x:v>사양 확인 중</x:v>
      </x:c>
      <x:c r="F6" s="27" t="n">
        <x:f>COUNTIF('01_백로그'!U2:U32,E6)</x:f>
        <x:v>0</x:v>
      </x:c>
      <x:c r="G6" s="28" t="n">
        <x:f>IFERROR(F6/$B$5,0)</x:f>
        <x:v>0</x:v>
      </x:c>
      <x:c r="H6" s="27"/>
    </x:row>
    <x:row r="7">
      <x:c r="A7" s="27" t="str">
        <x:v>P0 미완료</x:v>
      </x:c>
      <x:c r="B7" s="27" t="n">
        <x:f>COUNTIFS('01_백로그'!J2:J32,"P0",'01_백로그'!U2:U32,"&lt;&gt;완료")</x:f>
        <x:v>15</x:v>
      </x:c>
      <x:c r="C7" s="27" t="str">
        <x:v>P0이며 완료되지 않은 항목</x:v>
      </x:c>
      <x:c r="D7" s="27"/>
      <x:c r="E7" s="27" t="str">
        <x:v>구현 중</x:v>
      </x:c>
      <x:c r="F7" s="27" t="n">
        <x:f>COUNTIF('01_백로그'!U2:U32,E7)</x:f>
        <x:v>0</x:v>
      </x:c>
      <x:c r="G7" s="28" t="n">
        <x:f>IFERROR(F7/$B$5,0)</x:f>
        <x:v>0</x:v>
      </x:c>
      <x:c r="H7" s="27"/>
    </x:row>
    <x:row r="8">
      <x:c r="A8" s="27" t="str">
        <x:v>차단</x:v>
      </x:c>
      <x:c r="B8" s="27" t="n">
        <x:f>COUNTIF('01_백로그'!U2:U32,"차단")</x:f>
        <x:v>0</x:v>
      </x:c>
      <x:c r="C8" s="27" t="str">
        <x:v>현재 진행을 막는 항목</x:v>
      </x:c>
      <x:c r="D8" s="27"/>
      <x:c r="E8" s="27" t="str">
        <x:v>코드 리뷰</x:v>
      </x:c>
      <x:c r="F8" s="27" t="n">
        <x:f>COUNTIF('01_백로그'!U2:U32,E8)</x:f>
        <x:v>0</x:v>
      </x:c>
      <x:c r="G8" s="28" t="n">
        <x:f>IFERROR(F8/$B$5,0)</x:f>
        <x:v>0</x:v>
      </x:c>
      <x:c r="H8" s="27"/>
    </x:row>
    <x:row r="9">
      <x:c r="A9" s="27" t="str">
        <x:v>완료</x:v>
      </x:c>
      <x:c r="B9" s="27" t="n">
        <x:f>COUNTIF('01_백로그'!U2:U32,"완료")</x:f>
        <x:v>0</x:v>
      </x:c>
      <x:c r="C9" s="27" t="str">
        <x:v>완료 정의·QA·증빙 충족</x:v>
      </x:c>
      <x:c r="D9" s="27"/>
      <x:c r="E9" s="27" t="str">
        <x:v>QA 진행 중</x:v>
      </x:c>
      <x:c r="F9" s="27" t="n">
        <x:f>COUNTIF('01_백로그'!U2:U32,E9)</x:f>
        <x:v>0</x:v>
      </x:c>
      <x:c r="G9" s="28" t="n">
        <x:f>IFERROR(F9/$B$5,0)</x:f>
        <x:v>0</x:v>
      </x:c>
      <x:c r="H9" s="27"/>
    </x:row>
    <x:row r="10">
      <x:c r="A10" s="27" t="str">
        <x:v>평균 진행률</x:v>
      </x:c>
      <x:c r="B10" s="28" t="n">
        <x:f>IFERROR(AVERAGE('01_백로그'!V2:V32),0)</x:f>
        <x:v>0</x:v>
      </x:c>
      <x:c r="C10" s="27" t="str">
        <x:v>상태별 진행률 환산 평균</x:v>
      </x:c>
      <x:c r="D10" s="27"/>
      <x:c r="E10" s="27" t="str">
        <x:v>차단</x:v>
      </x:c>
      <x:c r="F10" s="27" t="n">
        <x:f>COUNTIF('01_백로그'!U2:U32,E10)</x:f>
        <x:v>0</x:v>
      </x:c>
      <x:c r="G10" s="28" t="n">
        <x:f>IFERROR(F10/$B$5,0)</x:f>
        <x:v>0</x:v>
      </x:c>
      <x:c r="H10" s="27"/>
    </x:row>
    <x:row r="11">
      <x:c r="A11" s="27" t="str">
        <x:v>QA 합격률</x:v>
      </x:c>
      <x:c r="B11" s="28" t="n">
        <x:f>IFERROR(COUNTIF('80_QA_케이스'!M2:M47,"합격")/COUNTIF('80_QA_케이스'!M2:M47,"&lt;&gt;대상 제외"),0)</x:f>
        <x:v>0</x:v>
      </x:c>
      <x:c r="C11" s="27" t="str">
        <x:v>대상 QA 중 통과 비율</x:v>
      </x:c>
      <x:c r="D11" s="27"/>
      <x:c r="E11" s="27" t="str">
        <x:v>완료</x:v>
      </x:c>
      <x:c r="F11" s="27" t="n">
        <x:f>COUNTIF('01_백로그'!U2:U32,E11)</x:f>
        <x:v>0</x:v>
      </x:c>
      <x:c r="G11" s="28" t="n">
        <x:f>IFERROR(F11/$B$5,0)</x:f>
        <x:v>0</x:v>
      </x:c>
      <x:c r="H11" s="27"/>
    </x:row>
    <x:row r="12">
      <x:c r="A12" s="27" t="str">
        <x:v>릴리스 판정</x:v>
      </x:c>
      <x:c r="B12" s="27" t="str">
        <x:f>IF(AND(B7=0,B8=0),"준비 완료","준비 안 됨")</x:f>
        <x:v>준비 안 됨</x:v>
      </x:c>
      <x:c r="C12" s="27" t="str">
        <x:v>P0·차단·게이트 종합 판단</x:v>
      </x:c>
      <x:c r="D12" s="27"/>
      <x:c r="E12" s="27" t="str">
        <x:v>보류</x:v>
      </x:c>
      <x:c r="F12" s="27" t="n">
        <x:f>COUNTIF('01_백로그'!U2:U32,E12)</x:f>
        <x:v>0</x:v>
      </x:c>
      <x:c r="G12" s="28" t="n">
        <x:f>IFERROR(F12/$B$5,0)</x:f>
        <x:v>0</x:v>
      </x:c>
      <x:c r="H12" s="27"/>
    </x:row>
    <x:row r="13">
      <x:c r="A13"/>
      <x:c r="B13"/>
      <x:c r="C13"/>
      <x:c r="D13"/>
      <x:c r="E13"/>
      <x:c r="F13"/>
      <x:c r="G13"/>
      <x:c r="H13"/>
    </x:row>
    <x:row r="14">
      <x:c r="A14" s="49" t="str">
        <x:v>운영 규칙</x:v>
      </x:c>
      <x:c r="B14" s="49" t="str">
        <x:v>갱신 주기</x:v>
      </x:c>
      <x:c r="C14" s="49" t="str">
        <x:v>기준 원본</x:v>
      </x:c>
      <x:c r="D14" s="49" t="str">
        <x:v>완료 판정</x:v>
      </x:c>
      <x:c r="E14" s="49" t="str">
        <x:v>의존관계</x:v>
      </x:c>
      <x:c r="F14" s="49" t="str">
        <x:v>변경관리</x:v>
      </x:c>
      <x:c r="G14" s="49" t="str">
        <x:v>증빙</x:v>
      </x:c>
      <x:c r="H14" s="49" t="str">
        <x:v>보안</x:v>
      </x:c>
    </x:row>
    <x:row r="15" ht="72" customHeight="1">
      <x:c r="A15" s="36" t="str">
        <x:v>ID는 변경하지 않음</x:v>
      </x:c>
      <x:c r="B15" s="36" t="str">
        <x:v>최소 주 2회</x:v>
      </x:c>
      <x:c r="C15" s="36" t="str">
        <x:v>외부 이슈 추적 도구 이전 후 해당 도구</x:v>
      </x:c>
      <x:c r="D15" s="36" t="str">
        <x:v>완료 정의 + QA + 증빙</x:v>
      </x:c>
      <x:c r="E15" s="36" t="str">
        <x:v>관련 ID 기재</x:v>
      </x:c>
      <x:c r="F15" s="36" t="str">
        <x:v>변경 요청·의사결정 경유</x:v>
      </x:c>
      <x:c r="G15" s="36" t="str">
        <x:v>URL·빌드·실행 기록</x:v>
      </x:c>
      <x:c r="H15" s="36" t="str">
        <x:v>비공개 정보 첨부 금지</x:v>
      </x:c>
    </x:row>
    <x:row r="16" ht="72" customHeight="1">
      <x:c r="A16" s="36" t="str">
        <x:v>담당자·기한은 스프린트 계획에서 확정</x:v>
      </x:c>
      <x:c r="B16" s="36" t="str">
        <x:v>게이트 전에는 매일</x:v>
      </x:c>
      <x:c r="C16" s="36" t="str">
        <x:v>Excel은 검토용 스냅샷</x:v>
      </x:c>
      <x:c r="D16" s="36" t="str">
        <x:v>미해결 P0·P1 없음</x:v>
      </x:c>
      <x:c r="E16" s="36" t="str">
        <x:v>부문 간 의존은 통합 파일에서 관리</x:v>
      </x:c>
      <x:c r="F16" s="36" t="str">
        <x:v>예외는 담당자·기한 필수</x:v>
      </x:c>
      <x:c r="G16" s="36" t="str">
        <x:v>로그는 상관관계 ID 포함</x:v>
      </x:c>
      <x:c r="H16" s="36" t="str">
        <x:v>역할·음성·개인정보 마스킹</x:v>
      </x:c>
    </x:row>
  </x:sheetData>
  <x:mergeCells>
    <x:mergeCell ref="A1:H1"/>
    <x:mergeCell ref="A2:H2"/>
  </x:mergeCells>
  <x:pageMargins left="0.7" right="0.7" top="0.75" bottom="0.75" header="0.3" footer="0.3"/>
  <x:drawing xmlns:r="http://schemas.openxmlformats.org/officeDocument/2006/relationships" r:id="R235fc6a87bf24b97"/>
</x:worksheet>
</file>

<file path=xl/worksheets/sheet2.xml><?xml version="1.0" encoding="utf-8"?>
<x:worksheet xmlns:x="http://schemas.openxmlformats.org/spreadsheetml/2006/main">
  <x:sheetFormatPr defaultRowHeight="15"/>
  <x:cols>
    <x:col min="1" max="1" width="12" hidden="0" customWidth="1"/>
    <x:col min="2" max="2" width="24" hidden="0" customWidth="1"/>
    <x:col min="3" max="3" width="22" hidden="0" customWidth="1"/>
    <x:col min="4" max="4" width="22" hidden="0" customWidth="1"/>
    <x:col min="5" max="5" width="34" hidden="0" customWidth="1"/>
    <x:col min="6" max="6" width="44" hidden="0" customWidth="1"/>
    <x:col min="7" max="7" width="54" hidden="0" customWidth="1"/>
    <x:col min="8" max="8" width="48" hidden="0" customWidth="1"/>
    <x:col min="9" max="9" width="13" hidden="0" customWidth="1"/>
    <x:col min="10" max="10" width="10" hidden="0" customWidth="1"/>
    <x:col min="11" max="11" width="13" hidden="0" customWidth="1"/>
    <x:col min="12" max="12" width="18" hidden="0" customWidth="1"/>
    <x:col min="13" max="13" width="16" hidden="0" customWidth="1"/>
    <x:col min="14" max="14" width="22" hidden="0" customWidth="1"/>
    <x:col min="15" max="15" width="16" hidden="0" customWidth="1"/>
    <x:col min="16" max="16" width="16" hidden="0" customWidth="1"/>
    <x:col min="17" max="17" width="20" hidden="0" customWidth="1"/>
    <x:col min="18" max="18" width="20" hidden="0" customWidth="1"/>
    <x:col min="19" max="19" width="14" hidden="0" customWidth="1"/>
    <x:col min="20" max="20" width="10" hidden="0" customWidth="1"/>
    <x:col min="21" max="21" width="14" hidden="0" customWidth="1"/>
    <x:col min="22" max="22" width="10" hidden="0" customWidth="1"/>
    <x:col min="23" max="23" width="12" hidden="0" customWidth="1"/>
    <x:col min="24" max="24" width="13" hidden="0" customWidth="1"/>
    <x:col min="25" max="25" width="24" hidden="0" customWidth="1"/>
    <x:col min="26" max="26" width="12" hidden="0" customWidth="1"/>
    <x:col min="27" max="27" width="15" hidden="0" customWidth="1"/>
    <x:col min="28" max="28" width="24" hidden="0" customWidth="1"/>
    <x:col min="29" max="29" width="18" hidden="0" customWidth="1"/>
    <x:col min="30" max="30" width="30" hidden="0" customWidth="1"/>
    <x:col min="31" max="31" width="28" hidden="0" customWidth="1"/>
    <x:col min="32" max="32" width="13" hidden="0" customWidth="1"/>
    <x:col min="33" max="33" width="28" hidden="0" customWidth="1"/>
    <x:col min="34" max="34" width="12" hidden="0" customWidth="1"/>
    <x:col min="35" max="35" width="12" hidden="0" customWidth="1"/>
    <x:col min="36" max="36" width="12" hidden="0" customWidth="1"/>
  </x:cols>
  <x:sheetData>
    <x:row r="1" ht="30" customHeight="1">
      <x:c r="A1" s="40" t="str">
        <x:v>ID</x:v>
      </x:c>
      <x:c r="B1" s="40" t="str">
        <x:v>부문</x:v>
      </x:c>
      <x:c r="C1" s="40" t="str">
        <x:v>에픽</x:v>
      </x:c>
      <x:c r="D1" s="40" t="str">
        <x:v>기능 그룹</x:v>
      </x:c>
      <x:c r="E1" s="40" t="str">
        <x:v>구현 항목</x:v>
      </x:c>
      <x:c r="F1" s="40" t="str">
        <x:v>목적·설명</x:v>
      </x:c>
      <x:c r="G1" s="40" t="str">
        <x:v>수용 기준</x:v>
      </x:c>
      <x:c r="H1" s="40" t="str">
        <x:v>완료 정의</x:v>
      </x:c>
      <x:c r="I1" s="40" t="str">
        <x:v>범위</x:v>
      </x:c>
      <x:c r="J1" s="40" t="str">
        <x:v>우선순위</x:v>
      </x:c>
      <x:c r="K1" s="40" t="str">
        <x:v>릴리스 게이트</x:v>
      </x:c>
      <x:c r="L1" s="40" t="str">
        <x:v>게이트 분류</x:v>
      </x:c>
      <x:c r="M1" s="40" t="str">
        <x:v>마일스톤</x:v>
      </x:c>
      <x:c r="N1" s="40" t="str">
        <x:v>담당 부문</x:v>
      </x:c>
      <x:c r="O1" s="40" t="str">
        <x:v>담당자명</x:v>
      </x:c>
      <x:c r="P1" s="40" t="str">
        <x:v>검토자</x:v>
      </x:c>
      <x:c r="Q1" s="40" t="str">
        <x:v>대상 플랫폼</x:v>
      </x:c>
      <x:c r="R1" s="40" t="str">
        <x:v>권한·실행 주체</x:v>
      </x:c>
      <x:c r="S1" s="40" t="str">
        <x:v>영속화</x:v>
      </x:c>
      <x:c r="T1" s="40" t="str">
        <x:v>예상 규모</x:v>
      </x:c>
      <x:c r="U1" s="40" t="str">
        <x:v>상태</x:v>
      </x:c>
      <x:c r="V1" s="40" t="str">
        <x:v>진행률</x:v>
      </x:c>
      <x:c r="W1" s="40" t="str">
        <x:v>스프린트</x:v>
      </x:c>
      <x:c r="X1" s="40" t="str">
        <x:v>기한</x:v>
      </x:c>
      <x:c r="Y1" s="40" t="str">
        <x:v>의존 ID</x:v>
      </x:c>
      <x:c r="Z1" s="40" t="str">
        <x:v>위험도</x:v>
      </x:c>
      <x:c r="AA1" s="40" t="str">
        <x:v>QA 유형</x:v>
      </x:c>
      <x:c r="AB1" s="40" t="str">
        <x:v>테스트 케이스 ID</x:v>
      </x:c>
      <x:c r="AC1" s="40" t="str">
        <x:v>외부 추적 도구 키</x:v>
      </x:c>
      <x:c r="AD1" s="40" t="str">
        <x:v>근거</x:v>
      </x:c>
      <x:c r="AE1" s="40" t="str">
        <x:v>증빙 링크</x:v>
      </x:c>
      <x:c r="AF1" s="40" t="str">
        <x:v>최종 갱신일</x:v>
      </x:c>
      <x:c r="AG1" s="40" t="str">
        <x:v>비고</x:v>
      </x:c>
      <x:c r="AH1" s="53" t="str">
        <x:v>시작일</x:v>
      </x:c>
      <x:c r="AI1" s="53" t="str">
        <x:v>종료일</x:v>
      </x:c>
      <x:c r="AJ1" s="53" t="str">
        <x:v>진행상황</x:v>
      </x:c>
    </x:row>
    <x:row r="2" ht="42" customHeight="1">
      <x:c r="A2" s="36" t="str">
        <x:v>CHR-001</x:v>
      </x:c>
      <x:c r="B2" s="36" t="str">
        <x:v>캐릭터·커스터마이징·커머스</x:v>
      </x:c>
      <x:c r="C2" s="36" t="str">
        <x:v>캐릭터 기반</x:v>
      </x:c>
      <x:c r="D2" s="36" t="str">
        <x:v>아트 방향</x:v>
      </x:c>
      <x:c r="E2" s="36" t="str">
        <x:v>대형 LED 헤드 마스코트 비율 정의</x:v>
      </x:c>
      <x:c r="F2" s="36" t="str">
        <x:v>게임 규칙, 운영 요구사항과 대상 플랫폼 제약을 충족하도록 대형 LED 헤드 마스코트 비율 정의 기능을 구현하고 검증한다.</x:v>
      </x:c>
      <x:c r="G2" s="36" t="str">
        <x:v>머리 60~70%, 몸 20~25%, 손발 10~20%의 기준을 모델 시트로 만들고 원거리에서도 플레이어 식별과 등 메모 영역을 확보한다.</x:v>
      </x:c>
      <x:c r="H2" s="36" t="str">
        <x:v>구현, 코드 리뷰, 사양 갱신, 대상 QA 케이스 실행, 로그·텔레메트리 확인과 관련 플랫폼 검증을 완료하고 미해결 P0·P1 결함이 없다.</x:v>
      </x:c>
      <x:c r="I2" s="36" t="str">
        <x:v>MVP</x:v>
      </x:c>
      <x:c r="J2" s="36" t="str">
        <x:v>P0</x:v>
      </x:c>
      <x:c r="K2" s="36" t="str">
        <x:v>필수</x:v>
      </x:c>
      <x:c r="L2" s="36" t="str">
        <x:v>캐릭터</x:v>
      </x:c>
      <x:c r="M2" s="36" t="str">
        <x:v>MVP</x:v>
      </x:c>
      <x:c r="N2" s="36" t="str">
        <x:v>캐릭터·경제 시스템 팀</x:v>
      </x:c>
      <x:c r="O2" s="36" t="str">
        <x:v>미정</x:v>
      </x:c>
      <x:c r="P2" s="36" t="str">
        <x:v>미정</x:v>
      </x:c>
      <x:c r="Q2" s="36" t="str">
        <x:v>전체</x:v>
      </x:c>
      <x:c r="R2" s="36" t="str">
        <x:v>콘텐츠 데이터</x:v>
      </x:c>
      <x:c r="S2" s="36" t="str">
        <x:v>없음</x:v>
      </x:c>
      <x:c r="T2" s="36" t="str">
        <x:v>M</x:v>
      </x:c>
      <x:c r="U2" s="36" t="str">
        <x:v>미착수</x:v>
      </x:c>
      <x:c r="V2" s="46" t="n">
        <x:f>IF(U2="완료",1,IF(U2="QA 진행 중",0.8,IF(U2="코드 리뷰",0.65,IF(U2="구현 중",0.4,IF(U2="사양 확인 중",0.1,IF(U2="차단",0.4,0))))))</x:f>
        <x:v>0</x:v>
      </x:c>
      <x:c r="W2" s="36" t="str">
        <x:v>미정</x:v>
      </x:c>
      <x:c r="X2" s="44"/>
      <x:c r="Y2" s="36"/>
      <x:c r="Z2" s="36" t="str">
        <x:v>중간</x:v>
      </x:c>
      <x:c r="AA2" s="36" t="str">
        <x:v>사용성</x:v>
      </x:c>
      <x:c r="AB2" s="36" t="str">
        <x:v>TC-CHR-001-01, TC-CHR-001-02</x:v>
      </x:c>
      <x:c r="AC2" s="36"/>
      <x:c r="AD2" s="36" t="str">
        <x:v>캐릭터 사양서 §1-2</x:v>
      </x:c>
      <x:c r="AE2" s="36"/>
      <x:c r="AF2" s="44" t="str">
        <x:v>2026-07-10</x:v>
      </x:c>
      <x:c r="AG2" s="36"/>
      <x:c r="AH2" s="54"/>
      <x:c r="AI2" s="54"/>
      <x:c r="AJ2" s="53" t="str">
        <x:v>착수 전</x:v>
      </x:c>
    </x:row>
    <x:row r="3" ht="42" customHeight="1">
      <x:c r="A3" s="36" t="str">
        <x:v>CHR-002</x:v>
      </x:c>
      <x:c r="B3" s="36" t="str">
        <x:v>캐릭터·커스터마이징·커머스</x:v>
      </x:c>
      <x:c r="C3" s="36" t="str">
        <x:v>캐릭터 기반</x:v>
      </x:c>
      <x:c r="D3" s="36" t="str">
        <x:v>기본 모델</x:v>
      </x:c>
      <x:c r="E3" s="36" t="str">
        <x:v>MVP 기본 캐릭터 모델</x:v>
      </x:c>
      <x:c r="F3" s="36" t="str">
        <x:v>게임 규칙, 운영 요구사항과 대상 플랫폼 제약을 충족하도록 MVP 기본 캐릭터 모델 기능을 구현하고 검증한다.</x:v>
      </x:c>
      <x:c r="G3" s="36" t="str">
        <x:v>둥근 사각형 LED 헤드, 기본 후드티, 장갑, 신발을 구현하고 지원 카메라 거리에서 형태와 재질이 깨지지 않는다.</x:v>
      </x:c>
      <x:c r="H3" s="36" t="str">
        <x:v>구현, 코드 리뷰, 사양 갱신, 대상 QA 케이스 실행, 로그·텔레메트리 확인과 관련 플랫폼 검증을 완료하고 미해결 P0·P1 결함이 없다.</x:v>
      </x:c>
      <x:c r="I3" s="36" t="str">
        <x:v>MVP</x:v>
      </x:c>
      <x:c r="J3" s="36" t="str">
        <x:v>P0</x:v>
      </x:c>
      <x:c r="K3" s="36" t="str">
        <x:v>필수</x:v>
      </x:c>
      <x:c r="L3" s="36" t="str">
        <x:v>캐릭터</x:v>
      </x:c>
      <x:c r="M3" s="36" t="str">
        <x:v>MVP</x:v>
      </x:c>
      <x:c r="N3" s="36" t="str">
        <x:v>캐릭터·경제 시스템 팀</x:v>
      </x:c>
      <x:c r="O3" s="36" t="str">
        <x:v>미정</x:v>
      </x:c>
      <x:c r="P3" s="36" t="str">
        <x:v>미정</x:v>
      </x:c>
      <x:c r="Q3" s="36" t="str">
        <x:v>전체</x:v>
      </x:c>
      <x:c r="R3" s="36" t="str">
        <x:v>클라이언트 로컬</x:v>
      </x:c>
      <x:c r="S3" s="36" t="str">
        <x:v>없음</x:v>
      </x:c>
      <x:c r="T3" s="36" t="str">
        <x:v>XL</x:v>
      </x:c>
      <x:c r="U3" s="36" t="str">
        <x:v>미착수</x:v>
      </x:c>
      <x:c r="V3" s="46" t="n">
        <x:f>IF(U3="완료",1,IF(U3="QA 진행 중",0.8,IF(U3="코드 리뷰",0.65,IF(U3="구현 중",0.4,IF(U3="사양 확인 중",0.1,IF(U3="차단",0.4,0))))))</x:f>
        <x:v>0</x:v>
      </x:c>
      <x:c r="W3" s="36" t="str">
        <x:v>미정</x:v>
      </x:c>
      <x:c r="X3" s="44"/>
      <x:c r="Y3" s="36" t="str">
        <x:v>CHR-001</x:v>
      </x:c>
      <x:c r="Z3" s="36" t="str">
        <x:v>중간</x:v>
      </x:c>
      <x:c r="AA3" s="36" t="str">
        <x:v>호환성</x:v>
      </x:c>
      <x:c r="AB3" s="36" t="str">
        <x:v>TC-CHR-002-01, TC-CHR-002-02</x:v>
      </x:c>
      <x:c r="AC3" s="36"/>
      <x:c r="AD3" s="36" t="str">
        <x:v>캐릭터 사양서 §2, §6, §12</x:v>
      </x:c>
      <x:c r="AE3" s="36"/>
      <x:c r="AF3" s="44" t="str">
        <x:v>2026-07-10</x:v>
      </x:c>
      <x:c r="AG3" s="36"/>
      <x:c r="AH3" s="54"/>
      <x:c r="AI3" s="54"/>
      <x:c r="AJ3" s="53" t="str">
        <x:v>착수 전</x:v>
      </x:c>
    </x:row>
    <x:row r="4" ht="42" customHeight="1">
      <x:c r="A4" s="36" t="str">
        <x:v>CHR-003</x:v>
      </x:c>
      <x:c r="B4" s="36" t="str">
        <x:v>캐릭터·커스터마이징·커머스</x:v>
      </x:c>
      <x:c r="C4" s="36" t="str">
        <x:v>캐릭터 기반</x:v>
      </x:c>
      <x:c r="D4" s="36" t="str">
        <x:v>리그</x:v>
      </x:c>
      <x:c r="E4" s="36" t="str">
        <x:v>공통 리그·스키닝·IK</x:v>
      </x:c>
      <x:c r="F4" s="36" t="str">
        <x:v>게임 규칙, 운영 요구사항과 대상 플랫폼 제약을 충족하도록 공통 리그·스키닝·IK 기능을 구현하고 검증한다.</x:v>
      </x:c>
      <x:c r="G4" s="36" t="str">
        <x:v>이동, 메모 부착, 미니게임, 투표, 이모트에 필요한 본과 IK를 정의하고 머리 형태가 달라도 공통 애니메이션을 사용할 수 있다.</x:v>
      </x:c>
      <x:c r="H4" s="36" t="str">
        <x:v>구현, 코드 리뷰, 사양 갱신, 대상 QA 케이스 실행, 로그·텔레메트리 확인과 관련 플랫폼 검증을 완료하고 미해결 P0·P1 결함이 없다.</x:v>
      </x:c>
      <x:c r="I4" s="36" t="str">
        <x:v>MVP</x:v>
      </x:c>
      <x:c r="J4" s="36" t="str">
        <x:v>P0</x:v>
      </x:c>
      <x:c r="K4" s="36" t="str">
        <x:v>필수</x:v>
      </x:c>
      <x:c r="L4" s="36" t="str">
        <x:v>캐릭터</x:v>
      </x:c>
      <x:c r="M4" s="36" t="str">
        <x:v>MVP</x:v>
      </x:c>
      <x:c r="N4" s="36" t="str">
        <x:v>캐릭터·경제 시스템 팀</x:v>
      </x:c>
      <x:c r="O4" s="36" t="str">
        <x:v>미정</x:v>
      </x:c>
      <x:c r="P4" s="36" t="str">
        <x:v>미정</x:v>
      </x:c>
      <x:c r="Q4" s="36" t="str">
        <x:v>전체</x:v>
      </x:c>
      <x:c r="R4" s="36" t="str">
        <x:v>클라이언트 로컬</x:v>
      </x:c>
      <x:c r="S4" s="36" t="str">
        <x:v>없음</x:v>
      </x:c>
      <x:c r="T4" s="36" t="str">
        <x:v>XL</x:v>
      </x:c>
      <x:c r="U4" s="36" t="str">
        <x:v>미착수</x:v>
      </x:c>
      <x:c r="V4" s="46" t="n">
        <x:f>IF(U4="완료",1,IF(U4="QA 진행 중",0.8,IF(U4="코드 리뷰",0.65,IF(U4="구현 중",0.4,IF(U4="사양 확인 중",0.1,IF(U4="차단",0.4,0))))))</x:f>
        <x:v>0</x:v>
      </x:c>
      <x:c r="W4" s="36" t="str">
        <x:v>미정</x:v>
      </x:c>
      <x:c r="X4" s="44"/>
      <x:c r="Y4" s="36" t="str">
        <x:v>CHR-002</x:v>
      </x:c>
      <x:c r="Z4" s="36" t="str">
        <x:v>중간</x:v>
      </x:c>
      <x:c r="AA4" s="36" t="str">
        <x:v>기능</x:v>
      </x:c>
      <x:c r="AB4" s="36" t="str">
        <x:v>TC-CHR-003-01, TC-CHR-003-02</x:v>
      </x:c>
      <x:c r="AC4" s="36"/>
      <x:c r="AD4" s="36" t="str">
        <x:v>게임 기획서</x:v>
      </x:c>
      <x:c r="AE4" s="36"/>
      <x:c r="AF4" s="44" t="str">
        <x:v>2026-07-10</x:v>
      </x:c>
      <x:c r="AG4" s="36"/>
      <x:c r="AH4" s="54"/>
      <x:c r="AI4" s="54"/>
      <x:c r="AJ4" s="53" t="str">
        <x:v>착수 전</x:v>
      </x:c>
    </x:row>
    <x:row r="5" ht="42" customHeight="1">
      <x:c r="A5" s="36" t="str">
        <x:v>CHR-004</x:v>
      </x:c>
      <x:c r="B5" s="36" t="str">
        <x:v>캐릭터·커스터마이징·커머스</x:v>
      </x:c>
      <x:c r="C5" s="36" t="str">
        <x:v>LED 헤드</x:v>
      </x:c>
      <x:c r="D5" s="36" t="str">
        <x:v>렌더링</x:v>
      </x:c>
      <x:c r="E5" s="36" t="str">
        <x:v>LED 도트 매트릭스 표시 기반</x:v>
      </x:c>
      <x:c r="F5" s="36" t="str">
        <x:v>게임 규칙, 운영 요구사항과 대상 플랫폼 제약을 충족하도록 LED 도트 매트릭스 표시 기반 기능을 구현하고 검증한다.</x:v>
      </x:c>
      <x:c r="G5" s="36" t="str">
        <x:v>머리 전면에 표정과 아이콘을 표시하고 밝기, 블룸, 점멸, 거리 LOD가 밤 관찰과 색상 판정을 방해하지 않으며 저자극 설정을 지원한다.</x:v>
      </x:c>
      <x:c r="H5" s="36" t="str">
        <x:v>구현, 코드 리뷰, 사양 갱신, 대상 QA 케이스 실행, 로그·텔레메트리 확인과 관련 플랫폼 검증을 완료하고 미해결 P0·P1 결함이 없다.</x:v>
      </x:c>
      <x:c r="I5" s="36" t="str">
        <x:v>MVP</x:v>
      </x:c>
      <x:c r="J5" s="36" t="str">
        <x:v>P0</x:v>
      </x:c>
      <x:c r="K5" s="36" t="str">
        <x:v>필수</x:v>
      </x:c>
      <x:c r="L5" s="36" t="str">
        <x:v>판독성</x:v>
      </x:c>
      <x:c r="M5" s="36" t="str">
        <x:v>MVP</x:v>
      </x:c>
      <x:c r="N5" s="36" t="str">
        <x:v>캐릭터·경제 시스템 팀</x:v>
      </x:c>
      <x:c r="O5" s="36" t="str">
        <x:v>미정</x:v>
      </x:c>
      <x:c r="P5" s="36" t="str">
        <x:v>미정</x:v>
      </x:c>
      <x:c r="Q5" s="36" t="str">
        <x:v>전체</x:v>
      </x:c>
      <x:c r="R5" s="36" t="str">
        <x:v>클라이언트 로컬</x:v>
      </x:c>
      <x:c r="S5" s="36" t="str">
        <x:v>없음</x:v>
      </x:c>
      <x:c r="T5" s="36" t="str">
        <x:v>XL</x:v>
      </x:c>
      <x:c r="U5" s="36" t="str">
        <x:v>미착수</x:v>
      </x:c>
      <x:c r="V5" s="46" t="n">
        <x:f>IF(U5="완료",1,IF(U5="QA 진행 중",0.8,IF(U5="코드 리뷰",0.65,IF(U5="구현 중",0.4,IF(U5="사양 확인 중",0.1,IF(U5="차단",0.4,0))))))</x:f>
        <x:v>0</x:v>
      </x:c>
      <x:c r="W5" s="36" t="str">
        <x:v>미정</x:v>
      </x:c>
      <x:c r="X5" s="44"/>
      <x:c r="Y5" s="36" t="str">
        <x:v>CHR-002,SET-025</x:v>
      </x:c>
      <x:c r="Z5" s="36" t="str">
        <x:v>중간</x:v>
      </x:c>
      <x:c r="AA5" s="36" t="str">
        <x:v>접근성</x:v>
      </x:c>
      <x:c r="AB5" s="36" t="str">
        <x:v>TC-CHR-004-01, TC-CHR-004-02</x:v>
      </x:c>
      <x:c r="AC5" s="36"/>
      <x:c r="AD5" s="36" t="str">
        <x:v>캐릭터 사양서 §4</x:v>
      </x:c>
      <x:c r="AE5" s="36"/>
      <x:c r="AF5" s="44" t="str">
        <x:v>2026-07-10</x:v>
      </x:c>
      <x:c r="AG5" s="36"/>
      <x:c r="AH5" s="54"/>
      <x:c r="AI5" s="54"/>
      <x:c r="AJ5" s="53" t="str">
        <x:v>착수 전</x:v>
      </x:c>
    </x:row>
    <x:row r="6" ht="42" customHeight="1">
      <x:c r="A6" s="36" t="str">
        <x:v>CHR-005</x:v>
      </x:c>
      <x:c r="B6" s="36" t="str">
        <x:v>캐릭터·커스터마이징·커머스</x:v>
      </x:c>
      <x:c r="C6" s="36" t="str">
        <x:v>플레이어 식별</x:v>
      </x:c>
      <x:c r="D6" s="36" t="str">
        <x:v>색상 팔레트</x:v>
      </x:c>
      <x:c r="E6" s="36" t="str">
        <x:v>4~8색 플레이어 식별 팔레트</x:v>
      </x:c>
      <x:c r="F6" s="36" t="str">
        <x:v>게임 규칙, 운영 요구사항과 대상 플랫폼 제약을 충족하도록 4~8색 플레이어 식별 팔레트 기능을 구현하고 검증한다.</x:v>
      </x:c>
      <x:c r="G6" s="36" t="str">
        <x:v>빨강, 파랑, 노랑, 초록, 보라, 주황 등을 조명, 색각 특성, 디스플레이 조건에서 검증하고 몸, LED, UI, 메모에 같은 색상 ID를 적용한다.</x:v>
      </x:c>
      <x:c r="H6" s="36" t="str">
        <x:v>구현, 코드 리뷰, 사양 갱신, 대상 QA 케이스 실행, 로그·텔레메트리 확인과 관련 플랫폼 검증을 완료하고 미해결 P0·P1 결함이 없다.</x:v>
      </x:c>
      <x:c r="I6" s="36" t="str">
        <x:v>MVP</x:v>
      </x:c>
      <x:c r="J6" s="36" t="str">
        <x:v>P0</x:v>
      </x:c>
      <x:c r="K6" s="36" t="str">
        <x:v>필수</x:v>
      </x:c>
      <x:c r="L6" s="36" t="str">
        <x:v>판독성</x:v>
      </x:c>
      <x:c r="M6" s="36" t="str">
        <x:v>MVP</x:v>
      </x:c>
      <x:c r="N6" s="36" t="str">
        <x:v>캐릭터·경제 시스템 팀</x:v>
      </x:c>
      <x:c r="O6" s="36" t="str">
        <x:v>미정</x:v>
      </x:c>
      <x:c r="P6" s="36" t="str">
        <x:v>미정</x:v>
      </x:c>
      <x:c r="Q6" s="36" t="str">
        <x:v>전체</x:v>
      </x:c>
      <x:c r="R6" s="36" t="str">
        <x:v>콘텐츠 데이터</x:v>
      </x:c>
      <x:c r="S6" s="36" t="str">
        <x:v>없음</x:v>
      </x:c>
      <x:c r="T6" s="36" t="str">
        <x:v>L</x:v>
      </x:c>
      <x:c r="U6" s="36" t="str">
        <x:v>미착수</x:v>
      </x:c>
      <x:c r="V6" s="46" t="n">
        <x:f>IF(U6="완료",1,IF(U6="QA 진행 중",0.8,IF(U6="코드 리뷰",0.65,IF(U6="구현 중",0.4,IF(U6="사양 확인 중",0.1,IF(U6="차단",0.4,0))))))</x:f>
        <x:v>0</x:v>
      </x:c>
      <x:c r="W6" s="36" t="str">
        <x:v>미정</x:v>
      </x:c>
      <x:c r="X6" s="44"/>
      <x:c r="Y6" s="36" t="str">
        <x:v>CHR-004</x:v>
      </x:c>
      <x:c r="Z6" s="36" t="str">
        <x:v>중간</x:v>
      </x:c>
      <x:c r="AA6" s="36" t="str">
        <x:v>접근성</x:v>
      </x:c>
      <x:c r="AB6" s="36" t="str">
        <x:v>TC-CHR-005-01, TC-CHR-005-02</x:v>
      </x:c>
      <x:c r="AC6" s="36"/>
      <x:c r="AD6" s="36" t="str">
        <x:v>캐릭터 사양서 §5</x:v>
      </x:c>
      <x:c r="AE6" s="36"/>
      <x:c r="AF6" s="44" t="str">
        <x:v>2026-07-10</x:v>
      </x:c>
      <x:c r="AG6" s="36"/>
      <x:c r="AH6" s="54"/>
      <x:c r="AI6" s="54"/>
      <x:c r="AJ6" s="53" t="str">
        <x:v>착수 전</x:v>
      </x:c>
    </x:row>
    <x:row r="7" ht="42" customHeight="1">
      <x:c r="A7" s="36" t="str">
        <x:v>CHR-006</x:v>
      </x:c>
      <x:c r="B7" s="36" t="str">
        <x:v>캐릭터·커스터마이징·커머스</x:v>
      </x:c>
      <x:c r="C7" s="36" t="str">
        <x:v>플레이어 식별</x:v>
      </x:c>
      <x:c r="D7" s="36" t="str">
        <x:v>머티리얼</x:v>
      </x:c>
      <x:c r="E7" s="36" t="str">
        <x:v>몸·LED·포인트 색상 적용 규칙</x:v>
      </x:c>
      <x:c r="F7" s="36" t="str">
        <x:v>게임 규칙, 운영 요구사항과 대상 플랫폼 제약을 충족하도록 몸·LED·포인트 색상 적용 규칙 기능을 구현하고 검증한다.</x:v>
      </x:c>
      <x:c r="G7" s="36" t="str">
        <x:v>의상을 변경해도 주요 면적에 본인 색상이 유지되고 다른 플레이어 색상이나 메모 색상으로 오인할 수 있는 보조 색상을 제한한다.</x:v>
      </x:c>
      <x:c r="H7" s="36" t="str">
        <x:v>구현, 코드 리뷰, 사양 갱신, 대상 QA 케이스 실행, 로그·텔레메트리 확인과 관련 플랫폼 검증을 완료하고 미해결 P0·P1 결함이 없다.</x:v>
      </x:c>
      <x:c r="I7" s="36" t="str">
        <x:v>MVP</x:v>
      </x:c>
      <x:c r="J7" s="36" t="str">
        <x:v>P0</x:v>
      </x:c>
      <x:c r="K7" s="36" t="str">
        <x:v>필수</x:v>
      </x:c>
      <x:c r="L7" s="36" t="str">
        <x:v>판독성</x:v>
      </x:c>
      <x:c r="M7" s="36" t="str">
        <x:v>MVP</x:v>
      </x:c>
      <x:c r="N7" s="36" t="str">
        <x:v>캐릭터·경제 시스템 팀</x:v>
      </x:c>
      <x:c r="O7" s="36" t="str">
        <x:v>미정</x:v>
      </x:c>
      <x:c r="P7" s="36" t="str">
        <x:v>미정</x:v>
      </x:c>
      <x:c r="Q7" s="36" t="str">
        <x:v>전체</x:v>
      </x:c>
      <x:c r="R7" s="36" t="str">
        <x:v>콘텐츠 데이터</x:v>
      </x:c>
      <x:c r="S7" s="36" t="str">
        <x:v>없음</x:v>
      </x:c>
      <x:c r="T7" s="36" t="str">
        <x:v>M</x:v>
      </x:c>
      <x:c r="U7" s="36" t="str">
        <x:v>미착수</x:v>
      </x:c>
      <x:c r="V7" s="46" t="n">
        <x:f>IF(U7="완료",1,IF(U7="QA 진행 중",0.8,IF(U7="코드 리뷰",0.65,IF(U7="구현 중",0.4,IF(U7="사양 확인 중",0.1,IF(U7="차단",0.4,0))))))</x:f>
        <x:v>0</x:v>
      </x:c>
      <x:c r="W7" s="36" t="str">
        <x:v>미정</x:v>
      </x:c>
      <x:c r="X7" s="44"/>
      <x:c r="Y7" s="36" t="str">
        <x:v>CHR-005</x:v>
      </x:c>
      <x:c r="Z7" s="36" t="str">
        <x:v>중간</x:v>
      </x:c>
      <x:c r="AA7" s="36" t="str">
        <x:v>사용성</x:v>
      </x:c>
      <x:c r="AB7" s="36" t="str">
        <x:v>TC-CHR-006-01, TC-CHR-006-02</x:v>
      </x:c>
      <x:c r="AC7" s="36"/>
      <x:c r="AD7" s="36" t="str">
        <x:v>게임 기획서</x:v>
      </x:c>
      <x:c r="AE7" s="36"/>
      <x:c r="AF7" s="44" t="str">
        <x:v>2026-07-10</x:v>
      </x:c>
      <x:c r="AG7" s="36"/>
      <x:c r="AH7" s="54"/>
      <x:c r="AI7" s="54"/>
      <x:c r="AJ7" s="53" t="str">
        <x:v>착수 전</x:v>
      </x:c>
    </x:row>
    <x:row r="8" ht="42" customHeight="1">
      <x:c r="A8" s="36" t="str">
        <x:v>CHR-007</x:v>
      </x:c>
      <x:c r="B8" s="36" t="str">
        <x:v>캐릭터·커스터마이징·커머스</x:v>
      </x:c>
      <x:c r="C8" s="36" t="str">
        <x:v>애니메이션</x:v>
      </x:c>
      <x:c r="D8" s="36" t="str">
        <x:v>이동 제어</x:v>
      </x:c>
      <x:c r="E8" s="36" t="str">
        <x:v>이동·정지·회전·집결 텔레포트</x:v>
      </x:c>
      <x:c r="F8" s="36" t="str">
        <x:v>게임 규칙, 운영 요구사항과 대상 플랫폼 제약을 충족하도록 이동·정지·회전·집결 텔레포트 기능을 구현하고 검증한다.</x:v>
      </x:c>
      <x:c r="G8" s="36" t="str">
        <x:v>작은 몸과 큰 머리 구성에서 발 미끄러짐, 머리 관통, 급회전 오류가 없고 밤 집결 전환을 안정적으로 재생한다.</x:v>
      </x:c>
      <x:c r="H8" s="36" t="str">
        <x:v>구현, 코드 리뷰, 사양 갱신, 대상 QA 케이스 실행, 로그·텔레메트리 확인과 관련 플랫폼 검증을 완료하고 미해결 P0·P1 결함이 없다.</x:v>
      </x:c>
      <x:c r="I8" s="36" t="str">
        <x:v>MVP</x:v>
      </x:c>
      <x:c r="J8" s="36" t="str">
        <x:v>P0</x:v>
      </x:c>
      <x:c r="K8" s="36" t="str">
        <x:v>필수</x:v>
      </x:c>
      <x:c r="L8" s="36" t="str">
        <x:v>애니메이션</x:v>
      </x:c>
      <x:c r="M8" s="36" t="str">
        <x:v>MVP</x:v>
      </x:c>
      <x:c r="N8" s="36" t="str">
        <x:v>캐릭터·경제 시스템 팀</x:v>
      </x:c>
      <x:c r="O8" s="36" t="str">
        <x:v>미정</x:v>
      </x:c>
      <x:c r="P8" s="36" t="str">
        <x:v>미정</x:v>
      </x:c>
      <x:c r="Q8" s="36" t="str">
        <x:v>전체</x:v>
      </x:c>
      <x:c r="R8" s="36" t="str">
        <x:v>클라이언트 로컬</x:v>
      </x:c>
      <x:c r="S8" s="36" t="str">
        <x:v>없음</x:v>
      </x:c>
      <x:c r="T8" s="36" t="str">
        <x:v>L</x:v>
      </x:c>
      <x:c r="U8" s="36" t="str">
        <x:v>미착수</x:v>
      </x:c>
      <x:c r="V8" s="46" t="n">
        <x:f>IF(U8="완료",1,IF(U8="QA 진행 중",0.8,IF(U8="코드 리뷰",0.65,IF(U8="구현 중",0.4,IF(U8="사양 확인 중",0.1,IF(U8="차단",0.4,0))))))</x:f>
        <x:v>0</x:v>
      </x:c>
      <x:c r="W8" s="36" t="str">
        <x:v>미정</x:v>
      </x:c>
      <x:c r="X8" s="44"/>
      <x:c r="Y8" s="36" t="str">
        <x:v>CHR-003,NET-009</x:v>
      </x:c>
      <x:c r="Z8" s="36" t="str">
        <x:v>중간</x:v>
      </x:c>
      <x:c r="AA8" s="36" t="str">
        <x:v>기능</x:v>
      </x:c>
      <x:c r="AB8" s="36" t="str">
        <x:v>TC-CHR-007-01, TC-CHR-007-02</x:v>
      </x:c>
      <x:c r="AC8" s="36"/>
      <x:c r="AD8" s="36" t="str">
        <x:v>게임 기획서</x:v>
      </x:c>
      <x:c r="AE8" s="36"/>
      <x:c r="AF8" s="44" t="str">
        <x:v>2026-07-10</x:v>
      </x:c>
      <x:c r="AG8" s="36"/>
      <x:c r="AH8" s="54"/>
      <x:c r="AI8" s="54"/>
      <x:c r="AJ8" s="53" t="str">
        <x:v>착수 전</x:v>
      </x:c>
    </x:row>
    <x:row r="9" ht="42" customHeight="1">
      <x:c r="A9" s="36" t="str">
        <x:v>CHR-008</x:v>
      </x:c>
      <x:c r="B9" s="36" t="str">
        <x:v>캐릭터·커스터마이징·커머스</x:v>
      </x:c>
      <x:c r="C9" s="36" t="str">
        <x:v>애니메이션</x:v>
      </x:c>
      <x:c r="D9" s="36" t="str">
        <x:v>메모 부착</x:v>
      </x:c>
      <x:c r="E9" s="36" t="str">
        <x:v>관찰 가능한 메모 부착 애니메이션</x:v>
      </x:c>
      <x:c r="F9" s="36" t="str">
        <x:v>게임 규칙, 운영 요구사항과 대상 플랫폼 제약을 충족하도록 관찰 가능한 메모 부착 애니메이션 기능을 구현하고 검증한다.</x:v>
      </x:c>
      <x:c r="G9" s="36" t="str">
        <x:v>등 뒤로 손을 뻗는 약 1.5초 동작을 주변 플레이어가 인지할 수 있지만 원거리에서 메모 색상이나 문구를 읽게 만드는 과도한 연출은 하지 않는다.</x:v>
      </x:c>
      <x:c r="H9" s="36" t="str">
        <x:v>구현, 코드 리뷰, 사양 갱신, 대상 QA 케이스 실행, 로그·텔레메트리 확인과 관련 플랫폼 검증을 완료하고 미해결 P0·P1 결함이 없다.</x:v>
      </x:c>
      <x:c r="I9" s="36" t="str">
        <x:v>MVP</x:v>
      </x:c>
      <x:c r="J9" s="36" t="str">
        <x:v>P0</x:v>
      </x:c>
      <x:c r="K9" s="36" t="str">
        <x:v>필수</x:v>
      </x:c>
      <x:c r="L9" s="36" t="str">
        <x:v>핵심 규칙</x:v>
      </x:c>
      <x:c r="M9" s="36" t="str">
        <x:v>MVP</x:v>
      </x:c>
      <x:c r="N9" s="36" t="str">
        <x:v>캐릭터·경제 시스템 팀</x:v>
      </x:c>
      <x:c r="O9" s="36" t="str">
        <x:v>미정</x:v>
      </x:c>
      <x:c r="P9" s="36" t="str">
        <x:v>미정</x:v>
      </x:c>
      <x:c r="Q9" s="36" t="str">
        <x:v>전체</x:v>
      </x:c>
      <x:c r="R9" s="36" t="str">
        <x:v>클라이언트 예측·서버 검증</x:v>
      </x:c>
      <x:c r="S9" s="36" t="str">
        <x:v>없음</x:v>
      </x:c>
      <x:c r="T9" s="36" t="str">
        <x:v>L</x:v>
      </x:c>
      <x:c r="U9" s="36" t="str">
        <x:v>미착수</x:v>
      </x:c>
      <x:c r="V9" s="46" t="n">
        <x:f>IF(U9="완료",1,IF(U9="QA 진행 중",0.8,IF(U9="코드 리뷰",0.65,IF(U9="구현 중",0.4,IF(U9="사양 확인 중",0.1,IF(U9="차단",0.4,0))))))</x:f>
        <x:v>0</x:v>
      </x:c>
      <x:c r="W9" s="36" t="str">
        <x:v>미정</x:v>
      </x:c>
      <x:c r="X9" s="44"/>
      <x:c r="Y9" s="36" t="str">
        <x:v>CHR-003,IGM-017</x:v>
      </x:c>
      <x:c r="Z9" s="36" t="str">
        <x:v>중간</x:v>
      </x:c>
      <x:c r="AA9" s="36" t="str">
        <x:v>사용성</x:v>
      </x:c>
      <x:c r="AB9" s="36" t="str">
        <x:v>TC-CHR-008-01, TC-CHR-008-02</x:v>
      </x:c>
      <x:c r="AC9" s="36"/>
      <x:c r="AD9" s="36" t="str">
        <x:v>게임 기획서 §7.4</x:v>
      </x:c>
      <x:c r="AE9" s="36"/>
      <x:c r="AF9" s="44" t="str">
        <x:v>2026-07-10</x:v>
      </x:c>
      <x:c r="AG9" s="36"/>
      <x:c r="AH9" s="54"/>
      <x:c r="AI9" s="54"/>
      <x:c r="AJ9" s="53" t="str">
        <x:v>착수 전</x:v>
      </x:c>
    </x:row>
    <x:row r="10" ht="42" customHeight="1">
      <x:c r="A10" s="36" t="str">
        <x:v>CHR-009</x:v>
      </x:c>
      <x:c r="B10" s="36" t="str">
        <x:v>캐릭터·커스터마이징·커머스</x:v>
      </x:c>
      <x:c r="C10" s="36" t="str">
        <x:v>메모 표시</x:v>
      </x:c>
      <x:c r="D10" s="36" t="str">
        <x:v>소켓</x:v>
      </x:c>
      <x:c r="E10" s="36" t="str">
        <x:v>등 메모 소켓·기준면</x:v>
      </x:c>
      <x:c r="F10" s="36" t="str">
        <x:v>게임 규칙, 운영 요구사항과 대상 플랫폼 제약을 충족하도록 등 메모 소켓·기준면 기능을 구현하고 검증한다.</x:v>
      </x:c>
      <x:c r="G10" s="36" t="str">
        <x:v>등 중앙 또는 머리 뒤쪽 하단에 공통 기준면을 정의하고 모든 머리·의상에서 위치, 법선, 크기, 충돌 영역을 검증한다.</x:v>
      </x:c>
      <x:c r="H10" s="36" t="str">
        <x:v>구현, 코드 리뷰, 사양 갱신, 대상 QA 케이스 실행, 로그·텔레메트리 확인과 관련 플랫폼 검증을 완료하고 미해결 P0·P1 결함이 없다.</x:v>
      </x:c>
      <x:c r="I10" s="36" t="str">
        <x:v>MVP</x:v>
      </x:c>
      <x:c r="J10" s="36" t="str">
        <x:v>P0</x:v>
      </x:c>
      <x:c r="K10" s="36" t="str">
        <x:v>필수</x:v>
      </x:c>
      <x:c r="L10" s="36" t="str">
        <x:v>메모</x:v>
      </x:c>
      <x:c r="M10" s="36" t="str">
        <x:v>MVP</x:v>
      </x:c>
      <x:c r="N10" s="36" t="str">
        <x:v>캐릭터·경제 시스템 팀</x:v>
      </x:c>
      <x:c r="O10" s="36" t="str">
        <x:v>미정</x:v>
      </x:c>
      <x:c r="P10" s="36" t="str">
        <x:v>미정</x:v>
      </x:c>
      <x:c r="Q10" s="36" t="str">
        <x:v>전체</x:v>
      </x:c>
      <x:c r="R10" s="36" t="str">
        <x:v>콘텐츠 데이터</x:v>
      </x:c>
      <x:c r="S10" s="36" t="str">
        <x:v>없음</x:v>
      </x:c>
      <x:c r="T10" s="36" t="str">
        <x:v>M</x:v>
      </x:c>
      <x:c r="U10" s="36" t="str">
        <x:v>미착수</x:v>
      </x:c>
      <x:c r="V10" s="46" t="n">
        <x:f>IF(U10="완료",1,IF(U10="QA 진행 중",0.8,IF(U10="코드 리뷰",0.65,IF(U10="구현 중",0.4,IF(U10="사양 확인 중",0.1,IF(U10="차단",0.4,0))))))</x:f>
        <x:v>0</x:v>
      </x:c>
      <x:c r="W10" s="36" t="str">
        <x:v>미정</x:v>
      </x:c>
      <x:c r="X10" s="44"/>
      <x:c r="Y10" s="36" t="str">
        <x:v>CHR-002</x:v>
      </x:c>
      <x:c r="Z10" s="36" t="str">
        <x:v>중간</x:v>
      </x:c>
      <x:c r="AA10" s="36" t="str">
        <x:v>기능</x:v>
      </x:c>
      <x:c r="AB10" s="36" t="str">
        <x:v>TC-CHR-009-01, TC-CHR-009-02</x:v>
      </x:c>
      <x:c r="AC10" s="36"/>
      <x:c r="AD10" s="36" t="str">
        <x:v>캐릭터 사양서 §7</x:v>
      </x:c>
      <x:c r="AE10" s="36"/>
      <x:c r="AF10" s="44" t="str">
        <x:v>2026-07-10</x:v>
      </x:c>
      <x:c r="AG10" s="36"/>
      <x:c r="AH10" s="54"/>
      <x:c r="AI10" s="54"/>
      <x:c r="AJ10" s="53" t="str">
        <x:v>착수 전</x:v>
      </x:c>
    </x:row>
    <x:row r="11" ht="42" customHeight="1">
      <x:c r="A11" s="36" t="str">
        <x:v>CHR-010</x:v>
      </x:c>
      <x:c r="B11" s="36" t="str">
        <x:v>캐릭터·커스터마이징·커머스</x:v>
      </x:c>
      <x:c r="C11" s="36" t="str">
        <x:v>메모 표시</x:v>
      </x:c>
      <x:c r="D11" s="36" t="str">
        <x:v>레이아웃</x:v>
      </x:c>
      <x:c r="E11" s="36" t="str">
        <x:v>최대 6장 등 메모 레이아웃</x:v>
      </x:c>
      <x:c r="F11" s="36" t="str">
        <x:v>게임 규칙, 운영 요구사항과 대상 플랫폼 제약을 충족하도록 최대 6장 등 메모 레이아웃 기능을 구현하고 검증한다.</x:v>
      </x:c>
      <x:c r="G11" s="36" t="str">
        <x:v>오래된 메모부터 왼쪽 위→오른쪽 아래로 배치하고 크기, 겹침, 곡면 추종, 흔들림을 통일한다. 카메라 각도에 따라 순서가 반전되지 않는다.</x:v>
      </x:c>
      <x:c r="H11" s="36" t="str">
        <x:v>구현, 코드 리뷰, 사양 갱신, 대상 QA 케이스 실행, 로그·텔레메트리 확인과 관련 플랫폼 검증을 완료하고 미해결 P0·P1 결함이 없다.</x:v>
      </x:c>
      <x:c r="I11" s="36" t="str">
        <x:v>MVP</x:v>
      </x:c>
      <x:c r="J11" s="36" t="str">
        <x:v>P0</x:v>
      </x:c>
      <x:c r="K11" s="36" t="str">
        <x:v>필수</x:v>
      </x:c>
      <x:c r="L11" s="36" t="str">
        <x:v>판독성</x:v>
      </x:c>
      <x:c r="M11" s="36" t="str">
        <x:v>MVP</x:v>
      </x:c>
      <x:c r="N11" s="36" t="str">
        <x:v>캐릭터·경제 시스템 팀</x:v>
      </x:c>
      <x:c r="O11" s="36" t="str">
        <x:v>미정</x:v>
      </x:c>
      <x:c r="P11" s="36" t="str">
        <x:v>미정</x:v>
      </x:c>
      <x:c r="Q11" s="36" t="str">
        <x:v>전체</x:v>
      </x:c>
      <x:c r="R11" s="36" t="str">
        <x:v>클라이언트 로컬</x:v>
      </x:c>
      <x:c r="S11" s="36" t="str">
        <x:v>없음</x:v>
      </x:c>
      <x:c r="T11" s="36" t="str">
        <x:v>L</x:v>
      </x:c>
      <x:c r="U11" s="36" t="str">
        <x:v>미착수</x:v>
      </x:c>
      <x:c r="V11" s="46" t="n">
        <x:f>IF(U11="완료",1,IF(U11="QA 진행 중",0.8,IF(U11="코드 리뷰",0.65,IF(U11="구현 중",0.4,IF(U11="사양 확인 중",0.1,IF(U11="차단",0.4,0))))))</x:f>
        <x:v>0</x:v>
      </x:c>
      <x:c r="W11" s="36" t="str">
        <x:v>미정</x:v>
      </x:c>
      <x:c r="X11" s="44"/>
      <x:c r="Y11" s="36" t="str">
        <x:v>CHR-009,IGM-021</x:v>
      </x:c>
      <x:c r="Z11" s="36" t="str">
        <x:v>중간</x:v>
      </x:c>
      <x:c r="AA11" s="36" t="str">
        <x:v>사용성</x:v>
      </x:c>
      <x:c r="AB11" s="36" t="str">
        <x:v>TC-CHR-010-01, TC-CHR-010-02</x:v>
      </x:c>
      <x:c r="AC11" s="36"/>
      <x:c r="AD11" s="36" t="str">
        <x:v>게임 기획서</x:v>
      </x:c>
      <x:c r="AE11" s="36"/>
      <x:c r="AF11" s="44" t="str">
        <x:v>2026-07-10</x:v>
      </x:c>
      <x:c r="AG11" s="36"/>
      <x:c r="AH11" s="54"/>
      <x:c r="AI11" s="54"/>
      <x:c r="AJ11" s="53" t="str">
        <x:v>착수 전</x:v>
      </x:c>
    </x:row>
    <x:row r="12" ht="42" customHeight="1">
      <x:c r="A12" s="36" t="str">
        <x:v>CHR-011</x:v>
      </x:c>
      <x:c r="B12" s="36" t="str">
        <x:v>캐릭터·커스터마이징·커머스</x:v>
      </x:c>
      <x:c r="C12" s="36" t="str">
        <x:v>메모 표시</x:v>
      </x:c>
      <x:c r="D12" s="36" t="str">
        <x:v>LOD·머티리얼</x:v>
      </x:c>
      <x:c r="E12" s="36" t="str">
        <x:v>메모 재질·거리 LOD·최신 메모 표현</x:v>
      </x:c>
      <x:c r="F12" s="36" t="str">
        <x:v>게임 규칙, 운영 요구사항과 대상 플랫폼 제약을 충족하도록 메모 재질·거리 LOD·최신 메모 표현 기능을 구현하고 검증한다.</x:v>
      </x:c>
      <x:c r="G12" s="36" t="str">
        <x:v>중거리에서는 색상 면, 근거리에서는 문구를 표시하고 최신 메모를 미세한 차이로 구분하되 정확한 시각을 추정할 정도의 단계 차이는 두지 않는다.</x:v>
      </x:c>
      <x:c r="H12" s="36" t="str">
        <x:v>구현, 코드 리뷰, 사양 갱신, 대상 QA 케이스 실행, 로그·텔레메트리 확인과 관련 플랫폼 검증을 완료하고 미해결 P0·P1 결함이 없다.</x:v>
      </x:c>
      <x:c r="I12" s="36" t="str">
        <x:v>MVP</x:v>
      </x:c>
      <x:c r="J12" s="36" t="str">
        <x:v>P1</x:v>
      </x:c>
      <x:c r="K12" s="36" t="str">
        <x:v>필수</x:v>
      </x:c>
      <x:c r="L12" s="36" t="str">
        <x:v>판독성</x:v>
      </x:c>
      <x:c r="M12" s="36" t="str">
        <x:v>MVP</x:v>
      </x:c>
      <x:c r="N12" s="36" t="str">
        <x:v>캐릭터·경제 시스템 팀</x:v>
      </x:c>
      <x:c r="O12" s="36" t="str">
        <x:v>미정</x:v>
      </x:c>
      <x:c r="P12" s="36" t="str">
        <x:v>미정</x:v>
      </x:c>
      <x:c r="Q12" s="36" t="str">
        <x:v>전체</x:v>
      </x:c>
      <x:c r="R12" s="36" t="str">
        <x:v>클라이언트 로컬</x:v>
      </x:c>
      <x:c r="S12" s="36" t="str">
        <x:v>없음</x:v>
      </x:c>
      <x:c r="T12" s="36" t="str">
        <x:v>L</x:v>
      </x:c>
      <x:c r="U12" s="36" t="str">
        <x:v>미착수</x:v>
      </x:c>
      <x:c r="V12" s="46" t="n">
        <x:f>IF(U12="완료",1,IF(U12="QA 진행 중",0.8,IF(U12="코드 리뷰",0.65,IF(U12="구현 중",0.4,IF(U12="사양 확인 중",0.1,IF(U12="차단",0.4,0))))))</x:f>
        <x:v>0</x:v>
      </x:c>
      <x:c r="W12" s="36" t="str">
        <x:v>미정</x:v>
      </x:c>
      <x:c r="X12" s="44"/>
      <x:c r="Y12" s="36" t="str">
        <x:v>CHR-010,UIX-014</x:v>
      </x:c>
      <x:c r="Z12" s="36" t="str">
        <x:v>중간</x:v>
      </x:c>
      <x:c r="AA12" s="36" t="str">
        <x:v>밸런스</x:v>
      </x:c>
      <x:c r="AB12" s="36" t="str">
        <x:v>TC-CHR-011-01</x:v>
      </x:c>
      <x:c r="AC12" s="36"/>
      <x:c r="AD12" s="36" t="str">
        <x:v>게임 기획서</x:v>
      </x:c>
      <x:c r="AE12" s="36"/>
      <x:c r="AF12" s="44" t="str">
        <x:v>2026-07-10</x:v>
      </x:c>
      <x:c r="AG12" s="36"/>
      <x:c r="AH12" s="54"/>
      <x:c r="AI12" s="54"/>
      <x:c r="AJ12" s="53" t="str">
        <x:v>착수 전</x:v>
      </x:c>
    </x:row>
    <x:row r="13" ht="42" customHeight="1">
      <x:c r="A13" s="36" t="str">
        <x:v>CHR-012</x:v>
      </x:c>
      <x:c r="B13" s="36" t="str">
        <x:v>캐릭터·커스터마이징·커머스</x:v>
      </x:c>
      <x:c r="C13" s="36" t="str">
        <x:v>메모 표시</x:v>
      </x:c>
      <x:c r="D13" s="36" t="str">
        <x:v>차폐</x:v>
      </x:c>
      <x:c r="E13" s="36" t="str">
        <x:v>의상·머리·카메라에 의한 메모 가림 방지</x:v>
      </x:c>
      <x:c r="F13" s="36" t="str">
        <x:v>게임 규칙, 운영 요구사항과 대상 플랫폼 제약을 충족하도록 의상·머리·카메라에 의한 메모 가림 방지 기능을 구현하고 검증한다.</x:v>
      </x:c>
      <x:c r="G13" s="36" t="str">
        <x:v>MVP 전체 장비, 굽힘 자세, 벽 근처, 근거리, 밤 관찰에서 등 메모 영역의 80% 이상을 볼 수 있고 심각하게 가리는 장비는 장착할 수 없다.</x:v>
      </x:c>
      <x:c r="H13" s="36" t="str">
        <x:v>구현, 코드 리뷰, 사양 갱신, 대상 QA 케이스 실행, 로그·텔레메트리 확인과 관련 플랫폼 검증을 완료하고 미해결 P0·P1 결함이 없다.</x:v>
      </x:c>
      <x:c r="I13" s="36" t="str">
        <x:v>MVP</x:v>
      </x:c>
      <x:c r="J13" s="36" t="str">
        <x:v>P0</x:v>
      </x:c>
      <x:c r="K13" s="36" t="str">
        <x:v>필수</x:v>
      </x:c>
      <x:c r="L13" s="36" t="str">
        <x:v>판독성</x:v>
      </x:c>
      <x:c r="M13" s="36" t="str">
        <x:v>MVP</x:v>
      </x:c>
      <x:c r="N13" s="36" t="str">
        <x:v>캐릭터·경제 시스템 팀</x:v>
      </x:c>
      <x:c r="O13" s="36" t="str">
        <x:v>미정</x:v>
      </x:c>
      <x:c r="P13" s="36" t="str">
        <x:v>미정</x:v>
      </x:c>
      <x:c r="Q13" s="36" t="str">
        <x:v>전체</x:v>
      </x:c>
      <x:c r="R13" s="36" t="str">
        <x:v>콘텐츠 데이터</x:v>
      </x:c>
      <x:c r="S13" s="36" t="str">
        <x:v>없음</x:v>
      </x:c>
      <x:c r="T13" s="36" t="str">
        <x:v>XL</x:v>
      </x:c>
      <x:c r="U13" s="36" t="str">
        <x:v>미착수</x:v>
      </x:c>
      <x:c r="V13" s="46" t="n">
        <x:f>IF(U13="완료",1,IF(U13="QA 진행 중",0.8,IF(U13="코드 리뷰",0.65,IF(U13="구현 중",0.4,IF(U13="사양 확인 중",0.1,IF(U13="차단",0.4,0))))))</x:f>
        <x:v>0</x:v>
      </x:c>
      <x:c r="W13" s="36" t="str">
        <x:v>미정</x:v>
      </x:c>
      <x:c r="X13" s="44"/>
      <x:c r="Y13" s="36" t="str">
        <x:v>CHR-009,CHR-010,CHR-014</x:v>
      </x:c>
      <x:c r="Z13" s="36" t="str">
        <x:v>중간</x:v>
      </x:c>
      <x:c r="AA13" s="36" t="str">
        <x:v>사용성</x:v>
      </x:c>
      <x:c r="AB13" s="36" t="str">
        <x:v>TC-CHR-012-01, TC-CHR-012-02</x:v>
      </x:c>
      <x:c r="AC13" s="36"/>
      <x:c r="AD13" s="36" t="str">
        <x:v>캐릭터 사양서 §7, §11</x:v>
      </x:c>
      <x:c r="AE13" s="36"/>
      <x:c r="AF13" s="44" t="str">
        <x:v>2026-07-10</x:v>
      </x:c>
      <x:c r="AG13" s="36"/>
      <x:c r="AH13" s="54"/>
      <x:c r="AI13" s="54"/>
      <x:c r="AJ13" s="53" t="str">
        <x:v>착수 전</x:v>
      </x:c>
    </x:row>
    <x:row r="14" ht="42" customHeight="1">
      <x:c r="A14" s="36" t="str">
        <x:v>CHR-013</x:v>
      </x:c>
      <x:c r="B14" s="36" t="str">
        <x:v>캐릭터·커스터마이징·커머스</x:v>
      </x:c>
      <x:c r="C14" s="36" t="str">
        <x:v>커스터마이징</x:v>
      </x:c>
      <x:c r="D14" s="36" t="str">
        <x:v>헤드 변형</x:v>
      </x:c>
      <x:c r="E14" s="36" t="str">
        <x:v>구형·정육면체형 헤드 지원</x:v>
      </x:c>
      <x:c r="F14" s="36" t="str">
        <x:v>게임 규칙, 운영 요구사항과 대상 플랫폼 제약을 충족하도록 구형·정육면체형 헤드 지원 기능을 구현하고 검증한다.</x:v>
      </x:c>
      <x:c r="G14" s="36" t="str">
        <x:v>추가 머리 2종에서 LED 표시, 이름표, 메모 소켓, 카메라, 충돌, 표정이 기준 안에 들어오며 게임 성능 차이는 생기지 않는다.</x:v>
      </x:c>
      <x:c r="H14" s="36" t="str">
        <x:v>구현, 코드 리뷰, 사양 갱신, 대상 QA 케이스 실행, 로그·텔레메트리 확인과 관련 플랫폼 검증을 완료하고 미해결 P0·P1 결함이 없다.</x:v>
      </x:c>
      <x:c r="I14" s="36" t="str">
        <x:v>출시 후</x:v>
      </x:c>
      <x:c r="J14" s="36" t="str">
        <x:v>P2</x:v>
      </x:c>
      <x:c r="K14" s="36" t="str">
        <x:v>조건부</x:v>
      </x:c>
      <x:c r="L14" s="36" t="str">
        <x:v>외형</x:v>
      </x:c>
      <x:c r="M14" s="36" t="str">
        <x:v>출시 후</x:v>
      </x:c>
      <x:c r="N14" s="36" t="str">
        <x:v>캐릭터·경제 시스템 팀</x:v>
      </x:c>
      <x:c r="O14" s="36" t="str">
        <x:v>미정</x:v>
      </x:c>
      <x:c r="P14" s="36" t="str">
        <x:v>미정</x:v>
      </x:c>
      <x:c r="Q14" s="36" t="str">
        <x:v>전체</x:v>
      </x:c>
      <x:c r="R14" s="36" t="str">
        <x:v>클라이언트 로컬</x:v>
      </x:c>
      <x:c r="S14" s="36" t="str">
        <x:v>계정</x:v>
      </x:c>
      <x:c r="T14" s="36" t="str">
        <x:v>XL</x:v>
      </x:c>
      <x:c r="U14" s="36" t="str">
        <x:v>미착수</x:v>
      </x:c>
      <x:c r="V14" s="46" t="n">
        <x:f>IF(U14="완료",1,IF(U14="QA 진행 중",0.8,IF(U14="코드 리뷰",0.65,IF(U14="구현 중",0.4,IF(U14="사양 확인 중",0.1,IF(U14="차단",0.4,0))))))</x:f>
        <x:v>0</x:v>
      </x:c>
      <x:c r="W14" s="36" t="str">
        <x:v>미정</x:v>
      </x:c>
      <x:c r="X14" s="44"/>
      <x:c r="Y14" s="36" t="str">
        <x:v>CHR-003,CHR-004,CHR-009</x:v>
      </x:c>
      <x:c r="Z14" s="36" t="str">
        <x:v>중간</x:v>
      </x:c>
      <x:c r="AA14" s="36" t="str">
        <x:v>호환성</x:v>
      </x:c>
      <x:c r="AB14" s="36" t="str">
        <x:v>TC-CHR-013-01</x:v>
      </x:c>
      <x:c r="AC14" s="36"/>
      <x:c r="AD14" s="36" t="str">
        <x:v>캐릭터 사양서 §3</x:v>
      </x:c>
      <x:c r="AE14" s="36"/>
      <x:c r="AF14" s="44" t="str">
        <x:v>2026-07-10</x:v>
      </x:c>
      <x:c r="AG14" s="36"/>
      <x:c r="AH14" s="54"/>
      <x:c r="AI14" s="54"/>
      <x:c r="AJ14" s="53" t="str">
        <x:v>착수 전</x:v>
      </x:c>
    </x:row>
    <x:row r="15" ht="42" customHeight="1">
      <x:c r="A15" s="36" t="str">
        <x:v>CHR-014</x:v>
      </x:c>
      <x:c r="B15" s="36" t="str">
        <x:v>캐릭터·커스터마이징·커머스</x:v>
      </x:c>
      <x:c r="C15" s="36" t="str">
        <x:v>커스터마이징</x:v>
      </x:c>
      <x:c r="D15" s="36" t="str">
        <x:v>의상 제약</x:v>
      </x:c>
      <x:c r="E15" s="36" t="str">
        <x:v>의상·모자·액세서리 금지 형태 규칙</x:v>
      </x:c>
      <x:c r="F15" s="36" t="str">
        <x:v>게임 규칙, 운영 요구사항과 대상 플랫폼 제약을 충족하도록 의상·모자·액세서리 금지 형태 규칙 기능을 구현하고 검증한다.</x:v>
      </x:c>
      <x:c r="G15" s="36" t="str">
        <x:v>LED 화면, 본인 색상, 이름표, 등 메모를 가리는 모자, 망토, 날개, 대형 발광물, 오인 색상은 자동 검사 또는 리뷰에서 승인하지 않는다.</x:v>
      </x:c>
      <x:c r="H15" s="36" t="str">
        <x:v>구현, 코드 리뷰, 사양 갱신, 대상 QA 케이스 실행, 로그·텔레메트리 확인과 관련 플랫폼 검증을 완료하고 미해결 P0·P1 결함이 없다.</x:v>
      </x:c>
      <x:c r="I15" s="36" t="str">
        <x:v>MVP</x:v>
      </x:c>
      <x:c r="J15" s="36" t="str">
        <x:v>P0</x:v>
      </x:c>
      <x:c r="K15" s="36" t="str">
        <x:v>필수</x:v>
      </x:c>
      <x:c r="L15" s="36" t="str">
        <x:v>판독성</x:v>
      </x:c>
      <x:c r="M15" s="36" t="str">
        <x:v>MVP</x:v>
      </x:c>
      <x:c r="N15" s="36" t="str">
        <x:v>캐릭터·경제 시스템 팀</x:v>
      </x:c>
      <x:c r="O15" s="36" t="str">
        <x:v>미정</x:v>
      </x:c>
      <x:c r="P15" s="36" t="str">
        <x:v>미정</x:v>
      </x:c>
      <x:c r="Q15" s="36" t="str">
        <x:v>도구</x:v>
      </x:c>
      <x:c r="R15" s="36" t="str">
        <x:v>콘텐츠 데이터</x:v>
      </x:c>
      <x:c r="S15" s="36" t="str">
        <x:v>없음</x:v>
      </x:c>
      <x:c r="T15" s="36" t="str">
        <x:v>L</x:v>
      </x:c>
      <x:c r="U15" s="36" t="str">
        <x:v>미착수</x:v>
      </x:c>
      <x:c r="V15" s="46" t="n">
        <x:f>IF(U15="완료",1,IF(U15="QA 진행 중",0.8,IF(U15="코드 리뷰",0.65,IF(U15="구현 중",0.4,IF(U15="사양 확인 중",0.1,IF(U15="차단",0.4,0))))))</x:f>
        <x:v>0</x:v>
      </x:c>
      <x:c r="W15" s="36" t="str">
        <x:v>미정</x:v>
      </x:c>
      <x:c r="X15" s="44"/>
      <x:c r="Y15" s="36" t="str">
        <x:v>CHR-005,CHR-009</x:v>
      </x:c>
      <x:c r="Z15" s="36" t="str">
        <x:v>중간</x:v>
      </x:c>
      <x:c r="AA15" s="36" t="str">
        <x:v>사용성</x:v>
      </x:c>
      <x:c r="AB15" s="36" t="str">
        <x:v>TC-CHR-014-01, TC-CHR-014-02</x:v>
      </x:c>
      <x:c r="AC15" s="36"/>
      <x:c r="AD15" s="36" t="str">
        <x:v>캐릭터 사양서 §8, §11</x:v>
      </x:c>
      <x:c r="AE15" s="36"/>
      <x:c r="AF15" s="44" t="str">
        <x:v>2026-07-10</x:v>
      </x:c>
      <x:c r="AG15" s="36"/>
      <x:c r="AH15" s="54"/>
      <x:c r="AI15" s="54"/>
      <x:c r="AJ15" s="53" t="str">
        <x:v>착수 전</x:v>
      </x:c>
    </x:row>
    <x:row r="16" ht="42" customHeight="1">
      <x:c r="A16" s="36" t="str">
        <x:v>CHR-015</x:v>
      </x:c>
      <x:c r="B16" s="36" t="str">
        <x:v>캐릭터·커스터마이징·커머스</x:v>
      </x:c>
      <x:c r="C16" s="36" t="str">
        <x:v>접근성</x:v>
      </x:c>
      <x:c r="D16" s="36" t="str">
        <x:v>패턴</x:v>
      </x:c>
      <x:c r="E16" s="36" t="str">
        <x:v>플레이어·메모 색상용 형태·패턴 에셋</x:v>
      </x:c>
      <x:c r="F16" s="36" t="str">
        <x:v>게임 규칙, 운영 요구사항과 대상 플랫폼 제약을 충족하도록 플레이어·메모 색상용 형태·패턴 에셋 기능을 구현하고 검증한다.</x:v>
      </x:c>
      <x:c r="G16" s="36" t="str">
        <x:v>각 색상 ID에 고유한 기호와 패턴을 배정하고 몸, 이름표, 메모, 투표 UI에서 같은 의미를 유지한다.</x:v>
      </x:c>
      <x:c r="H16" s="36" t="str">
        <x:v>구현, 코드 리뷰, 사양 갱신, 대상 QA 케이스 실행, 로그·텔레메트리 확인과 관련 플랫폼 검증을 완료하고 미해결 P0·P1 결함이 없다.</x:v>
      </x:c>
      <x:c r="I16" s="36" t="str">
        <x:v>베타</x:v>
      </x:c>
      <x:c r="J16" s="36" t="str">
        <x:v>P0</x:v>
      </x:c>
      <x:c r="K16" s="36" t="str">
        <x:v>필수</x:v>
      </x:c>
      <x:c r="L16" s="36" t="str">
        <x:v>접근성</x:v>
      </x:c>
      <x:c r="M16" s="36" t="str">
        <x:v>베타</x:v>
      </x:c>
      <x:c r="N16" s="36" t="str">
        <x:v>캐릭터·경제 시스템 팀</x:v>
      </x:c>
      <x:c r="O16" s="36" t="str">
        <x:v>미정</x:v>
      </x:c>
      <x:c r="P16" s="36" t="str">
        <x:v>미정</x:v>
      </x:c>
      <x:c r="Q16" s="36" t="str">
        <x:v>전체</x:v>
      </x:c>
      <x:c r="R16" s="36" t="str">
        <x:v>콘텐츠 데이터</x:v>
      </x:c>
      <x:c r="S16" s="36" t="str">
        <x:v>없음</x:v>
      </x:c>
      <x:c r="T16" s="36" t="str">
        <x:v>L</x:v>
      </x:c>
      <x:c r="U16" s="36" t="str">
        <x:v>미착수</x:v>
      </x:c>
      <x:c r="V16" s="46" t="n">
        <x:f>IF(U16="완료",1,IF(U16="QA 진행 중",0.8,IF(U16="코드 리뷰",0.65,IF(U16="구현 중",0.4,IF(U16="사양 확인 중",0.1,IF(U16="차단",0.4,0))))))</x:f>
        <x:v>0</x:v>
      </x:c>
      <x:c r="W16" s="36" t="str">
        <x:v>미정</x:v>
      </x:c>
      <x:c r="X16" s="44"/>
      <x:c r="Y16" s="36" t="str">
        <x:v>CHR-005,SET-024</x:v>
      </x:c>
      <x:c r="Z16" s="36" t="str">
        <x:v>중간</x:v>
      </x:c>
      <x:c r="AA16" s="36" t="str">
        <x:v>접근성</x:v>
      </x:c>
      <x:c r="AB16" s="36" t="str">
        <x:v>TC-CHR-015-01, TC-CHR-015-02</x:v>
      </x:c>
      <x:c r="AC16" s="36"/>
      <x:c r="AD16" s="36" t="str">
        <x:v>게임 기획서</x:v>
      </x:c>
      <x:c r="AE16" s="36"/>
      <x:c r="AF16" s="44" t="str">
        <x:v>2026-07-10</x:v>
      </x:c>
      <x:c r="AG16" s="36"/>
      <x:c r="AH16" s="54"/>
      <x:c r="AI16" s="54"/>
      <x:c r="AJ16" s="53" t="str">
        <x:v>착수 전</x:v>
      </x:c>
    </x:row>
    <x:row r="17" ht="42" customHeight="1">
      <x:c r="A17" s="36" t="str">
        <x:v>CHR-016</x:v>
      </x:c>
      <x:c r="B17" s="36" t="str">
        <x:v>캐릭터·커스터마이징·커머스</x:v>
      </x:c>
      <x:c r="C17" s="36" t="str">
        <x:v>플레이어 식별</x:v>
      </x:c>
      <x:c r="D17" s="36" t="str">
        <x:v>이름표 앵커</x:v>
      </x:c>
      <x:c r="E17" s="36" t="str">
        <x:v>이름표·상태 아이콘 앵커</x:v>
      </x:c>
      <x:c r="F17" s="36" t="str">
        <x:v>게임 규칙, 운영 요구사항과 대상 플랫폼 제약을 충족하도록 이름표·상태 아이콘 앵커 기능을 구현하고 검증한다.</x:v>
      </x:c>
      <x:c r="G17" s="36" t="str">
        <x:v>머리 형태, 동작, 카메라 거리와 관계없이 이름과 상태 아이콘이 LED 화면이나 등 메모를 가리지 않는 위치에 표시된다.</x:v>
      </x:c>
      <x:c r="H17" s="36" t="str">
        <x:v>구현, 코드 리뷰, 사양 갱신, 대상 QA 케이스 실행, 로그·텔레메트리 확인과 관련 플랫폼 검증을 완료하고 미해결 P0·P1 결함이 없다.</x:v>
      </x:c>
      <x:c r="I17" s="36" t="str">
        <x:v>MVP</x:v>
      </x:c>
      <x:c r="J17" s="36" t="str">
        <x:v>P1</x:v>
      </x:c>
      <x:c r="K17" s="36" t="str">
        <x:v>필수</x:v>
      </x:c>
      <x:c r="L17" s="36" t="str">
        <x:v>판독성</x:v>
      </x:c>
      <x:c r="M17" s="36" t="str">
        <x:v>MVP</x:v>
      </x:c>
      <x:c r="N17" s="36" t="str">
        <x:v>캐릭터·경제 시스템 팀</x:v>
      </x:c>
      <x:c r="O17" s="36" t="str">
        <x:v>미정</x:v>
      </x:c>
      <x:c r="P17" s="36" t="str">
        <x:v>미정</x:v>
      </x:c>
      <x:c r="Q17" s="36" t="str">
        <x:v>전체</x:v>
      </x:c>
      <x:c r="R17" s="36" t="str">
        <x:v>클라이언트 로컬</x:v>
      </x:c>
      <x:c r="S17" s="36" t="str">
        <x:v>없음</x:v>
      </x:c>
      <x:c r="T17" s="36" t="str">
        <x:v>M</x:v>
      </x:c>
      <x:c r="U17" s="36" t="str">
        <x:v>미착수</x:v>
      </x:c>
      <x:c r="V17" s="46" t="n">
        <x:f>IF(U17="완료",1,IF(U17="QA 진행 중",0.8,IF(U17="코드 리뷰",0.65,IF(U17="구현 중",0.4,IF(U17="사양 확인 중",0.1,IF(U17="차단",0.4,0))))))</x:f>
        <x:v>0</x:v>
      </x:c>
      <x:c r="W17" s="36" t="str">
        <x:v>미정</x:v>
      </x:c>
      <x:c r="X17" s="44"/>
      <x:c r="Y17" s="36" t="str">
        <x:v>CHR-002,UIX-007</x:v>
      </x:c>
      <x:c r="Z17" s="36" t="str">
        <x:v>중간</x:v>
      </x:c>
      <x:c r="AA17" s="36" t="str">
        <x:v>사용성</x:v>
      </x:c>
      <x:c r="AB17" s="36" t="str">
        <x:v>TC-CHR-016-01</x:v>
      </x:c>
      <x:c r="AC17" s="36"/>
      <x:c r="AD17" s="36" t="str">
        <x:v>게임 기획서</x:v>
      </x:c>
      <x:c r="AE17" s="36"/>
      <x:c r="AF17" s="44" t="str">
        <x:v>2026-07-10</x:v>
      </x:c>
      <x:c r="AG17" s="36"/>
      <x:c r="AH17" s="54"/>
      <x:c r="AI17" s="54"/>
      <x:c r="AJ17" s="53" t="str">
        <x:v>착수 전</x:v>
      </x:c>
    </x:row>
    <x:row r="18" ht="42" customHeight="1">
      <x:c r="A18" s="36" t="str">
        <x:v>CHR-017</x:v>
      </x:c>
      <x:c r="B18" s="36" t="str">
        <x:v>캐릭터·커스터마이징·커머스</x:v>
      </x:c>
      <x:c r="C18" s="36" t="str">
        <x:v>커스터마이징 UX</x:v>
      </x:c>
      <x:c r="D18" s="36" t="str">
        <x:v>미리보기</x:v>
      </x:c>
      <x:c r="E18" s="36" t="str">
        <x:v>커스터마이징 미리보기 환경</x:v>
      </x:c>
      <x:c r="F18" s="36" t="str">
        <x:v>게임 규칙, 운영 요구사항과 대상 플랫폼 제약을 충족하도록 커스터마이징 미리보기 환경 기능을 구현하고 검증한다.</x:v>
      </x:c>
      <x:c r="G18" s="36" t="str">
        <x:v>앞뒤 회전, LED, 본인 색상, 등 메모 더미, 조명 조건, 장비 조합을 확인하고 장착 전에 판독성 경고를 표시한다.</x:v>
      </x:c>
      <x:c r="H18" s="36" t="str">
        <x:v>구현, 코드 리뷰, 사양 갱신, 대상 QA 케이스 실행, 로그·텔레메트리 확인과 관련 플랫폼 검증을 완료하고 미해결 P0·P1 결함이 없다.</x:v>
      </x:c>
      <x:c r="I18" s="36" t="str">
        <x:v>출시 후</x:v>
      </x:c>
      <x:c r="J18" s="36" t="str">
        <x:v>P2</x:v>
      </x:c>
      <x:c r="K18" s="36" t="str">
        <x:v>조건부</x:v>
      </x:c>
      <x:c r="L18" s="36" t="str">
        <x:v>외형</x:v>
      </x:c>
      <x:c r="M18" s="36" t="str">
        <x:v>출시 후</x:v>
      </x:c>
      <x:c r="N18" s="36" t="str">
        <x:v>캐릭터·경제 시스템 팀</x:v>
      </x:c>
      <x:c r="O18" s="36" t="str">
        <x:v>미정</x:v>
      </x:c>
      <x:c r="P18" s="36" t="str">
        <x:v>미정</x:v>
      </x:c>
      <x:c r="Q18" s="36" t="str">
        <x:v>전체</x:v>
      </x:c>
      <x:c r="R18" s="36" t="str">
        <x:v>클라이언트 로컬</x:v>
      </x:c>
      <x:c r="S18" s="36" t="str">
        <x:v>없음</x:v>
      </x:c>
      <x:c r="T18" s="36" t="str">
        <x:v>L</x:v>
      </x:c>
      <x:c r="U18" s="36" t="str">
        <x:v>미착수</x:v>
      </x:c>
      <x:c r="V18" s="46" t="n">
        <x:f>IF(U18="완료",1,IF(U18="QA 진행 중",0.8,IF(U18="코드 리뷰",0.65,IF(U18="구현 중",0.4,IF(U18="사양 확인 중",0.1,IF(U18="차단",0.4,0))))))</x:f>
        <x:v>0</x:v>
      </x:c>
      <x:c r="W18" s="36" t="str">
        <x:v>미정</x:v>
      </x:c>
      <x:c r="X18" s="44"/>
      <x:c r="Y18" s="36" t="str">
        <x:v>CHR-012,UIX-002</x:v>
      </x:c>
      <x:c r="Z18" s="36" t="str">
        <x:v>중간</x:v>
      </x:c>
      <x:c r="AA18" s="36" t="str">
        <x:v>사용성</x:v>
      </x:c>
      <x:c r="AB18" s="36" t="str">
        <x:v>TC-CHR-017-01</x:v>
      </x:c>
      <x:c r="AC18" s="36"/>
      <x:c r="AD18" s="36" t="str">
        <x:v>게임 기획서</x:v>
      </x:c>
      <x:c r="AE18" s="36"/>
      <x:c r="AF18" s="44" t="str">
        <x:v>2026-07-10</x:v>
      </x:c>
      <x:c r="AG18" s="36"/>
      <x:c r="AH18" s="54"/>
      <x:c r="AI18" s="54"/>
      <x:c r="AJ18" s="53" t="str">
        <x:v>착수 전</x:v>
      </x:c>
    </x:row>
    <x:row r="19" ht="42" customHeight="1">
      <x:c r="A19" s="36" t="str">
        <x:v>CHR-018</x:v>
      </x:c>
      <x:c r="B19" s="36" t="str">
        <x:v>캐릭터·커스터마이징·커머스</x:v>
      </x:c>
      <x:c r="C19" s="36" t="str">
        <x:v>커스터마이징</x:v>
      </x:c>
      <x:c r="D19" s="36" t="str">
        <x:v>슬롯</x:v>
      </x:c>
      <x:c r="E19" s="36" t="str">
        <x:v>장착 슬롯·충돌 규칙</x:v>
      </x:c>
      <x:c r="F19" s="36" t="str">
        <x:v>게임 규칙, 운영 요구사항과 대상 플랫폼 제약을 충족하도록 장착 슬롯·충돌 규칙 기능을 구현하고 검증한다.</x:v>
      </x:c>
      <x:c r="G19" s="36" t="str">
        <x:v>헤드, 의상, 신발, 장갑, 모자, 액세서리, LED 표정·효과의 장착 슬롯과 상호 배타 관계를 데이터로 정의한다.</x:v>
      </x:c>
      <x:c r="H19" s="36" t="str">
        <x:v>구현, 코드 리뷰, 사양 갱신, 대상 QA 케이스 실행, 로그·텔레메트리 확인과 관련 플랫폼 검증을 완료하고 미해결 P0·P1 결함이 없다.</x:v>
      </x:c>
      <x:c r="I19" s="36" t="str">
        <x:v>출시 후</x:v>
      </x:c>
      <x:c r="J19" s="36" t="str">
        <x:v>P2</x:v>
      </x:c>
      <x:c r="K19" s="36" t="str">
        <x:v>조건부</x:v>
      </x:c>
      <x:c r="L19" s="36" t="str">
        <x:v>외형</x:v>
      </x:c>
      <x:c r="M19" s="36" t="str">
        <x:v>출시 후</x:v>
      </x:c>
      <x:c r="N19" s="36" t="str">
        <x:v>캐릭터·경제 시스템 팀</x:v>
      </x:c>
      <x:c r="O19" s="36" t="str">
        <x:v>미정</x:v>
      </x:c>
      <x:c r="P19" s="36" t="str">
        <x:v>미정</x:v>
      </x:c>
      <x:c r="Q19" s="36" t="str">
        <x:v>전체</x:v>
      </x:c>
      <x:c r="R19" s="36" t="str">
        <x:v>콘텐츠 데이터</x:v>
      </x:c>
      <x:c r="S19" s="36" t="str">
        <x:v>계정</x:v>
      </x:c>
      <x:c r="T19" s="36" t="str">
        <x:v>M</x:v>
      </x:c>
      <x:c r="U19" s="36" t="str">
        <x:v>미착수</x:v>
      </x:c>
      <x:c r="V19" s="46" t="n">
        <x:f>IF(U19="완료",1,IF(U19="QA 진행 중",0.8,IF(U19="코드 리뷰",0.65,IF(U19="구현 중",0.4,IF(U19="사양 확인 중",0.1,IF(U19="차단",0.4,0))))))</x:f>
        <x:v>0</x:v>
      </x:c>
      <x:c r="W19" s="36" t="str">
        <x:v>미정</x:v>
      </x:c>
      <x:c r="X19" s="44"/>
      <x:c r="Y19" s="36" t="str">
        <x:v>CHR-014</x:v>
      </x:c>
      <x:c r="Z19" s="36" t="str">
        <x:v>중간</x:v>
      </x:c>
      <x:c r="AA19" s="36" t="str">
        <x:v>기능</x:v>
      </x:c>
      <x:c r="AB19" s="36" t="str">
        <x:v>TC-CHR-018-01</x:v>
      </x:c>
      <x:c r="AC19" s="36"/>
      <x:c r="AD19" s="36" t="str">
        <x:v>게임 기획서</x:v>
      </x:c>
      <x:c r="AE19" s="36"/>
      <x:c r="AF19" s="44" t="str">
        <x:v>2026-07-10</x:v>
      </x:c>
      <x:c r="AG19" s="36"/>
      <x:c r="AH19" s="54"/>
      <x:c r="AI19" s="54"/>
      <x:c r="AJ19" s="53" t="str">
        <x:v>착수 전</x:v>
      </x:c>
    </x:row>
    <x:row r="20" ht="42" customHeight="1">
      <x:c r="A20" s="36" t="str">
        <x:v>CHR-019</x:v>
      </x:c>
      <x:c r="B20" s="36" t="str">
        <x:v>캐릭터·커스터마이징·커머스</x:v>
      </x:c>
      <x:c r="C20" s="36" t="str">
        <x:v>커스터마이징</x:v>
      </x:c>
      <x:c r="D20" s="36" t="str">
        <x:v>검증</x:v>
      </x:c>
      <x:c r="E20" s="36" t="str">
        <x:v>장비 조합 서버·클라이언트 검증</x:v>
      </x:c>
      <x:c r="F20" s="36" t="str">
        <x:v>게임 규칙, 운영 요구사항과 대상 플랫폼 제약을 충족하도록 장비 조합 서버·클라이언트 검증 기능을 구현하고 검증한다.</x:v>
      </x:c>
      <x:c r="G20" s="36" t="str">
        <x:v>미보유, 미지원, 지역 제한, 슬롯 충돌, 판독성 부적합 조합을 거부하고 안전한 기본 외형으로 복구한다.</x:v>
      </x:c>
      <x:c r="H20" s="36" t="str">
        <x:v>구현, 코드 리뷰, 사양 갱신, 대상 QA 케이스 실행, 로그·텔레메트리 확인과 관련 플랫폼 검증을 완료하고 미해결 P0·P1 결함이 없다.</x:v>
      </x:c>
      <x:c r="I20" s="36" t="str">
        <x:v>출시 후</x:v>
      </x:c>
      <x:c r="J20" s="36" t="str">
        <x:v>P1</x:v>
      </x:c>
      <x:c r="K20" s="36" t="str">
        <x:v>조건부</x:v>
      </x:c>
      <x:c r="L20" s="36" t="str">
        <x:v>보안</x:v>
      </x:c>
      <x:c r="M20" s="36" t="str">
        <x:v>출시 후</x:v>
      </x:c>
      <x:c r="N20" s="36" t="str">
        <x:v>캐릭터·경제 시스템 팀</x:v>
      </x:c>
      <x:c r="O20" s="36" t="str">
        <x:v>미정</x:v>
      </x:c>
      <x:c r="P20" s="36" t="str">
        <x:v>미정</x:v>
      </x:c>
      <x:c r="Q20" s="36" t="str">
        <x:v>전체</x:v>
      </x:c>
      <x:c r="R20" s="36" t="str">
        <x:v>서버 권한</x:v>
      </x:c>
      <x:c r="S20" s="36" t="str">
        <x:v>계정</x:v>
      </x:c>
      <x:c r="T20" s="36" t="str">
        <x:v>L</x:v>
      </x:c>
      <x:c r="U20" s="36" t="str">
        <x:v>미착수</x:v>
      </x:c>
      <x:c r="V20" s="46" t="n">
        <x:f>IF(U20="완료",1,IF(U20="QA 진행 중",0.8,IF(U20="코드 리뷰",0.65,IF(U20="구현 중",0.4,IF(U20="사양 확인 중",0.1,IF(U20="차단",0.4,0))))))</x:f>
        <x:v>0</x:v>
      </x:c>
      <x:c r="W20" s="36" t="str">
        <x:v>미정</x:v>
      </x:c>
      <x:c r="X20" s="44"/>
      <x:c r="Y20" s="36" t="str">
        <x:v>CHR-018,BED-004</x:v>
      </x:c>
      <x:c r="Z20" s="36" t="str">
        <x:v>중간</x:v>
      </x:c>
      <x:c r="AA20" s="36" t="str">
        <x:v>보안</x:v>
      </x:c>
      <x:c r="AB20" s="36" t="str">
        <x:v>TC-CHR-019-01</x:v>
      </x:c>
      <x:c r="AC20" s="36"/>
      <x:c r="AD20" s="36" t="str">
        <x:v>게임 기획서</x:v>
      </x:c>
      <x:c r="AE20" s="36"/>
      <x:c r="AF20" s="44" t="str">
        <x:v>2026-07-10</x:v>
      </x:c>
      <x:c r="AG20" s="36"/>
      <x:c r="AH20" s="54"/>
      <x:c r="AI20" s="54"/>
      <x:c r="AJ20" s="53" t="str">
        <x:v>착수 전</x:v>
      </x:c>
    </x:row>
    <x:row r="21" ht="42" customHeight="1">
      <x:c r="A21" s="36" t="str">
        <x:v>CHR-020</x:v>
      </x:c>
      <x:c r="B21" s="36" t="str">
        <x:v>캐릭터·커스터마이징·커머스</x:v>
      </x:c>
      <x:c r="C21" s="36" t="str">
        <x:v>커스터마이징</x:v>
      </x:c>
      <x:c r="D21" s="36" t="str">
        <x:v>장착 구성</x:v>
      </x:c>
      <x:c r="E21" s="36" t="str">
        <x:v>보유·장착·즐겨찾기 로드아웃</x:v>
      </x:c>
      <x:c r="F21" s="36" t="str">
        <x:v>게임 규칙, 운영 요구사항과 대상 플랫폼 제약을 충족하도록 보유·장착·즐겨찾기 로드아웃 기능을 구현하고 검증한다.</x:v>
      </x:c>
      <x:c r="G21" s="36" t="str">
        <x:v>복수 로드아웃을 저장·동기화하고 매치 시작 시 확정 스냅샷을 사용하며 진행 중에는 변경하지 않는다.</x:v>
      </x:c>
      <x:c r="H21" s="36" t="str">
        <x:v>구현, 코드 리뷰, 사양 갱신, 대상 QA 케이스 실행, 로그·텔레메트리 확인과 관련 플랫폼 검증을 완료하고 미해결 P0·P1 결함이 없다.</x:v>
      </x:c>
      <x:c r="I21" s="36" t="str">
        <x:v>출시 후</x:v>
      </x:c>
      <x:c r="J21" s="36" t="str">
        <x:v>P2</x:v>
      </x:c>
      <x:c r="K21" s="36" t="str">
        <x:v>조건부</x:v>
      </x:c>
      <x:c r="L21" s="36" t="str">
        <x:v>외형</x:v>
      </x:c>
      <x:c r="M21" s="36" t="str">
        <x:v>출시 후</x:v>
      </x:c>
      <x:c r="N21" s="36" t="str">
        <x:v>캐릭터·경제 시스템 팀</x:v>
      </x:c>
      <x:c r="O21" s="36" t="str">
        <x:v>미정</x:v>
      </x:c>
      <x:c r="P21" s="36" t="str">
        <x:v>미정</x:v>
      </x:c>
      <x:c r="Q21" s="36" t="str">
        <x:v>전체</x:v>
      </x:c>
      <x:c r="R21" s="36" t="str">
        <x:v>백엔드 권한</x:v>
      </x:c>
      <x:c r="S21" s="36" t="str">
        <x:v>계정</x:v>
      </x:c>
      <x:c r="T21" s="36" t="str">
        <x:v>L</x:v>
      </x:c>
      <x:c r="U21" s="36" t="str">
        <x:v>미착수</x:v>
      </x:c>
      <x:c r="V21" s="46" t="n">
        <x:f>IF(U21="완료",1,IF(U21="QA 진행 중",0.8,IF(U21="코드 리뷰",0.65,IF(U21="구현 중",0.4,IF(U21="사양 확인 중",0.1,IF(U21="차단",0.4,0))))))</x:f>
        <x:v>0</x:v>
      </x:c>
      <x:c r="W21" s="36" t="str">
        <x:v>미정</x:v>
      </x:c>
      <x:c r="X21" s="44"/>
      <x:c r="Y21" s="36" t="str">
        <x:v>CHR-019,BED-004</x:v>
      </x:c>
      <x:c r="Z21" s="36" t="str">
        <x:v>중간</x:v>
      </x:c>
      <x:c r="AA21" s="36" t="str">
        <x:v>통합</x:v>
      </x:c>
      <x:c r="AB21" s="36" t="str">
        <x:v>TC-CHR-020-01</x:v>
      </x:c>
      <x:c r="AC21" s="36"/>
      <x:c r="AD21" s="36" t="str">
        <x:v>게임 기획서</x:v>
      </x:c>
      <x:c r="AE21" s="36"/>
      <x:c r="AF21" s="44" t="str">
        <x:v>2026-07-10</x:v>
      </x:c>
      <x:c r="AG21" s="36"/>
      <x:c r="AH21" s="54"/>
      <x:c r="AI21" s="54"/>
      <x:c r="AJ21" s="53" t="str">
        <x:v>착수 전</x:v>
      </x:c>
    </x:row>
    <x:row r="22" ht="42" customHeight="1">
      <x:c r="A22" s="36" t="str">
        <x:v>CHR-021</x:v>
      </x:c>
      <x:c r="B22" s="36" t="str">
        <x:v>캐릭터·커스터마이징·커머스</x:v>
      </x:c>
      <x:c r="C22" s="36" t="str">
        <x:v>콘텐츠 파이프라인</x:v>
      </x:c>
      <x:c r="D22" s="36" t="str">
        <x:v>에셋 카탈로그</x:v>
      </x:c>
      <x:c r="E22" s="36" t="str">
        <x:v>외형 에셋 대장·명명·버전 관리</x:v>
      </x:c>
      <x:c r="F22" s="36" t="str">
        <x:v>게임 규칙, 운영 요구사항과 대상 플랫폼 제약을 충족하도록 외형 에셋 대장·명명·버전 관리 기능을 구현하고 검증한다.</x:v>
      </x:c>
      <x:c r="G22" s="36" t="str">
        <x:v>SKU·에셋 ID, 범주, 지원 리그, LOD, 썸네일, 지역, 희귀도, 공개 기간, 판독성 승인을 한 곳에서 관리한다.</x:v>
      </x:c>
      <x:c r="H22" s="36" t="str">
        <x:v>구현, 코드 리뷰, 사양 갱신, 대상 QA 케이스 실행, 로그·텔레메트리 확인과 관련 플랫폼 검증을 완료하고 미해결 P0·P1 결함이 없다.</x:v>
      </x:c>
      <x:c r="I22" s="36" t="str">
        <x:v>출시 후</x:v>
      </x:c>
      <x:c r="J22" s="36" t="str">
        <x:v>P1</x:v>
      </x:c>
      <x:c r="K22" s="36" t="str">
        <x:v>조건부</x:v>
      </x:c>
      <x:c r="L22" s="36" t="str">
        <x:v>제작 기반</x:v>
      </x:c>
      <x:c r="M22" s="36" t="str">
        <x:v>출시 후</x:v>
      </x:c>
      <x:c r="N22" s="36" t="str">
        <x:v>캐릭터·경제 시스템 팀</x:v>
      </x:c>
      <x:c r="O22" s="36" t="str">
        <x:v>미정</x:v>
      </x:c>
      <x:c r="P22" s="36" t="str">
        <x:v>미정</x:v>
      </x:c>
      <x:c r="Q22" s="36" t="str">
        <x:v>도구</x:v>
      </x:c>
      <x:c r="R22" s="36" t="str">
        <x:v>콘텐츠 데이터</x:v>
      </x:c>
      <x:c r="S22" s="36" t="str">
        <x:v>백엔드</x:v>
      </x:c>
      <x:c r="T22" s="36" t="str">
        <x:v>L</x:v>
      </x:c>
      <x:c r="U22" s="36" t="str">
        <x:v>미착수</x:v>
      </x:c>
      <x:c r="V22" s="46" t="n">
        <x:f>IF(U22="완료",1,IF(U22="QA 진행 중",0.8,IF(U22="코드 리뷰",0.65,IF(U22="구현 중",0.4,IF(U22="사양 확인 중",0.1,IF(U22="차단",0.4,0))))))</x:f>
        <x:v>0</x:v>
      </x:c>
      <x:c r="W22" s="36" t="str">
        <x:v>미정</x:v>
      </x:c>
      <x:c r="X22" s="44"/>
      <x:c r="Y22" s="36" t="str">
        <x:v>CHR-018,BED-015</x:v>
      </x:c>
      <x:c r="Z22" s="36" t="str">
        <x:v>중간</x:v>
      </x:c>
      <x:c r="AA22" s="36" t="str">
        <x:v>운영</x:v>
      </x:c>
      <x:c r="AB22" s="36" t="str">
        <x:v>TC-CHR-021-01</x:v>
      </x:c>
      <x:c r="AC22" s="36"/>
      <x:c r="AD22" s="36" t="str">
        <x:v>게임 기획서</x:v>
      </x:c>
      <x:c r="AE22" s="36"/>
      <x:c r="AF22" s="44" t="str">
        <x:v>2026-07-10</x:v>
      </x:c>
      <x:c r="AG22" s="36"/>
      <x:c r="AH22" s="54"/>
      <x:c r="AI22" s="54"/>
      <x:c r="AJ22" s="53" t="str">
        <x:v>착수 전</x:v>
      </x:c>
    </x:row>
    <x:row r="23" ht="42" customHeight="1">
      <x:c r="A23" s="36" t="str">
        <x:v>CHR-022</x:v>
      </x:c>
      <x:c r="B23" s="36" t="str">
        <x:v>캐릭터·커스터마이징·커머스</x:v>
      </x:c>
      <x:c r="C23" s="36" t="str">
        <x:v>경제 시스템</x:v>
      </x:c>
      <x:c r="D23" s="36" t="str">
        <x:v>희귀도</x:v>
      </x:c>
      <x:c r="E23" s="36" t="str">
        <x:v>외형 아이템 희귀도 정의</x:v>
      </x:c>
      <x:c r="F23" s="36" t="str">
        <x:v>게임 규칙, 운영 요구사항과 대상 플랫폼 제약을 충족하도록 외형 아이템 희귀도 정의 기능을 구현하고 검증한다.</x:v>
      </x:c>
      <x:c r="G23" s="36" t="str">
        <x:v>Common, Rare, Epic, Legendary, Event 등급을 외형 희소성으로만 사용하고 충돌 크기, 속도, 시인성 등 게임 성능 차이를 만들지 않는다.</x:v>
      </x:c>
      <x:c r="H23" s="36" t="str">
        <x:v>구현, 코드 리뷰, 사양 갱신, 대상 QA 케이스 실행, 로그·텔레메트리 확인과 관련 플랫폼 검증을 완료하고 미해결 P0·P1 결함이 없다.</x:v>
      </x:c>
      <x:c r="I23" s="36" t="str">
        <x:v>출시 후</x:v>
      </x:c>
      <x:c r="J23" s="36" t="str">
        <x:v>P3</x:v>
      </x:c>
      <x:c r="K23" s="36" t="str">
        <x:v>조건부</x:v>
      </x:c>
      <x:c r="L23" s="36" t="str">
        <x:v>커머스</x:v>
      </x:c>
      <x:c r="M23" s="36" t="str">
        <x:v>출시 후</x:v>
      </x:c>
      <x:c r="N23" s="36" t="str">
        <x:v>캐릭터·경제 시스템 팀</x:v>
      </x:c>
      <x:c r="O23" s="36" t="str">
        <x:v>미정</x:v>
      </x:c>
      <x:c r="P23" s="36" t="str">
        <x:v>미정</x:v>
      </x:c>
      <x:c r="Q23" s="36" t="str">
        <x:v>전체</x:v>
      </x:c>
      <x:c r="R23" s="36" t="str">
        <x:v>콘텐츠 데이터</x:v>
      </x:c>
      <x:c r="S23" s="36" t="str">
        <x:v>백엔드</x:v>
      </x:c>
      <x:c r="T23" s="36" t="str">
        <x:v>S</x:v>
      </x:c>
      <x:c r="U23" s="36" t="str">
        <x:v>미착수</x:v>
      </x:c>
      <x:c r="V23" s="46" t="n">
        <x:f>IF(U23="완료",1,IF(U23="QA 진행 중",0.8,IF(U23="코드 리뷰",0.65,IF(U23="구현 중",0.4,IF(U23="사양 확인 중",0.1,IF(U23="차단",0.4,0))))))</x:f>
        <x:v>0</x:v>
      </x:c>
      <x:c r="W23" s="36" t="str">
        <x:v>미정</x:v>
      </x:c>
      <x:c r="X23" s="44"/>
      <x:c r="Y23" s="36" t="str">
        <x:v>CHR-021</x:v>
      </x:c>
      <x:c r="Z23" s="36" t="str">
        <x:v>중간</x:v>
      </x:c>
      <x:c r="AA23" s="36" t="str">
        <x:v>밸런스</x:v>
      </x:c>
      <x:c r="AB23" s="36" t="str">
        <x:v>TC-CHR-022-01</x:v>
      </x:c>
      <x:c r="AC23" s="36"/>
      <x:c r="AD23" s="36" t="str">
        <x:v>게임 기획서</x:v>
      </x:c>
      <x:c r="AE23" s="36"/>
      <x:c r="AF23" s="44" t="str">
        <x:v>2026-07-10</x:v>
      </x:c>
      <x:c r="AG23" s="36"/>
      <x:c r="AH23" s="54"/>
      <x:c r="AI23" s="54"/>
      <x:c r="AJ23" s="53" t="str">
        <x:v>착수 전</x:v>
      </x:c>
    </x:row>
    <x:row r="24" ht="42" customHeight="1">
      <x:c r="A24" s="36" t="str">
        <x:v>CHR-023</x:v>
      </x:c>
      <x:c r="B24" s="36" t="str">
        <x:v>캐릭터·커스터마이징·커머스</x:v>
      </x:c>
      <x:c r="C24" s="36" t="str">
        <x:v>상점 UX</x:v>
      </x:c>
      <x:c r="D24" s="36" t="str">
        <x:v>카탈로그</x:v>
      </x:c>
      <x:c r="E24" s="36" t="str">
        <x:v>일반·시즌·이벤트 상점 표시</x:v>
      </x:c>
      <x:c r="F24" s="36" t="str">
        <x:v>게임 규칙, 운영 요구사항과 대상 플랫폼 제약을 충족하도록 일반·시즌·이벤트 상점 표시 기능을 구현하고 검증한다.</x:v>
      </x:c>
      <x:c r="G24" s="36" t="str">
        <x:v>가격, 보유 여부, 장착 가능 여부, 판매 기간, 미리보기, 환불 정책을 표시하고 미성년자, 지역, 플랫폼 제한을 반영한다.</x:v>
      </x:c>
      <x:c r="H24" s="36" t="str">
        <x:v>구현, 코드 리뷰, 사양 갱신, 대상 QA 케이스 실행, 로그·텔레메트리 확인과 관련 플랫폼 검증을 완료하고 미해결 P0·P1 결함이 없다.</x:v>
      </x:c>
      <x:c r="I24" s="36" t="str">
        <x:v>출시 후</x:v>
      </x:c>
      <x:c r="J24" s="36" t="str">
        <x:v>P3</x:v>
      </x:c>
      <x:c r="K24" s="36" t="str">
        <x:v>조건부</x:v>
      </x:c>
      <x:c r="L24" s="36" t="str">
        <x:v>커머스</x:v>
      </x:c>
      <x:c r="M24" s="36" t="str">
        <x:v>출시 후</x:v>
      </x:c>
      <x:c r="N24" s="36" t="str">
        <x:v>캐릭터·경제 시스템 팀</x:v>
      </x:c>
      <x:c r="O24" s="36" t="str">
        <x:v>미정</x:v>
      </x:c>
      <x:c r="P24" s="36" t="str">
        <x:v>미정</x:v>
      </x:c>
      <x:c r="Q24" s="36" t="str">
        <x:v>전체</x:v>
      </x:c>
      <x:c r="R24" s="36" t="str">
        <x:v>백엔드 권한</x:v>
      </x:c>
      <x:c r="S24" s="36" t="str">
        <x:v>백엔드</x:v>
      </x:c>
      <x:c r="T24" s="36" t="str">
        <x:v>XL</x:v>
      </x:c>
      <x:c r="U24" s="36" t="str">
        <x:v>미착수</x:v>
      </x:c>
      <x:c r="V24" s="46" t="n">
        <x:f>IF(U24="완료",1,IF(U24="QA 진행 중",0.8,IF(U24="코드 리뷰",0.65,IF(U24="구현 중",0.4,IF(U24="사양 확인 중",0.1,IF(U24="차단",0.4,0))))))</x:f>
        <x:v>0</x:v>
      </x:c>
      <x:c r="W24" s="36" t="str">
        <x:v>미정</x:v>
      </x:c>
      <x:c r="X24" s="44"/>
      <x:c r="Y24" s="36" t="str">
        <x:v>CHR-017,CHR-021,BED-005</x:v>
      </x:c>
      <x:c r="Z24" s="36" t="str">
        <x:v>높음</x:v>
      </x:c>
      <x:c r="AA24" s="36" t="str">
        <x:v>운영</x:v>
      </x:c>
      <x:c r="AB24" s="36" t="str">
        <x:v>TC-CHR-023-01</x:v>
      </x:c>
      <x:c r="AC24" s="36"/>
      <x:c r="AD24" s="36" t="str">
        <x:v>게임 기획서</x:v>
      </x:c>
      <x:c r="AE24" s="36"/>
      <x:c r="AF24" s="44" t="str">
        <x:v>2026-07-10</x:v>
      </x:c>
      <x:c r="AG24" s="36"/>
      <x:c r="AH24" s="54"/>
      <x:c r="AI24" s="54"/>
      <x:c r="AJ24" s="53" t="str">
        <x:v>착수 전</x:v>
      </x:c>
    </x:row>
    <x:row r="25" ht="42" customHeight="1">
      <x:c r="A25" s="36" t="str">
        <x:v>CHR-024</x:v>
      </x:c>
      <x:c r="B25" s="36" t="str">
        <x:v>캐릭터·커스터마이징·커머스</x:v>
      </x:c>
      <x:c r="C25" s="36" t="str">
        <x:v>상점 UX</x:v>
      </x:c>
      <x:c r="D25" s="36" t="str">
        <x:v>랜덤 상자 설정</x:v>
      </x:c>
      <x:c r="E25" s="36" t="str">
        <x:v>랜덤 상자 구성·확률·중복 규칙</x:v>
      </x:c>
      <x:c r="F25" s="36" t="str">
        <x:v>게임 규칙, 운영 요구사항과 대상 플랫폼 제약을 충족하도록 랜덤 상자 구성·확률·중복 규칙 기능을 구현하고 검증한다.</x:v>
      </x:c>
      <x:c r="G25" s="36" t="str">
        <x:v>제공 아이템, 가중치, 확률 표시, 보장 여부, 중복 변환, 대상 지역·연령을 버전 있는 데이터로 관리하고 공개 전 승인을 필수로 한다.</x:v>
      </x:c>
      <x:c r="H25" s="36" t="str">
        <x:v>구현, 코드 리뷰, 사양 갱신, 대상 QA 케이스 실행, 로그·텔레메트리 확인과 관련 플랫폼 검증을 완료하고 미해결 P0·P1 결함이 없다.</x:v>
      </x:c>
      <x:c r="I25" s="36" t="str">
        <x:v>출시 후</x:v>
      </x:c>
      <x:c r="J25" s="36" t="str">
        <x:v>P3</x:v>
      </x:c>
      <x:c r="K25" s="36" t="str">
        <x:v>조건부</x:v>
      </x:c>
      <x:c r="L25" s="36" t="str">
        <x:v>법무</x:v>
      </x:c>
      <x:c r="M25" s="36" t="str">
        <x:v>출시 후</x:v>
      </x:c>
      <x:c r="N25" s="36" t="str">
        <x:v>캐릭터·경제 시스템 팀</x:v>
      </x:c>
      <x:c r="O25" s="36" t="str">
        <x:v>미정</x:v>
      </x:c>
      <x:c r="P25" s="36" t="str">
        <x:v>미정</x:v>
      </x:c>
      <x:c r="Q25" s="36" t="str">
        <x:v>전체</x:v>
      </x:c>
      <x:c r="R25" s="36" t="str">
        <x:v>백엔드 권한</x:v>
      </x:c>
      <x:c r="S25" s="36" t="str">
        <x:v>백엔드</x:v>
      </x:c>
      <x:c r="T25" s="36" t="str">
        <x:v>L</x:v>
      </x:c>
      <x:c r="U25" s="36" t="str">
        <x:v>미착수</x:v>
      </x:c>
      <x:c r="V25" s="46" t="n">
        <x:f>IF(U25="완료",1,IF(U25="QA 진행 중",0.8,IF(U25="코드 리뷰",0.65,IF(U25="구현 중",0.4,IF(U25="사양 확인 중",0.1,IF(U25="차단",0.4,0))))))</x:f>
        <x:v>0</x:v>
      </x:c>
      <x:c r="W25" s="36" t="str">
        <x:v>미정</x:v>
      </x:c>
      <x:c r="X25" s="44"/>
      <x:c r="Y25" s="36" t="str">
        <x:v>CHR-021,CHR-022,BED-029,BED-030</x:v>
      </x:c>
      <x:c r="Z25" s="36" t="str">
        <x:v>높음</x:v>
      </x:c>
      <x:c r="AA25" s="36" t="str">
        <x:v>운영</x:v>
      </x:c>
      <x:c r="AB25" s="36" t="str">
        <x:v>TC-CHR-024-01</x:v>
      </x:c>
      <x:c r="AC25" s="36"/>
      <x:c r="AD25" s="36" t="str">
        <x:v>게임 기획서</x:v>
      </x:c>
      <x:c r="AE25" s="36"/>
      <x:c r="AF25" s="44" t="str">
        <x:v>2026-07-10</x:v>
      </x:c>
      <x:c r="AG25" s="36"/>
      <x:c r="AH25" s="54"/>
      <x:c r="AI25" s="54"/>
      <x:c r="AJ25" s="53" t="str">
        <x:v>착수 전</x:v>
      </x:c>
    </x:row>
    <x:row r="26" ht="42" customHeight="1">
      <x:c r="A26" s="36" t="str">
        <x:v>CHR-025</x:v>
      </x:c>
      <x:c r="B26" s="36" t="str">
        <x:v>캐릭터·커스터마이징·커머스</x:v>
      </x:c>
      <x:c r="C26" s="36" t="str">
        <x:v>경제 시스템</x:v>
      </x:c>
      <x:c r="D26" s="36" t="str">
        <x:v>중복 아이템 변환</x:v>
      </x:c>
      <x:c r="E26" s="36" t="str">
        <x:v>중복 아이템 보상 변환</x:v>
      </x:c>
      <x:c r="F26" s="36" t="str">
        <x:v>게임 규칙, 운영 요구사항과 대상 플랫폼 제약을 충족하도록 중복 아이템 보상 변환 기능을 구현하고 검증한다.</x:v>
      </x:c>
      <x:c r="G26" s="36" t="str">
        <x:v>중복 획득 시 변환 대상, 수량, 상한, 예외를 서버에서 결정하고 거래 이력과 사용자 표시가 일치한다.</x:v>
      </x:c>
      <x:c r="H26" s="36" t="str">
        <x:v>구현, 코드 리뷰, 사양 갱신, 대상 QA 케이스 실행, 로그·텔레메트리 확인과 관련 플랫폼 검증을 완료하고 미해결 P0·P1 결함이 없다.</x:v>
      </x:c>
      <x:c r="I26" s="36" t="str">
        <x:v>출시 후</x:v>
      </x:c>
      <x:c r="J26" s="36" t="str">
        <x:v>P3</x:v>
      </x:c>
      <x:c r="K26" s="36" t="str">
        <x:v>조건부</x:v>
      </x:c>
      <x:c r="L26" s="36" t="str">
        <x:v>커머스</x:v>
      </x:c>
      <x:c r="M26" s="36" t="str">
        <x:v>출시 후</x:v>
      </x:c>
      <x:c r="N26" s="36" t="str">
        <x:v>캐릭터·경제 시스템 팀</x:v>
      </x:c>
      <x:c r="O26" s="36" t="str">
        <x:v>미정</x:v>
      </x:c>
      <x:c r="P26" s="36" t="str">
        <x:v>미정</x:v>
      </x:c>
      <x:c r="Q26" s="36" t="str">
        <x:v>백엔드</x:v>
      </x:c>
      <x:c r="R26" s="36" t="str">
        <x:v>백엔드 권한</x:v>
      </x:c>
      <x:c r="S26" s="36" t="str">
        <x:v>계정</x:v>
      </x:c>
      <x:c r="T26" s="36" t="str">
        <x:v>M</x:v>
      </x:c>
      <x:c r="U26" s="36" t="str">
        <x:v>미착수</x:v>
      </x:c>
      <x:c r="V26" s="46" t="n">
        <x:f>IF(U26="완료",1,IF(U26="QA 진행 중",0.8,IF(U26="코드 리뷰",0.65,IF(U26="구현 중",0.4,IF(U26="사양 확인 중",0.1,IF(U26="차단",0.4,0))))))</x:f>
        <x:v>0</x:v>
      </x:c>
      <x:c r="W26" s="36" t="str">
        <x:v>미정</x:v>
      </x:c>
      <x:c r="X26" s="44"/>
      <x:c r="Y26" s="36" t="str">
        <x:v>CHR-024,BED-029</x:v>
      </x:c>
      <x:c r="Z26" s="36" t="str">
        <x:v>높음</x:v>
      </x:c>
      <x:c r="AA26" s="36" t="str">
        <x:v>보안</x:v>
      </x:c>
      <x:c r="AB26" s="36" t="str">
        <x:v>TC-CHR-025-01</x:v>
      </x:c>
      <x:c r="AC26" s="36"/>
      <x:c r="AD26" s="36" t="str">
        <x:v>게임 기획서</x:v>
      </x:c>
      <x:c r="AE26" s="36"/>
      <x:c r="AF26" s="44" t="str">
        <x:v>2026-07-10</x:v>
      </x:c>
      <x:c r="AG26" s="36"/>
      <x:c r="AH26" s="54"/>
      <x:c r="AI26" s="54"/>
      <x:c r="AJ26" s="53" t="str">
        <x:v>착수 전</x:v>
      </x:c>
    </x:row>
    <x:row r="27" ht="42" customHeight="1">
      <x:c r="A27" s="36" t="str">
        <x:v>CHR-026</x:v>
      </x:c>
      <x:c r="B27" s="36" t="str">
        <x:v>캐릭터·커스터마이징·커머스</x:v>
      </x:c>
      <x:c r="C27" s="36" t="str">
        <x:v>라이브 콘텐츠</x:v>
      </x:c>
      <x:c r="D27" s="36" t="str">
        <x:v>시즌 에셋</x:v>
      </x:c>
      <x:c r="E27" s="36" t="str">
        <x:v>시즌·이벤트 외형 제작 템플릿</x:v>
      </x:c>
      <x:c r="F27" s="36" t="str">
        <x:v>게임 규칙, 운영 요구사항과 대상 플랫폼 제약을 충족하도록 시즌·이벤트 외형 제작 템플릿 기능을 구현하고 검증한다.</x:v>
      </x:c>
      <x:c r="G27" s="36" t="str">
        <x:v>이벤트 아이템도 동일한 판독성, LOD, 플랫폼 성능 예산, 지역 표시, 공개 종료 검사를 통과한다.</x:v>
      </x:c>
      <x:c r="H27" s="36" t="str">
        <x:v>구현, 코드 리뷰, 사양 갱신, 대상 QA 케이스 실행, 로그·텔레메트리 확인과 관련 플랫폼 검증을 완료하고 미해결 P0·P1 결함이 없다.</x:v>
      </x:c>
      <x:c r="I27" s="36" t="str">
        <x:v>출시 후</x:v>
      </x:c>
      <x:c r="J27" s="36" t="str">
        <x:v>P3</x:v>
      </x:c>
      <x:c r="K27" s="36" t="str">
        <x:v>조건부</x:v>
      </x:c>
      <x:c r="L27" s="36" t="str">
        <x:v>제작 기반</x:v>
      </x:c>
      <x:c r="M27" s="36" t="str">
        <x:v>출시 후</x:v>
      </x:c>
      <x:c r="N27" s="36" t="str">
        <x:v>캐릭터·경제 시스템 팀</x:v>
      </x:c>
      <x:c r="O27" s="36" t="str">
        <x:v>미정</x:v>
      </x:c>
      <x:c r="P27" s="36" t="str">
        <x:v>미정</x:v>
      </x:c>
      <x:c r="Q27" s="36" t="str">
        <x:v>도구</x:v>
      </x:c>
      <x:c r="R27" s="36" t="str">
        <x:v>콘텐츠 데이터</x:v>
      </x:c>
      <x:c r="S27" s="36" t="str">
        <x:v>없음</x:v>
      </x:c>
      <x:c r="T27" s="36" t="str">
        <x:v>M</x:v>
      </x:c>
      <x:c r="U27" s="36" t="str">
        <x:v>미착수</x:v>
      </x:c>
      <x:c r="V27" s="46" t="n">
        <x:f>IF(U27="완료",1,IF(U27="QA 진행 중",0.8,IF(U27="코드 리뷰",0.65,IF(U27="구현 중",0.4,IF(U27="사양 확인 중",0.1,IF(U27="차단",0.4,0))))))</x:f>
        <x:v>0</x:v>
      </x:c>
      <x:c r="W27" s="36" t="str">
        <x:v>미정</x:v>
      </x:c>
      <x:c r="X27" s="44"/>
      <x:c r="Y27" s="36" t="str">
        <x:v>CHR-014,CHR-021</x:v>
      </x:c>
      <x:c r="Z27" s="36" t="str">
        <x:v>중간</x:v>
      </x:c>
      <x:c r="AA27" s="36" t="str">
        <x:v>호환성</x:v>
      </x:c>
      <x:c r="AB27" s="36" t="str">
        <x:v>TC-CHR-026-01</x:v>
      </x:c>
      <x:c r="AC27" s="36"/>
      <x:c r="AD27" s="36" t="str">
        <x:v>게임 기획서</x:v>
      </x:c>
      <x:c r="AE27" s="36"/>
      <x:c r="AF27" s="44" t="str">
        <x:v>2026-07-10</x:v>
      </x:c>
      <x:c r="AG27" s="36"/>
      <x:c r="AH27" s="54"/>
      <x:c r="AI27" s="54"/>
      <x:c r="AJ27" s="53" t="str">
        <x:v>착수 전</x:v>
      </x:c>
    </x:row>
    <x:row r="28" ht="42" customHeight="1">
      <x:c r="A28" s="36" t="str">
        <x:v>CHR-027</x:v>
      </x:c>
      <x:c r="B28" s="36" t="str">
        <x:v>캐릭터·커스터마이징·커머스</x:v>
      </x:c>
      <x:c r="C28" s="36" t="str">
        <x:v>성능</x:v>
      </x:c>
      <x:c r="D28" s="36" t="str">
        <x:v>LOD·메모리</x:v>
      </x:c>
      <x:c r="E28" s="36" t="str">
        <x:v>캐릭터·LED·메모 LOD·메모리 예산</x:v>
      </x:c>
      <x:c r="F28" s="36" t="str">
        <x:v>게임 규칙, 운영 요구사항과 대상 플랫폼 제약을 충족하도록 캐릭터·LED·메모 LOD·메모리 예산 기능을 구현하고 검증한다.</x:v>
      </x:c>
      <x:c r="G28" s="36" t="str">
        <x:v>6명, 최대 메모, LED 효과, 기본 외형 조건에서 목표 FPS와 메모리 예산을 충족하고 낮은 품질 설정에서도 중요 정보를 제거하지 않는다.</x:v>
      </x:c>
      <x:c r="H28" s="36" t="str">
        <x:v>구현, 코드 리뷰, 사양 갱신, 대상 QA 케이스 실행, 로그·텔레메트리 확인과 관련 플랫폼 검증을 완료하고 미해결 P0·P1 결함이 없다.</x:v>
      </x:c>
      <x:c r="I28" s="36" t="str">
        <x:v>릴리스 후보</x:v>
      </x:c>
      <x:c r="J28" s="36" t="str">
        <x:v>P0</x:v>
      </x:c>
      <x:c r="K28" s="36" t="str">
        <x:v>필수</x:v>
      </x:c>
      <x:c r="L28" s="36" t="str">
        <x:v>성능</x:v>
      </x:c>
      <x:c r="M28" s="36" t="str">
        <x:v>릴리스 후보</x:v>
      </x:c>
      <x:c r="N28" s="36" t="str">
        <x:v>캐릭터·경제 시스템 팀</x:v>
      </x:c>
      <x:c r="O28" s="36" t="str">
        <x:v>미정</x:v>
      </x:c>
      <x:c r="P28" s="36" t="str">
        <x:v>미정</x:v>
      </x:c>
      <x:c r="Q28" s="36" t="str">
        <x:v>전체</x:v>
      </x:c>
      <x:c r="R28" s="36" t="str">
        <x:v>클라이언트 로컬</x:v>
      </x:c>
      <x:c r="S28" s="36" t="str">
        <x:v>없음</x:v>
      </x:c>
      <x:c r="T28" s="36" t="str">
        <x:v>L</x:v>
      </x:c>
      <x:c r="U28" s="36" t="str">
        <x:v>미착수</x:v>
      </x:c>
      <x:c r="V28" s="46" t="n">
        <x:f>IF(U28="완료",1,IF(U28="QA 진행 중",0.8,IF(U28="코드 리뷰",0.65,IF(U28="구현 중",0.4,IF(U28="사양 확인 중",0.1,IF(U28="차단",0.4,0))))))</x:f>
        <x:v>0</x:v>
      </x:c>
      <x:c r="W28" s="36" t="str">
        <x:v>미정</x:v>
      </x:c>
      <x:c r="X28" s="44"/>
      <x:c r="Y28" s="36" t="str">
        <x:v>CHR-004,CHR-010,CHR-021</x:v>
      </x:c>
      <x:c r="Z28" s="36" t="str">
        <x:v>중간</x:v>
      </x:c>
      <x:c r="AA28" s="36" t="str">
        <x:v>성능</x:v>
      </x:c>
      <x:c r="AB28" s="36" t="str">
        <x:v>TC-CHR-027-01, TC-CHR-027-02</x:v>
      </x:c>
      <x:c r="AC28" s="36"/>
      <x:c r="AD28" s="36" t="str">
        <x:v>게임 기획서</x:v>
      </x:c>
      <x:c r="AE28" s="36"/>
      <x:c r="AF28" s="44" t="str">
        <x:v>2026-07-10</x:v>
      </x:c>
      <x:c r="AG28" s="36"/>
      <x:c r="AH28" s="54"/>
      <x:c r="AI28" s="54"/>
      <x:c r="AJ28" s="53" t="str">
        <x:v>착수 전</x:v>
      </x:c>
    </x:row>
    <x:row r="29" ht="42" customHeight="1">
      <x:c r="A29" s="36" t="str">
        <x:v>CHR-028</x:v>
      </x:c>
      <x:c r="B29" s="36" t="str">
        <x:v>캐릭터·커스터마이징·커머스</x:v>
      </x:c>
      <x:c r="C29" s="36" t="str">
        <x:v>품질</x:v>
      </x:c>
      <x:c r="D29" s="36" t="str">
        <x:v>판독성 검토</x:v>
      </x:c>
      <x:c r="E29" s="36" t="str">
        <x:v>외형 판독성 리뷰 게이트</x:v>
      </x:c>
      <x:c r="F29" s="36" t="str">
        <x:v>게임 규칙, 운영 요구사항과 대상 플랫폼 제약을 충족하도록 외형 판독성 리뷰 게이트 기능을 구현하고 검증한다.</x:v>
      </x:c>
      <x:c r="G29" s="36" t="str">
        <x:v>앞·뒤, 거리, 조명, 색각, 동작, 최대 메모 조건의 시험 이미지 또는 영상을 제출하고 UI/UX, 게임 디자인, QA 승인을 받는다.</x:v>
      </x:c>
      <x:c r="H29" s="36" t="str">
        <x:v>구현, 코드 리뷰, 사양 갱신, 대상 QA 케이스 실행, 로그·텔레메트리 확인과 관련 플랫폼 검증을 완료하고 미해결 P0·P1 결함이 없다.</x:v>
      </x:c>
      <x:c r="I29" s="36" t="str">
        <x:v>MVP</x:v>
      </x:c>
      <x:c r="J29" s="36" t="str">
        <x:v>P0</x:v>
      </x:c>
      <x:c r="K29" s="36" t="str">
        <x:v>필수</x:v>
      </x:c>
      <x:c r="L29" s="36" t="str">
        <x:v>판독성</x:v>
      </x:c>
      <x:c r="M29" s="36" t="str">
        <x:v>MVP</x:v>
      </x:c>
      <x:c r="N29" s="36" t="str">
        <x:v>캐릭터·경제 시스템 팀</x:v>
      </x:c>
      <x:c r="O29" s="36" t="str">
        <x:v>미정</x:v>
      </x:c>
      <x:c r="P29" s="36" t="str">
        <x:v>미정</x:v>
      </x:c>
      <x:c r="Q29" s="36" t="str">
        <x:v>도구</x:v>
      </x:c>
      <x:c r="R29" s="36" t="str">
        <x:v>해당 없음</x:v>
      </x:c>
      <x:c r="S29" s="36" t="str">
        <x:v>감사 로그</x:v>
      </x:c>
      <x:c r="T29" s="36" t="str">
        <x:v>M</x:v>
      </x:c>
      <x:c r="U29" s="36" t="str">
        <x:v>미착수</x:v>
      </x:c>
      <x:c r="V29" s="46" t="n">
        <x:f>IF(U29="완료",1,IF(U29="QA 진행 중",0.8,IF(U29="코드 리뷰",0.65,IF(U29="구현 중",0.4,IF(U29="사양 확인 중",0.1,IF(U29="차단",0.4,0))))))</x:f>
        <x:v>0</x:v>
      </x:c>
      <x:c r="W29" s="36" t="str">
        <x:v>미정</x:v>
      </x:c>
      <x:c r="X29" s="44"/>
      <x:c r="Y29" s="36" t="str">
        <x:v>CHR-005,CHR-012,CHR-014</x:v>
      </x:c>
      <x:c r="Z29" s="36" t="str">
        <x:v>중간</x:v>
      </x:c>
      <x:c r="AA29" s="36" t="str">
        <x:v>사용성</x:v>
      </x:c>
      <x:c r="AB29" s="36" t="str">
        <x:v>TC-CHR-028-01, TC-CHR-028-02</x:v>
      </x:c>
      <x:c r="AC29" s="36"/>
      <x:c r="AD29" s="36" t="str">
        <x:v>게임 기획서</x:v>
      </x:c>
      <x:c r="AE29" s="36"/>
      <x:c r="AF29" s="44" t="str">
        <x:v>2026-07-10</x:v>
      </x:c>
      <x:c r="AG29" s="36"/>
      <x:c r="AH29" s="54"/>
      <x:c r="AI29" s="54"/>
      <x:c r="AJ29" s="53" t="str">
        <x:v>착수 전</x:v>
      </x:c>
    </x:row>
    <x:row r="30" ht="42" customHeight="1">
      <x:c r="A30" s="36" t="str">
        <x:v>CHR-029</x:v>
      </x:c>
      <x:c r="B30" s="36" t="str">
        <x:v>캐릭터·커스터마이징·커머스</x:v>
      </x:c>
      <x:c r="C30" s="36" t="str">
        <x:v>품질</x:v>
      </x:c>
      <x:c r="D30" s="36" t="str">
        <x:v>에셋 검증</x:v>
      </x:c>
      <x:c r="E30" s="36" t="str">
        <x:v>자동 에셋 검증 도구</x:v>
      </x:c>
      <x:c r="F30" s="36" t="str">
        <x:v>게임 규칙, 운영 요구사항과 대상 플랫폼 제약을 충족하도록 자동 에셋 검증 도구 기능을 구현하고 검증한다.</x:v>
      </x:c>
      <x:c r="G30" s="36" t="str">
        <x:v>명명, 스케일, 본, 소켓, 재질, LOD, 삼각형 수, 텍스처, 금지 영역, 색상을 CI에서 검사한다.</x:v>
      </x:c>
      <x:c r="H30" s="36" t="str">
        <x:v>구현, 코드 리뷰, 사양 갱신, 대상 QA 케이스 실행, 로그·텔레메트리 확인과 관련 플랫폼 검증을 완료하고 미해결 P0·P1 결함이 없다.</x:v>
      </x:c>
      <x:c r="I30" s="36" t="str">
        <x:v>알파</x:v>
      </x:c>
      <x:c r="J30" s="36" t="str">
        <x:v>P1</x:v>
      </x:c>
      <x:c r="K30" s="36" t="str">
        <x:v>필수</x:v>
      </x:c>
      <x:c r="L30" s="36" t="str">
        <x:v>제작 기반</x:v>
      </x:c>
      <x:c r="M30" s="36" t="str">
        <x:v>알파</x:v>
      </x:c>
      <x:c r="N30" s="36" t="str">
        <x:v>캐릭터·경제 시스템 팀</x:v>
      </x:c>
      <x:c r="O30" s="36" t="str">
        <x:v>미정</x:v>
      </x:c>
      <x:c r="P30" s="36" t="str">
        <x:v>미정</x:v>
      </x:c>
      <x:c r="Q30" s="36" t="str">
        <x:v>도구</x:v>
      </x:c>
      <x:c r="R30" s="36" t="str">
        <x:v>해당 없음</x:v>
      </x:c>
      <x:c r="S30" s="36" t="str">
        <x:v>없음</x:v>
      </x:c>
      <x:c r="T30" s="36" t="str">
        <x:v>XL</x:v>
      </x:c>
      <x:c r="U30" s="36" t="str">
        <x:v>미착수</x:v>
      </x:c>
      <x:c r="V30" s="46" t="n">
        <x:f>IF(U30="완료",1,IF(U30="QA 진행 중",0.8,IF(U30="코드 리뷰",0.65,IF(U30="구현 중",0.4,IF(U30="사양 확인 중",0.1,IF(U30="차단",0.4,0))))))</x:f>
        <x:v>0</x:v>
      </x:c>
      <x:c r="W30" s="36" t="str">
        <x:v>미정</x:v>
      </x:c>
      <x:c r="X30" s="44"/>
      <x:c r="Y30" s="36" t="str">
        <x:v>CHR-009,CHR-014,CHR-021</x:v>
      </x:c>
      <x:c r="Z30" s="36" t="str">
        <x:v>중간</x:v>
      </x:c>
      <x:c r="AA30" s="36" t="str">
        <x:v>운영</x:v>
      </x:c>
      <x:c r="AB30" s="36" t="str">
        <x:v>TC-CHR-029-01</x:v>
      </x:c>
      <x:c r="AC30" s="36"/>
      <x:c r="AD30" s="36" t="str">
        <x:v>게임 기획서</x:v>
      </x:c>
      <x:c r="AE30" s="36"/>
      <x:c r="AF30" s="44" t="str">
        <x:v>2026-07-10</x:v>
      </x:c>
      <x:c r="AG30" s="36"/>
      <x:c r="AH30" s="54"/>
      <x:c r="AI30" s="54"/>
      <x:c r="AJ30" s="53" t="str">
        <x:v>착수 전</x:v>
      </x:c>
    </x:row>
    <x:row r="31" ht="42" customHeight="1">
      <x:c r="A31" s="36" t="str">
        <x:v>CHR-030</x:v>
      </x:c>
      <x:c r="B31" s="36" t="str">
        <x:v>캐릭터·커스터마이징·커머스</x:v>
      </x:c>
      <x:c r="C31" s="36" t="str">
        <x:v>LED 헤드</x:v>
      </x:c>
      <x:c r="D31" s="36" t="str">
        <x:v>표정 프리셋</x:v>
      </x:c>
      <x:c r="E31" s="36" t="str">
        <x:v>MVP LED 표정·아이콘 프리셋</x:v>
      </x:c>
      <x:c r="F31" s="36" t="str">
        <x:v>게임 규칙, 운영 요구사항과 대상 플랫폼 제약을 충족하도록 MVP LED 표정·아이콘 프리셋 기능을 구현하고 검증한다.</x:v>
      </x:c>
      <x:c r="G31" s="36" t="str">
        <x:v>미소, 분노, 의심, 슬픔, 물음표, 느낌표 등을 구현하고 다른 플레이어 색상 위조나 금지 표현에 사용할 수 없도록 한다.</x:v>
      </x:c>
      <x:c r="H31" s="36" t="str">
        <x:v>구현, 코드 리뷰, 사양 갱신, 대상 QA 케이스 실행, 로그·텔레메트리 확인과 관련 플랫폼 검증을 완료하고 미해결 P0·P1 결함이 없다.</x:v>
      </x:c>
      <x:c r="I31" s="36" t="str">
        <x:v>MVP</x:v>
      </x:c>
      <x:c r="J31" s="36" t="str">
        <x:v>P1</x:v>
      </x:c>
      <x:c r="K31" s="36" t="str">
        <x:v>필수</x:v>
      </x:c>
      <x:c r="L31" s="36" t="str">
        <x:v>표현</x:v>
      </x:c>
      <x:c r="M31" s="36" t="str">
        <x:v>MVP</x:v>
      </x:c>
      <x:c r="N31" s="36" t="str">
        <x:v>캐릭터·경제 시스템 팀</x:v>
      </x:c>
      <x:c r="O31" s="36" t="str">
        <x:v>미정</x:v>
      </x:c>
      <x:c r="P31" s="36" t="str">
        <x:v>미정</x:v>
      </x:c>
      <x:c r="Q31" s="36" t="str">
        <x:v>전체</x:v>
      </x:c>
      <x:c r="R31" s="36" t="str">
        <x:v>클라이언트 로컬</x:v>
      </x:c>
      <x:c r="S31" s="36" t="str">
        <x:v>계정</x:v>
      </x:c>
      <x:c r="T31" s="36" t="str">
        <x:v>M</x:v>
      </x:c>
      <x:c r="U31" s="36" t="str">
        <x:v>미착수</x:v>
      </x:c>
      <x:c r="V31" s="46" t="n">
        <x:f>IF(U31="완료",1,IF(U31="QA 진행 중",0.8,IF(U31="코드 리뷰",0.65,IF(U31="구현 중",0.4,IF(U31="사양 확인 중",0.1,IF(U31="차단",0.4,0))))))</x:f>
        <x:v>0</x:v>
      </x:c>
      <x:c r="W31" s="36" t="str">
        <x:v>미정</x:v>
      </x:c>
      <x:c r="X31" s="44"/>
      <x:c r="Y31" s="36" t="str">
        <x:v>CHR-004,CHR-005</x:v>
      </x:c>
      <x:c r="Z31" s="36" t="str">
        <x:v>중간</x:v>
      </x:c>
      <x:c r="AA31" s="36" t="str">
        <x:v>안전</x:v>
      </x:c>
      <x:c r="AB31" s="36" t="str">
        <x:v>TC-CHR-030-01</x:v>
      </x:c>
      <x:c r="AC31" s="36"/>
      <x:c r="AD31" s="36" t="str">
        <x:v>캐릭터 사양서 §4</x:v>
      </x:c>
      <x:c r="AE31" s="36"/>
      <x:c r="AF31" s="44" t="str">
        <x:v>2026-07-10</x:v>
      </x:c>
      <x:c r="AG31" s="36"/>
      <x:c r="AH31" s="54"/>
      <x:c r="AI31" s="54"/>
      <x:c r="AJ31" s="53" t="str">
        <x:v>착수 전</x:v>
      </x:c>
    </x:row>
    <x:row r="32" ht="42" customHeight="1">
      <x:c r="A32" s="36" t="str">
        <x:v>CHR-031</x:v>
      </x:c>
      <x:c r="B32" s="36" t="str">
        <x:v>캐릭터·커스터마이징·커머스</x:v>
      </x:c>
      <x:c r="C32" s="36" t="str">
        <x:v>LED 헤드</x:v>
      </x:c>
      <x:c r="D32" s="36" t="str">
        <x:v>자유 그리기</x:v>
      </x:c>
      <x:c r="E32" s="36" t="str">
        <x:v>자유 그리기·스탬프 안전 설계</x:v>
      </x:c>
      <x:c r="F32" s="36" t="str">
        <x:v>게임 규칙, 운영 요구사항과 대상 플랫폼 제약을 충족하도록 자유 그리기·스탬프 안전 설계 기능을 구현하고 검증한다.</x:v>
      </x:c>
      <x:c r="G32" s="36" t="str">
        <x:v>자유 그리기를 활성화할 경우 해상도, 색상, 지우기, 신고, 저장, 금지 표현, 다른 색상 오인 방지 요건을 충족한다. MVP에서는 프리셋만 제공한다.</x:v>
      </x:c>
      <x:c r="H32" s="36" t="str">
        <x:v>구현, 코드 리뷰, 사양 갱신, 대상 QA 케이스 실행, 로그·텔레메트리 확인과 관련 플랫폼 검증을 완료하고 미해결 P0·P1 결함이 없다.</x:v>
      </x:c>
      <x:c r="I32" s="36" t="str">
        <x:v>출시 후</x:v>
      </x:c>
      <x:c r="J32" s="36" t="str">
        <x:v>P3</x:v>
      </x:c>
      <x:c r="K32" s="36" t="str">
        <x:v>조건부</x:v>
      </x:c>
      <x:c r="L32" s="36" t="str">
        <x:v>안전</x:v>
      </x:c>
      <x:c r="M32" s="36" t="str">
        <x:v>출시 후</x:v>
      </x:c>
      <x:c r="N32" s="36" t="str">
        <x:v>캐릭터·경제 시스템 팀</x:v>
      </x:c>
      <x:c r="O32" s="36" t="str">
        <x:v>미정</x:v>
      </x:c>
      <x:c r="P32" s="36" t="str">
        <x:v>미정</x:v>
      </x:c>
      <x:c r="Q32" s="36" t="str">
        <x:v>전체</x:v>
      </x:c>
      <x:c r="R32" s="36" t="str">
        <x:v>클라이언트 로컬</x:v>
      </x:c>
      <x:c r="S32" s="36" t="str">
        <x:v>계정</x:v>
      </x:c>
      <x:c r="T32" s="36" t="str">
        <x:v>XL</x:v>
      </x:c>
      <x:c r="U32" s="36" t="str">
        <x:v>미착수</x:v>
      </x:c>
      <x:c r="V32" s="46" t="n">
        <x:f>IF(U32="완료",1,IF(U32="QA 진행 중",0.8,IF(U32="코드 리뷰",0.65,IF(U32="구현 중",0.4,IF(U32="사양 확인 중",0.1,IF(U32="차단",0.4,0))))))</x:f>
        <x:v>0</x:v>
      </x:c>
      <x:c r="W32" s="36" t="str">
        <x:v>미정</x:v>
      </x:c>
      <x:c r="X32" s="44"/>
      <x:c r="Y32" s="36" t="str">
        <x:v>CHR-004,BED-009,BED-010</x:v>
      </x:c>
      <x:c r="Z32" s="36" t="str">
        <x:v>높음</x:v>
      </x:c>
      <x:c r="AA32" s="36" t="str">
        <x:v>보안</x:v>
      </x:c>
      <x:c r="AB32" s="36" t="str">
        <x:v>TC-CHR-031-01</x:v>
      </x:c>
      <x:c r="AC32" s="36"/>
      <x:c r="AD32" s="36" t="str">
        <x:v>게임 기획서</x:v>
      </x:c>
      <x:c r="AE32" s="36"/>
      <x:c r="AF32" s="44" t="str">
        <x:v>2026-07-10</x:v>
      </x:c>
      <x:c r="AG32" s="36"/>
      <x:c r="AH32" s="54"/>
      <x:c r="AI32" s="54"/>
      <x:c r="AJ32" s="53" t="str">
        <x:v>착수 전</x:v>
      </x:c>
    </x:row>
  </x:sheetData>
  <x:conditionalFormatting sqref="U2:U32">
    <x:cfRule type="expression" dxfId="0" priority="1">
      <x:formula>U2="완료"</x:formula>
    </x:cfRule>
    <x:cfRule type="expression" dxfId="1" priority="2">
      <x:formula>U2="통과"</x:formula>
    </x:cfRule>
    <x:cfRule type="expression" dxfId="2" priority="3">
      <x:formula>U2="차단"</x:formula>
    </x:cfRule>
    <x:cfRule type="expression" dxfId="3" priority="4">
      <x:formula>U2="실패"</x:formula>
    </x:cfRule>
    <x:cfRule type="expression" dxfId="4" priority="5">
      <x:formula>U2="구현 중"</x:formula>
    </x:cfRule>
    <x:cfRule type="expression" dxfId="5" priority="6">
      <x:formula>U2="QA 진행 중"</x:formula>
    </x:cfRule>
  </x:conditionalFormatting>
  <x:conditionalFormatting sqref="J2:J32">
    <x:cfRule type="expression" dxfId="6" priority="7">
      <x:formula>J2="P0"</x:formula>
    </x:cfRule>
    <x:cfRule type="expression" dxfId="7" priority="8">
      <x:formula>J2="P1"</x:formula>
    </x:cfRule>
  </x:conditionalFormatting>
  <x:conditionalFormatting sqref="Z2:Z32">
    <x:cfRule type="expression" dxfId="8" priority="9">
      <x:formula>Z2="높음"</x:formula>
    </x:cfRule>
    <x:cfRule type="expression" dxfId="9" priority="10">
      <x:formula>Z2="중간"</x:formula>
    </x:cfRule>
  </x:conditionalFormatting>
  <x:conditionalFormatting sqref="AJ2:AJ32">
    <x:cfRule type="expression" dxfId="30" priority="11">
      <x:formula>AJ2="착수 전"</x:formula>
    </x:cfRule>
    <x:cfRule type="expression" dxfId="31" priority="12">
      <x:formula>AJ2="작업 중"</x:formula>
    </x:cfRule>
    <x:cfRule type="expression" dxfId="32" priority="13">
      <x:formula>AJ2="완료"</x:formula>
    </x:cfRule>
  </x:conditionalFormatting>
  <x:dataValidations count="11">
    <x:dataValidation type="list" sqref="I2:I32">
      <x:formula1>"MVP,알파,베타,릴리스 후보,출시,출시 후,대상 제외"</x:formula1>
    </x:dataValidation>
    <x:dataValidation type="list" sqref="J2:J32">
      <x:formula1>"P0,P1,P2,P3"</x:formula1>
    </x:dataValidation>
    <x:dataValidation type="list" sqref="K2:K32">
      <x:formula1>"필수,조건부,권장,대상 제외"</x:formula1>
    </x:dataValidation>
    <x:dataValidation type="list" sqref="Q2:Q32">
      <x:formula1>"전체,PC,콘솔,모바일,서버,백엔드,도구,웹·관리자"</x:formula1>
    </x:dataValidation>
    <x:dataValidation type="list" sqref="R2:R32">
      <x:formula1>"서버 권한,클라이언트 예측·서버 검증,클라이언트 로컬,백엔드 권한,호스트 권한,콘텐츠 데이터,해당 없음"</x:formula1>
    </x:dataValidation>
    <x:dataValidation type="list" sqref="S2:S32">
      <x:formula1>"없음,세션,매치,계정,단말 로컬,백엔드,감사 로그"</x:formula1>
    </x:dataValidation>
    <x:dataValidation type="list" sqref="T2:T32">
      <x:formula1>"XS,S,M,L,XL,분할 필요"</x:formula1>
    </x:dataValidation>
    <x:dataValidation type="list" sqref="U2:U32">
      <x:formula1>"미착수,사양 확인 중,구현 중,코드 리뷰,QA 진행 중,차단,완료,보류"</x:formula1>
    </x:dataValidation>
    <x:dataValidation type="list" sqref="Z2:Z32">
      <x:formula1>"높음,중간,낮음"</x:formula1>
    </x:dataValidation>
    <x:dataValidation type="list" sqref="AA2:AA32">
      <x:formula1>"기능,통합,경계값,네트워크,보안,성능,호환성,사용성,접근성,현지화,밸런스,운영,안전,부하"</x:formula1>
    </x:dataValidation>
    <x:dataValidation type="list" sqref="AJ2:AJ32">
      <x:formula1>"착수 전,작업 중,완료"</x:formula1>
    </x:dataValidation>
  </x:dataValidations>
  <x:pageMargins left="0.7" right="0.7" top="0.75" bottom="0.75" header="0.3" footer="0.3"/>
  <x:tableParts count="1">
    <x:tablePart xmlns:r="http://schemas.openxmlformats.org/officeDocument/2006/relationships" r:id="Rd083e15a8e6a4905"/>
  </x:tableParts>
</x:worksheet>
</file>

<file path=xl/worksheets/sheet3.xml><?xml version="1.0" encoding="utf-8"?>
<x:worksheet xmlns:x="http://schemas.openxmlformats.org/spreadsheetml/2006/main">
  <x:sheetFormatPr defaultRowHeight="15"/>
  <x:cols>
    <x:col min="1" max="1" width="20" hidden="0" customWidth="1"/>
    <x:col min="2" max="2" width="16" hidden="0" customWidth="1"/>
    <x:col min="3" max="3" width="28" hidden="0" customWidth="1"/>
    <x:col min="4" max="4" width="22" hidden="0" customWidth="1"/>
    <x:col min="5" max="5" width="12" hidden="0" customWidth="1"/>
    <x:col min="6" max="6" width="30" hidden="0" customWidth="1"/>
    <x:col min="7" max="7" width="24" hidden="0" customWidth="1"/>
    <x:col min="8" max="8" width="10" hidden="0" customWidth="1"/>
    <x:col min="9" max="9" width="18" hidden="0" customWidth="1"/>
    <x:col min="10" max="10" width="20" hidden="0" customWidth="1"/>
    <x:col min="11" max="11" width="14" hidden="0" customWidth="1"/>
  </x:cols>
  <x:sheetData>
    <x:row r="1" ht="30" customHeight="1">
      <x:c r="A1" s="40" t="str">
        <x:v>에셋 ID</x:v>
      </x:c>
      <x:c r="B1" s="40" t="str">
        <x:v>범주</x:v>
      </x:c>
      <x:c r="C1" s="40" t="str">
        <x:v>표시 이름</x:v>
      </x:c>
      <x:c r="D1" s="40" t="str">
        <x:v>리그·소켓</x:v>
      </x:c>
      <x:c r="E1" s="40" t="str">
        <x:v>LOD</x:v>
      </x:c>
      <x:c r="F1" s="40" t="str">
        <x:v>색상 규칙</x:v>
      </x:c>
      <x:c r="G1" s="40" t="str">
        <x:v>메모 간섭</x:v>
      </x:c>
      <x:c r="H1" s="40" t="str">
        <x:v>MVP</x:v>
      </x:c>
      <x:c r="I1" s="40" t="str">
        <x:v>판독성 승인</x:v>
      </x:c>
      <x:c r="J1" s="40" t="str">
        <x:v>담당</x:v>
      </x:c>
      <x:c r="K1" s="40" t="str">
        <x:v>상태</x:v>
      </x:c>
    </x:row>
    <x:row r="2" ht="42" customHeight="1">
      <x:c r="A2" s="36" t="str">
        <x:v>CHR-BASE-001</x:v>
      </x:c>
      <x:c r="B2" s="36" t="str">
        <x:v>헤드</x:v>
      </x:c>
      <x:c r="C2" s="36" t="str">
        <x:v>둥근 LED 헤드</x:v>
      </x:c>
      <x:c r="D2" s="36" t="str">
        <x:v>BaseRig / Head</x:v>
      </x:c>
      <x:c r="E2" s="36" t="str">
        <x:v>0~2</x:v>
      </x:c>
      <x:c r="F2" s="36" t="str">
        <x:v>플레이어 색상+LED</x:v>
      </x:c>
      <x:c r="G2" s="36" t="str">
        <x:v>없음</x:v>
      </x:c>
      <x:c r="H2" s="36" t="str">
        <x:v>예</x:v>
      </x:c>
      <x:c r="I2" s="36" t="str">
        <x:v>대기</x:v>
      </x:c>
      <x:c r="J2" s="36" t="str">
        <x:v>캐릭터 아트</x:v>
      </x:c>
      <x:c r="K2" s="36" t="str">
        <x:v>작업 중</x:v>
      </x:c>
    </x:row>
    <x:row r="3" ht="42" customHeight="1">
      <x:c r="A3" s="36" t="str">
        <x:v>CHR-BODY-001</x:v>
      </x:c>
      <x:c r="B3" s="36" t="str">
        <x:v>의상</x:v>
      </x:c>
      <x:c r="C3" s="36" t="str">
        <x:v>기본 후드티</x:v>
      </x:c>
      <x:c r="D3" s="36" t="str">
        <x:v>BaseRig / Body</x:v>
      </x:c>
      <x:c r="E3" s="36" t="str">
        <x:v>0~2</x:v>
      </x:c>
      <x:c r="F3" s="36" t="str">
        <x:v>주요 플레이어 색상</x:v>
      </x:c>
      <x:c r="G3" s="36" t="str">
        <x:v>등 영역 확보</x:v>
      </x:c>
      <x:c r="H3" s="36" t="str">
        <x:v>예</x:v>
      </x:c>
      <x:c r="I3" s="36" t="str">
        <x:v>대기</x:v>
      </x:c>
      <x:c r="J3" s="36" t="str">
        <x:v>캐릭터 아트</x:v>
      </x:c>
      <x:c r="K3" s="36" t="str">
        <x:v>작업 중</x:v>
      </x:c>
    </x:row>
    <x:row r="4" ht="42" customHeight="1">
      <x:c r="A4" s="36" t="str">
        <x:v>CHR-HAND-001</x:v>
      </x:c>
      <x:c r="B4" s="36" t="str">
        <x:v>장갑</x:v>
      </x:c>
      <x:c r="C4" s="36" t="str">
        <x:v>기본 장갑</x:v>
      </x:c>
      <x:c r="D4" s="36" t="str">
        <x:v>BaseRig / Hands</x:v>
      </x:c>
      <x:c r="E4" s="36" t="str">
        <x:v>0~2</x:v>
      </x:c>
      <x:c r="F4" s="36" t="str">
        <x:v>중립·포인트 색상</x:v>
      </x:c>
      <x:c r="G4" s="36" t="str">
        <x:v>없음</x:v>
      </x:c>
      <x:c r="H4" s="36" t="str">
        <x:v>예</x:v>
      </x:c>
      <x:c r="I4" s="36" t="str">
        <x:v>대기</x:v>
      </x:c>
      <x:c r="J4" s="36" t="str">
        <x:v>캐릭터 아트</x:v>
      </x:c>
      <x:c r="K4" s="36" t="str">
        <x:v>작업 중</x:v>
      </x:c>
    </x:row>
    <x:row r="5" ht="42" customHeight="1">
      <x:c r="A5" s="36" t="str">
        <x:v>CHR-SHOE-001</x:v>
      </x:c>
      <x:c r="B5" s="36" t="str">
        <x:v>신발</x:v>
      </x:c>
      <x:c r="C5" s="36" t="str">
        <x:v>기본 신발</x:v>
      </x:c>
      <x:c r="D5" s="36" t="str">
        <x:v>BaseRig / Feet</x:v>
      </x:c>
      <x:c r="E5" s="36" t="str">
        <x:v>0~2</x:v>
      </x:c>
      <x:c r="F5" s="36" t="str">
        <x:v>포인트 색상만</x:v>
      </x:c>
      <x:c r="G5" s="36" t="str">
        <x:v>없음</x:v>
      </x:c>
      <x:c r="H5" s="36" t="str">
        <x:v>예</x:v>
      </x:c>
      <x:c r="I5" s="36" t="str">
        <x:v>대기</x:v>
      </x:c>
      <x:c r="J5" s="36" t="str">
        <x:v>캐릭터 아트</x:v>
      </x:c>
      <x:c r="K5" s="36" t="str">
        <x:v>작업 중</x:v>
      </x:c>
    </x:row>
    <x:row r="6" ht="42" customHeight="1">
      <x:c r="A6" s="36" t="str">
        <x:v>CHR-HEAD-002</x:v>
      </x:c>
      <x:c r="B6" s="36" t="str">
        <x:v>헤드</x:v>
      </x:c>
      <x:c r="C6" s="36" t="str">
        <x:v>구형 헤드</x:v>
      </x:c>
      <x:c r="D6" s="36" t="str">
        <x:v>BaseRig / Head</x:v>
      </x:c>
      <x:c r="E6" s="36" t="str">
        <x:v>0~2</x:v>
      </x:c>
      <x:c r="F6" s="36" t="str">
        <x:v>플레이어 색상+LED</x:v>
      </x:c>
      <x:c r="G6" s="36" t="str">
        <x:v>소켓 검토</x:v>
      </x:c>
      <x:c r="H6" s="36" t="str">
        <x:v>아니요</x:v>
      </x:c>
      <x:c r="I6" s="36" t="str">
        <x:v>대기</x:v>
      </x:c>
      <x:c r="J6" s="36" t="str">
        <x:v>캐릭터 아트</x:v>
      </x:c>
      <x:c r="K6" s="36" t="str">
        <x:v>계획</x:v>
      </x:c>
    </x:row>
    <x:row r="7" ht="42" customHeight="1">
      <x:c r="A7" s="36" t="str">
        <x:v>CHR-HAT-001</x:v>
      </x:c>
      <x:c r="B7" s="36" t="str">
        <x:v>모자</x:v>
      </x:c>
      <x:c r="C7" s="36" t="str">
        <x:v>탐정 모자</x:v>
      </x:c>
      <x:c r="D7" s="36" t="str">
        <x:v>HeadSocket</x:v>
      </x:c>
      <x:c r="E7" s="36" t="str">
        <x:v>0~2</x:v>
      </x:c>
      <x:c r="F7" s="36" t="str">
        <x:v>식별 색상 사용 금지</x:v>
      </x:c>
      <x:c r="G7" s="36" t="str">
        <x:v>LED·이름표 확보</x:v>
      </x:c>
      <x:c r="H7" s="36" t="str">
        <x:v>아니요</x:v>
      </x:c>
      <x:c r="I7" s="36" t="str">
        <x:v>대기</x:v>
      </x:c>
      <x:c r="J7" s="36" t="str">
        <x:v>캐릭터 아트</x:v>
      </x:c>
      <x:c r="K7" s="36" t="str">
        <x:v>계획</x:v>
      </x:c>
    </x:row>
  </x:sheetData>
  <x:pageMargins left="0.7" right="0.7" top="0.75" bottom="0.75" header="0.3" footer="0.3"/>
  <x:tableParts count="1">
    <x:tablePart xmlns:r="http://schemas.openxmlformats.org/officeDocument/2006/relationships" r:id="Rcfca5b6840a54f5b"/>
  </x:tableParts>
</x:worksheet>
</file>

<file path=xl/worksheets/sheet4.xml><?xml version="1.0" encoding="utf-8"?>
<x:worksheet xmlns:x="http://schemas.openxmlformats.org/spreadsheetml/2006/main">
  <x:sheetFormatPr defaultRowHeight="15"/>
  <x:cols>
    <x:col min="1" max="1" width="16" hidden="0" customWidth="1"/>
    <x:col min="2" max="2" width="18" hidden="0" customWidth="1"/>
    <x:col min="3" max="3" width="12" hidden="0" customWidth="1"/>
    <x:col min="4" max="4" width="18" hidden="0" customWidth="1"/>
    <x:col min="5" max="5" width="20" hidden="0" customWidth="1"/>
    <x:col min="6" max="6" width="18" hidden="0" customWidth="1"/>
    <x:col min="7" max="7" width="38" hidden="0" customWidth="1"/>
    <x:col min="8" max="8" width="24" hidden="0" customWidth="1"/>
    <x:col min="9" max="9" width="14" hidden="0" customWidth="1"/>
  </x:cols>
  <x:sheetData>
    <x:row r="1" ht="30" customHeight="1">
      <x:c r="A1" s="40" t="str">
        <x:v>시험 ID</x:v>
      </x:c>
      <x:c r="B1" s="40" t="str">
        <x:v>조건</x:v>
      </x:c>
      <x:c r="C1" s="40" t="str">
        <x:v>거리</x:v>
      </x:c>
      <x:c r="D1" s="40" t="str">
        <x:v>조명</x:v>
      </x:c>
      <x:c r="E1" s="40" t="str">
        <x:v>FOV·해상도</x:v>
      </x:c>
      <x:c r="F1" s="40" t="str">
        <x:v>장비</x:v>
      </x:c>
      <x:c r="G1" s="40" t="str">
        <x:v>기대 결과</x:v>
      </x:c>
      <x:c r="H1" s="40" t="str">
        <x:v>관련 ID</x:v>
      </x:c>
      <x:c r="I1" s="40" t="str">
        <x:v>상태</x:v>
      </x:c>
    </x:row>
    <x:row r="2" ht="42" customHeight="1">
      <x:c r="A2" s="36" t="str">
        <x:v>READ-001</x:v>
      </x:c>
      <x:c r="B2" s="36" t="str">
        <x:v>낮·정지</x:v>
      </x:c>
      <x:c r="C2" s="36" t="str">
        <x:v>중거리</x:v>
      </x:c>
      <x:c r="D2" s="36" t="str">
        <x:v>중립</x:v>
      </x:c>
      <x:c r="E2" s="36" t="str">
        <x:v>90 / 1080p</x:v>
      </x:c>
      <x:c r="F2" s="36" t="str">
        <x:v>기본</x:v>
      </x:c>
      <x:c r="G2" s="36" t="str">
        <x:v>색상·기호 식별</x:v>
      </x:c>
      <x:c r="H2" s="36" t="str">
        <x:v>CHR-005,CHR-015</x:v>
      </x:c>
      <x:c r="I2" s="36" t="str">
        <x:v>미실시</x:v>
      </x:c>
    </x:row>
    <x:row r="3" ht="42" customHeight="1">
      <x:c r="A3" s="36" t="str">
        <x:v>READ-002</x:v>
      </x:c>
      <x:c r="B3" s="36" t="str">
        <x:v>낮·이동</x:v>
      </x:c>
      <x:c r="C3" s="36" t="str">
        <x:v>근거리</x:v>
      </x:c>
      <x:c r="D3" s="36" t="str">
        <x:v>중립</x:v>
      </x:c>
      <x:c r="E3" s="36" t="str">
        <x:v>90 / 1080p</x:v>
      </x:c>
      <x:c r="F3" s="36" t="str">
        <x:v>기본</x:v>
      </x:c>
      <x:c r="G3" s="36" t="str">
        <x:v>문구 판독</x:v>
      </x:c>
      <x:c r="H3" s="36" t="str">
        <x:v>CHR-010,CHR-012</x:v>
      </x:c>
      <x:c r="I3" s="36" t="str">
        <x:v>미실시</x:v>
      </x:c>
    </x:row>
    <x:row r="4" ht="42" customHeight="1">
      <x:c r="A4" s="36" t="str">
        <x:v>READ-003</x:v>
      </x:c>
      <x:c r="B4" s="36" t="str">
        <x:v>밤 관찰</x:v>
      </x:c>
      <x:c r="C4" s="36" t="str">
        <x:v>중거리</x:v>
      </x:c>
      <x:c r="D4" s="36" t="str">
        <x:v>중앙 관찰 구역</x:v>
      </x:c>
      <x:c r="E4" s="36" t="str">
        <x:v>90 / 1080p</x:v>
      </x:c>
      <x:c r="F4" s="36" t="str">
        <x:v>기본</x:v>
      </x:c>
      <x:c r="G4" s="36" t="str">
        <x:v>6장 순서 식별</x:v>
      </x:c>
      <x:c r="H4" s="36" t="str">
        <x:v>CHR-010,CNT-003</x:v>
      </x:c>
      <x:c r="I4" s="36" t="str">
        <x:v>미실시</x:v>
      </x:c>
    </x:row>
    <x:row r="5" ht="42" customHeight="1">
      <x:c r="A5" s="36" t="str">
        <x:v>READ-004</x:v>
      </x:c>
      <x:c r="B5" s="36" t="str">
        <x:v>벽 근처</x:v>
      </x:c>
      <x:c r="C5" s="36" t="str">
        <x:v>근거리</x:v>
      </x:c>
      <x:c r="D5" s="36" t="str">
        <x:v>낮은 조도</x:v>
      </x:c>
      <x:c r="E5" s="36" t="str">
        <x:v>110 / 1440p</x:v>
      </x:c>
      <x:c r="F5" s="36" t="str">
        <x:v>기본</x:v>
      </x:c>
      <x:c r="G5" s="36" t="str">
        <x:v>카메라·의상 차폐 없음</x:v>
      </x:c>
      <x:c r="H5" s="36" t="str">
        <x:v>CHR-012,CNT-013</x:v>
      </x:c>
      <x:c r="I5" s="36" t="str">
        <x:v>미실시</x:v>
      </x:c>
    </x:row>
    <x:row r="6" ht="42" customHeight="1">
      <x:c r="A6" s="36" t="str">
        <x:v>READ-005</x:v>
      </x:c>
      <x:c r="B6" s="36" t="str">
        <x:v>색각 보조</x:v>
      </x:c>
      <x:c r="C6" s="36" t="str">
        <x:v>중거리</x:v>
      </x:c>
      <x:c r="D6" s="36" t="str">
        <x:v>중립</x:v>
      </x:c>
      <x:c r="E6" s="36" t="str">
        <x:v>90 / 1080p</x:v>
      </x:c>
      <x:c r="F6" s="36" t="str">
        <x:v>MVP 전체</x:v>
      </x:c>
      <x:c r="G6" s="36" t="str">
        <x:v>색상 없이 ID 식별</x:v>
      </x:c>
      <x:c r="H6" s="36" t="str">
        <x:v>CHR-015,SET-024</x:v>
      </x:c>
      <x:c r="I6" s="36" t="str">
        <x:v>미실시</x:v>
      </x:c>
    </x:row>
    <x:row r="7" ht="42" customHeight="1">
      <x:c r="A7" s="36" t="str">
        <x:v>READ-006</x:v>
      </x:c>
      <x:c r="B7" s="36" t="str">
        <x:v>최대 외형 조합</x:v>
      </x:c>
      <x:c r="C7" s="36" t="str">
        <x:v>중거리</x:v>
      </x:c>
      <x:c r="D7" s="36" t="str">
        <x:v>이벤트 조명</x:v>
      </x:c>
      <x:c r="E7" s="36" t="str">
        <x:v>복수 조건</x:v>
      </x:c>
      <x:c r="F7" s="36" t="str">
        <x:v>허용 장비 전체</x:v>
      </x:c>
      <x:c r="G7" s="36" t="str">
        <x:v>본인 색상·메모 유지</x:v>
      </x:c>
      <x:c r="H7" s="36" t="str">
        <x:v>CHR-014,CHR-028</x:v>
      </x:c>
      <x:c r="I7" s="36" t="str">
        <x:v>미실시</x:v>
      </x:c>
    </x:row>
  </x:sheetData>
  <x:pageMargins left="0.7" right="0.7" top="0.75" bottom="0.75" header="0.3" footer="0.3"/>
  <x:tableParts count="1">
    <x:tablePart xmlns:r="http://schemas.openxmlformats.org/officeDocument/2006/relationships" r:id="R78abbc3bea414247"/>
  </x:tableParts>
</x:worksheet>
</file>

<file path=xl/worksheets/sheet5.xml><?xml version="1.0" encoding="utf-8"?>
<x:worksheet xmlns:x="http://schemas.openxmlformats.org/spreadsheetml/2006/main">
  <x:sheetFormatPr defaultRowHeight="15"/>
  <x:cols>
    <x:col min="1" max="1" width="20" hidden="0" customWidth="1"/>
    <x:col min="2" max="2" width="22" hidden="0" customWidth="1"/>
    <x:col min="3" max="3" width="16" hidden="0" customWidth="1"/>
    <x:col min="4" max="4" width="16" hidden="0" customWidth="1"/>
    <x:col min="5" max="5" width="20" hidden="0" customWidth="1"/>
    <x:col min="6" max="6" width="16" hidden="0" customWidth="1"/>
    <x:col min="7" max="7" width="14" hidden="0" customWidth="1"/>
    <x:col min="8" max="8" width="14" hidden="0" customWidth="1"/>
    <x:col min="9" max="9" width="20" hidden="0" customWidth="1"/>
    <x:col min="10" max="10" width="24" hidden="0" customWidth="1"/>
    <x:col min="11" max="11" width="28" hidden="0" customWidth="1"/>
    <x:col min="12" max="12" width="22" hidden="0" customWidth="1"/>
  </x:cols>
  <x:sheetData>
    <x:row r="1" ht="30" customHeight="1">
      <x:c r="A1" s="40" t="str">
        <x:v>상품 SKU</x:v>
      </x:c>
      <x:c r="B1" s="40" t="str">
        <x:v>아이템 ID</x:v>
      </x:c>
      <x:c r="C1" s="40" t="str">
        <x:v>판매 방식</x:v>
      </x:c>
      <x:c r="D1" s="40" t="str">
        <x:v>가격·비용</x:v>
      </x:c>
      <x:c r="E1" s="40" t="str">
        <x:v>지역</x:v>
      </x:c>
      <x:c r="F1" s="40" t="str">
        <x:v>연령 제한</x:v>
      </x:c>
      <x:c r="G1" s="40" t="str">
        <x:v>시작일</x:v>
      </x:c>
      <x:c r="H1" s="40" t="str">
        <x:v>종료일</x:v>
      </x:c>
      <x:c r="I1" s="40" t="str">
        <x:v>확률 세트</x:v>
      </x:c>
      <x:c r="J1" s="40" t="str">
        <x:v>중복 규칙</x:v>
      </x:c>
      <x:c r="K1" s="40" t="str">
        <x:v>승인</x:v>
      </x:c>
      <x:c r="L1" s="40" t="str">
        <x:v>상태</x:v>
      </x:c>
    </x:row>
    <x:row r="2" ht="42" customHeight="1">
      <x:c r="A2" s="36" t="str">
        <x:v>SKU-DIRECT-001</x:v>
      </x:c>
      <x:c r="B2" s="36" t="str">
        <x:v>CHR-HEAD-002</x:v>
      </x:c>
      <x:c r="C2" s="36" t="str">
        <x:v>직접 판매</x:v>
      </x:c>
      <x:c r="D2" s="36" t="str">
        <x:v>미정</x:v>
      </x:c>
      <x:c r="E2" s="36" t="str">
        <x:v>허용 지역</x:v>
      </x:c>
      <x:c r="F2" s="36" t="str">
        <x:v>플랫폼 정책</x:v>
      </x:c>
      <x:c r="G2" s="36" t="str">
        <x:v>미정</x:v>
      </x:c>
      <x:c r="H2" s="36" t="str">
        <x:v>미정</x:v>
      </x:c>
      <x:c r="I2" s="36" t="str">
        <x:v>해당 없음</x:v>
      </x:c>
      <x:c r="J2" s="36" t="str">
        <x:v>해당 없음</x:v>
      </x:c>
      <x:c r="K2" s="36" t="str">
        <x:v>제품·법무</x:v>
      </x:c>
      <x:c r="L2" s="36" t="str">
        <x:v>초안</x:v>
      </x:c>
    </x:row>
    <x:row r="3" ht="42" customHeight="1">
      <x:c r="A3" s="36" t="str">
        <x:v>SKU-BOX-001</x:v>
      </x:c>
      <x:c r="B3" s="36" t="str">
        <x:v>Pool-Season-01</x:v>
      </x:c>
      <x:c r="C3" s="36" t="str">
        <x:v>랜덤 상자</x:v>
      </x:c>
      <x:c r="D3" s="36" t="str">
        <x:v>미정</x:v>
      </x:c>
      <x:c r="E3" s="36" t="str">
        <x:v>제한 지역</x:v>
      </x:c>
      <x:c r="F3" s="36" t="str">
        <x:v>필수</x:v>
      </x:c>
      <x:c r="G3" s="36" t="str">
        <x:v>미정</x:v>
      </x:c>
      <x:c r="H3" s="36" t="str">
        <x:v>미정</x:v>
      </x:c>
      <x:c r="I3" s="36" t="str">
        <x:v>PROB-001</x:v>
      </x:c>
      <x:c r="J3" s="36" t="str">
        <x:v>재화 변환</x:v>
      </x:c>
      <x:c r="K3" s="36" t="str">
        <x:v>제품·법무·플랫폼</x:v>
      </x:c>
      <x:c r="L3" s="36" t="str">
        <x:v>승인 전 차단</x:v>
      </x:c>
    </x:row>
  </x:sheetData>
  <x:pageMargins left="0.7" right="0.7" top="0.75" bottom="0.75" header="0.3" footer="0.3"/>
  <x:tableParts count="1">
    <x:tablePart xmlns:r="http://schemas.openxmlformats.org/officeDocument/2006/relationships" r:id="R759ce5b440ce480e"/>
  </x:tableParts>
</x:worksheet>
</file>

<file path=xl/worksheets/sheet6.xml><?xml version="1.0" encoding="utf-8"?>
<x:worksheet xmlns:x="http://schemas.openxmlformats.org/spreadsheetml/2006/main">
  <x:sheetFormatPr defaultRowHeight="15"/>
  <x:cols>
    <x:col min="1" max="1" width="18" hidden="0" customWidth="1"/>
    <x:col min="2" max="2" width="12" hidden="0" customWidth="1"/>
    <x:col min="3" max="3" width="24" hidden="0" customWidth="1"/>
    <x:col min="4" max="4" width="36" hidden="0" customWidth="1"/>
    <x:col min="5" max="5" width="44" hidden="0" customWidth="1"/>
    <x:col min="6" max="6" width="42" hidden="0" customWidth="1"/>
    <x:col min="7" max="7" width="54" hidden="0" customWidth="1"/>
    <x:col min="8" max="8" width="54" hidden="0" customWidth="1"/>
    <x:col min="9" max="9" width="16" hidden="0" customWidth="1"/>
    <x:col min="10" max="10" width="10" hidden="0" customWidth="1"/>
    <x:col min="11" max="11" width="18" hidden="0" customWidth="1"/>
    <x:col min="12" max="12" width="14" hidden="0" customWidth="1"/>
    <x:col min="13" max="13" width="14" hidden="0" customWidth="1"/>
    <x:col min="14" max="14" width="16" hidden="0" customWidth="1"/>
    <x:col min="15" max="15" width="15" hidden="0" customWidth="1"/>
    <x:col min="16" max="16" width="28" hidden="0" customWidth="1"/>
    <x:col min="17" max="17" width="18" hidden="0" customWidth="1"/>
    <x:col min="18" max="18" width="13" hidden="0" customWidth="1"/>
    <x:col min="19" max="19" width="28" hidden="0" customWidth="1"/>
    <x:col min="20" max="20" width="12" hidden="0" customWidth="1"/>
    <x:col min="21" max="21" width="12" hidden="0" customWidth="1"/>
    <x:col min="22" max="22" width="12" hidden="0" customWidth="1"/>
  </x:cols>
  <x:sheetData>
    <x:row r="1" ht="30" customHeight="1">
      <x:c r="A1" s="40" t="str">
        <x:v>테스트 ID</x:v>
      </x:c>
      <x:c r="B1" s="40" t="str">
        <x:v>관련 ID</x:v>
      </x:c>
      <x:c r="C1" s="40" t="str">
        <x:v>부문</x:v>
      </x:c>
      <x:c r="D1" s="40" t="str">
        <x:v>제목</x:v>
      </x:c>
      <x:c r="E1" s="40" t="str">
        <x:v>목적</x:v>
      </x:c>
      <x:c r="F1" s="40" t="str">
        <x:v>사전 조건</x:v>
      </x:c>
      <x:c r="G1" s="40" t="str">
        <x:v>절차</x:v>
      </x:c>
      <x:c r="H1" s="40" t="str">
        <x:v>예상 결과</x:v>
      </x:c>
      <x:c r="I1" s="40" t="str">
        <x:v>QA 유형</x:v>
      </x:c>
      <x:c r="J1" s="40" t="str">
        <x:v>우선순위</x:v>
      </x:c>
      <x:c r="K1" s="40" t="str">
        <x:v>대상 플랫폼</x:v>
      </x:c>
      <x:c r="L1" s="40" t="str">
        <x:v>자동화 후보</x:v>
      </x:c>
      <x:c r="M1" s="40" t="str">
        <x:v>상태</x:v>
      </x:c>
      <x:c r="N1" s="40" t="str">
        <x:v>담당자명</x:v>
      </x:c>
      <x:c r="O1" s="40" t="str">
        <x:v>대상 빌드</x:v>
      </x:c>
      <x:c r="P1" s="40" t="str">
        <x:v>증빙 링크</x:v>
      </x:c>
      <x:c r="Q1" s="40" t="str">
        <x:v>결함 키</x:v>
      </x:c>
      <x:c r="R1" s="40" t="str">
        <x:v>최종 갱신일</x:v>
      </x:c>
      <x:c r="S1" s="40" t="str">
        <x:v>비고</x:v>
      </x:c>
      <x:c r="T1" s="53" t="str">
        <x:v>시작일</x:v>
      </x:c>
      <x:c r="U1" s="53" t="str">
        <x:v>종료일</x:v>
      </x:c>
      <x:c r="V1" s="53" t="str">
        <x:v>진행상황</x:v>
      </x:c>
    </x:row>
    <x:row r="2" ht="42" customHeight="1">
      <x:c r="A2" s="36" t="str">
        <x:v>TC-CHR-001-01</x:v>
      </x:c>
      <x:c r="B2" s="36" t="str">
        <x:v>CHR-001</x:v>
      </x:c>
      <x:c r="C2" s="36" t="str">
        <x:v>캐릭터·커스터마이징·커머스</x:v>
      </x:c>
      <x:c r="D2" s="36" t="str">
        <x:v>정상 시나리오: 대형 LED 헤드 마스코트 비율 정의</x:v>
      </x:c>
      <x:c r="E2" s="36" t="str">
        <x:v>머리 60~70%, 몸 20~25%, 손발 10~20%의 기준을 모델 시트로 만들고 원거리에서도 플레이어 식별과 등 메모 영역을 확보한다.</x:v>
      </x:c>
      <x:c r="F2" s="36" t="str">
        <x:v>대상 기능이 포함된 MVP 빌드, 필요한 테스트 계정·룸 설정·로그 접근 권한을 준비한다.</x:v>
      </x:c>
      <x:c r="G2" s="36" t="str">
        <x:v>1. 사전 조건 상태를 구성한다.
2. 표준 설정에서 다음 테스트 대상을 실행한다: 대형 LED 헤드 마스코트 비율 정의.
3. UI, 서버 상태와 로그·텔레메트리를 확인한다.
4. 필요하면 재입장 또는 재실행하여 재현성을 확인한다.</x:v>
      </x:c>
      <x:c r="H2" s="36" t="str">
        <x:v>머리 60~70%, 몸 20~25%, 손발 10~20%의 기준을 모델 시트로 만들고 원거리에서도 플레이어 식별과 등 메모 영역을 확보한다.</x:v>
      </x:c>
      <x:c r="I2" s="36" t="str">
        <x:v>사용성</x:v>
      </x:c>
      <x:c r="J2" s="36" t="str">
        <x:v>P0</x:v>
      </x:c>
      <x:c r="K2" s="36" t="str">
        <x:v>전체</x:v>
      </x:c>
      <x:c r="L2" s="36" t="str">
        <x:v>예</x:v>
      </x:c>
      <x:c r="M2" s="36" t="str">
        <x:v>미실시</x:v>
      </x:c>
      <x:c r="N2" s="36" t="str">
        <x:v>미정</x:v>
      </x:c>
      <x:c r="O2" s="36" t="str">
        <x:v>미정</x:v>
      </x:c>
      <x:c r="P2" s="36"/>
      <x:c r="Q2" s="36"/>
      <x:c r="R2" s="44" t="str">
        <x:v>2026-07-10</x:v>
      </x:c>
      <x:c r="S2" s="36"/>
      <x:c r="T2" s="54"/>
      <x:c r="U2" s="54"/>
      <x:c r="V2" s="53" t="str">
        <x:v>착수 전</x:v>
      </x:c>
    </x:row>
    <x:row r="3" ht="42" customHeight="1">
      <x:c r="A3" s="36" t="str">
        <x:v>TC-CHR-001-02</x:v>
      </x:c>
      <x:c r="B3" s="36" t="str">
        <x:v>CHR-001</x:v>
      </x:c>
      <x:c r="C3" s="36" t="str">
        <x:v>캐릭터·커스터마이징·커머스</x:v>
      </x:c>
      <x:c r="D3" s="36" t="str">
        <x:v>예외·경계 시나리오: 대형 LED 헤드 마스코트 비율 정의</x:v>
      </x:c>
      <x:c r="E3" s="36" t="str">
        <x:v>허용되지 않은 상태, 잘못된 값, 중복, 만료, 권한 부족, 연결 끊김 입력으로 데이터 손상·정보 유출·클라이언트 상태 분기가 발생하지 않는지 확인한다.</x:v>
      </x:c>
      <x:c r="F3" s="36" t="str">
        <x:v>대상 기능이 포함된 MVP 빌드와 디버그 입력, 네트워크 열화, 비정상 요청 재현 수단을 준비한다.</x:v>
      </x:c>
      <x:c r="G3" s="36" t="str">
        <x:v>1. 허용되지 않은 페이즈 또는 경계값 조건을 구성한다.
2. 대형 LED 헤드 마스코트 비율 정의에 대해 중복·무효·지연·연결 끊김을 포함한 요청을 전송한다.
3. 서버 거부, 롤백, 오류 표시와 감사 로그를 확인한다.
4. 모든 클라이언트의 상태가 일치하는지 확인한다.</x:v>
      </x:c>
      <x:c r="H3" s="36" t="str">
        <x:v>요청은 사양에 따라 거부되거나 안전하게 복구되며, 중복 반영, 데이터 손실, 정보 유출 또는 진행 중단이 발생하지 않는다. 오류와 상관관계 ID가 기록된다.</x:v>
      </x:c>
      <x:c r="I3" s="36" t="str">
        <x:v>사용성</x:v>
      </x:c>
      <x:c r="J3" s="36" t="str">
        <x:v>P0</x:v>
      </x:c>
      <x:c r="K3" s="36" t="str">
        <x:v>전체</x:v>
      </x:c>
      <x:c r="L3" s="36" t="str">
        <x:v>예</x:v>
      </x:c>
      <x:c r="M3" s="36" t="str">
        <x:v>미실시</x:v>
      </x:c>
      <x:c r="N3" s="36" t="str">
        <x:v>미정</x:v>
      </x:c>
      <x:c r="O3" s="36" t="str">
        <x:v>미정</x:v>
      </x:c>
      <x:c r="P3" s="36"/>
      <x:c r="Q3" s="36"/>
      <x:c r="R3" s="44" t="str">
        <x:v>2026-07-10</x:v>
      </x:c>
      <x:c r="S3" s="36"/>
      <x:c r="T3" s="54"/>
      <x:c r="U3" s="54"/>
      <x:c r="V3" s="53" t="str">
        <x:v>착수 전</x:v>
      </x:c>
    </x:row>
    <x:row r="4" ht="42" customHeight="1">
      <x:c r="A4" s="36" t="str">
        <x:v>TC-CHR-002-01</x:v>
      </x:c>
      <x:c r="B4" s="36" t="str">
        <x:v>CHR-002</x:v>
      </x:c>
      <x:c r="C4" s="36" t="str">
        <x:v>캐릭터·커스터마이징·커머스</x:v>
      </x:c>
      <x:c r="D4" s="36" t="str">
        <x:v>정상 시나리오: MVP 기본 캐릭터 모델</x:v>
      </x:c>
      <x:c r="E4" s="36" t="str">
        <x:v>둥근 사각형 LED 헤드, 기본 후드티, 장갑, 신발을 구현하고 지원 카메라 거리에서 형태와 재질이 깨지지 않는다.</x:v>
      </x:c>
      <x:c r="F4" s="36" t="str">
        <x:v>대상 기능이 포함된 MVP 빌드, 필요한 테스트 계정·룸 설정·로그 접근 권한을 준비한다.</x:v>
      </x:c>
      <x:c r="G4" s="36" t="str">
        <x:v>1. 사전 조건 상태를 구성한다.
2. 표준 설정에서 다음 테스트 대상을 실행한다: MVP 기본 캐릭터 모델.
3. UI, 서버 상태와 로그·텔레메트리를 확인한다.
4. 필요하면 재입장 또는 재실행하여 재현성을 확인한다.</x:v>
      </x:c>
      <x:c r="H4" s="36" t="str">
        <x:v>둥근 사각형 LED 헤드, 기본 후드티, 장갑, 신발을 구현하고 지원 카메라 거리에서 형태와 재질이 깨지지 않는다.</x:v>
      </x:c>
      <x:c r="I4" s="36" t="str">
        <x:v>호환성</x:v>
      </x:c>
      <x:c r="J4" s="36" t="str">
        <x:v>P0</x:v>
      </x:c>
      <x:c r="K4" s="36" t="str">
        <x:v>전체</x:v>
      </x:c>
      <x:c r="L4" s="36" t="str">
        <x:v>부분</x:v>
      </x:c>
      <x:c r="M4" s="36" t="str">
        <x:v>미실시</x:v>
      </x:c>
      <x:c r="N4" s="36" t="str">
        <x:v>미정</x:v>
      </x:c>
      <x:c r="O4" s="36" t="str">
        <x:v>미정</x:v>
      </x:c>
      <x:c r="P4" s="36"/>
      <x:c r="Q4" s="36"/>
      <x:c r="R4" s="44" t="str">
        <x:v>2026-07-10</x:v>
      </x:c>
      <x:c r="S4" s="36"/>
      <x:c r="T4" s="54"/>
      <x:c r="U4" s="54"/>
      <x:c r="V4" s="53" t="str">
        <x:v>착수 전</x:v>
      </x:c>
    </x:row>
    <x:row r="5" ht="42" customHeight="1">
      <x:c r="A5" s="36" t="str">
        <x:v>TC-CHR-002-02</x:v>
      </x:c>
      <x:c r="B5" s="36" t="str">
        <x:v>CHR-002</x:v>
      </x:c>
      <x:c r="C5" s="36" t="str">
        <x:v>캐릭터·커스터마이징·커머스</x:v>
      </x:c>
      <x:c r="D5" s="36" t="str">
        <x:v>예외·경계 시나리오: MVP 기본 캐릭터 모델</x:v>
      </x:c>
      <x:c r="E5" s="36" t="str">
        <x:v>허용되지 않은 상태, 잘못된 값, 중복, 만료, 권한 부족, 연결 끊김 입력으로 데이터 손상·정보 유출·클라이언트 상태 분기가 발생하지 않는지 확인한다.</x:v>
      </x:c>
      <x:c r="F5" s="36" t="str">
        <x:v>대상 기능이 포함된 MVP 빌드와 디버그 입력, 네트워크 열화, 비정상 요청 재현 수단을 준비한다.</x:v>
      </x:c>
      <x:c r="G5" s="36" t="str">
        <x:v>1. 허용되지 않은 페이즈 또는 경계값 조건을 구성한다.
2. MVP 기본 캐릭터 모델에 대해 중복·무효·지연·연결 끊김을 포함한 요청을 전송한다.
3. 서버 거부, 롤백, 오류 표시와 감사 로그를 확인한다.
4. 모든 클라이언트의 상태가 일치하는지 확인한다.</x:v>
      </x:c>
      <x:c r="H5" s="36" t="str">
        <x:v>요청은 사양에 따라 거부되거나 안전하게 복구되며, 중복 반영, 데이터 손실, 정보 유출 또는 진행 중단이 발생하지 않는다. 오류와 상관관계 ID가 기록된다.</x:v>
      </x:c>
      <x:c r="I5" s="36" t="str">
        <x:v>호환성</x:v>
      </x:c>
      <x:c r="J5" s="36" t="str">
        <x:v>P0</x:v>
      </x:c>
      <x:c r="K5" s="36" t="str">
        <x:v>전체</x:v>
      </x:c>
      <x:c r="L5" s="36" t="str">
        <x:v>부분</x:v>
      </x:c>
      <x:c r="M5" s="36" t="str">
        <x:v>미실시</x:v>
      </x:c>
      <x:c r="N5" s="36" t="str">
        <x:v>미정</x:v>
      </x:c>
      <x:c r="O5" s="36" t="str">
        <x:v>미정</x:v>
      </x:c>
      <x:c r="P5" s="36"/>
      <x:c r="Q5" s="36"/>
      <x:c r="R5" s="44" t="str">
        <x:v>2026-07-10</x:v>
      </x:c>
      <x:c r="S5" s="36"/>
      <x:c r="T5" s="54"/>
      <x:c r="U5" s="54"/>
      <x:c r="V5" s="53" t="str">
        <x:v>착수 전</x:v>
      </x:c>
    </x:row>
    <x:row r="6" ht="42" customHeight="1">
      <x:c r="A6" s="36" t="str">
        <x:v>TC-CHR-003-01</x:v>
      </x:c>
      <x:c r="B6" s="36" t="str">
        <x:v>CHR-003</x:v>
      </x:c>
      <x:c r="C6" s="36" t="str">
        <x:v>캐릭터·커스터마이징·커머스</x:v>
      </x:c>
      <x:c r="D6" s="36" t="str">
        <x:v>정상 시나리오: 공통 리그·스키닝·IK</x:v>
      </x:c>
      <x:c r="E6" s="36" t="str">
        <x:v>이동, 메모 부착, 미니게임, 투표, 이모트에 필요한 본과 IK를 정의하고 머리 형태가 달라도 공통 애니메이션을 사용할 수 있다.</x:v>
      </x:c>
      <x:c r="F6" s="36" t="str">
        <x:v>대상 기능이 포함된 MVP 빌드, 필요한 테스트 계정·룸 설정·로그 접근 권한을 준비한다.</x:v>
      </x:c>
      <x:c r="G6" s="36" t="str">
        <x:v>1. 사전 조건 상태를 구성한다.
2. 표준 설정에서 다음 테스트 대상을 실행한다: 공통 리그·스키닝·IK.
3. UI, 서버 상태와 로그·텔레메트리를 확인한다.
4. 필요하면 재입장 또는 재실행하여 재현성을 확인한다.</x:v>
      </x:c>
      <x:c r="H6" s="36" t="str">
        <x:v>이동, 메모 부착, 미니게임, 투표, 이모트에 필요한 본과 IK를 정의하고 머리 형태가 달라도 공통 애니메이션을 사용할 수 있다.</x:v>
      </x:c>
      <x:c r="I6" s="36" t="str">
        <x:v>기능</x:v>
      </x:c>
      <x:c r="J6" s="36" t="str">
        <x:v>P0</x:v>
      </x:c>
      <x:c r="K6" s="36" t="str">
        <x:v>전체</x:v>
      </x:c>
      <x:c r="L6" s="36" t="str">
        <x:v>부분</x:v>
      </x:c>
      <x:c r="M6" s="36" t="str">
        <x:v>미실시</x:v>
      </x:c>
      <x:c r="N6" s="36" t="str">
        <x:v>미정</x:v>
      </x:c>
      <x:c r="O6" s="36" t="str">
        <x:v>미정</x:v>
      </x:c>
      <x:c r="P6" s="36"/>
      <x:c r="Q6" s="36"/>
      <x:c r="R6" s="44" t="str">
        <x:v>2026-07-10</x:v>
      </x:c>
      <x:c r="S6" s="36"/>
      <x:c r="T6" s="54"/>
      <x:c r="U6" s="54"/>
      <x:c r="V6" s="53" t="str">
        <x:v>착수 전</x:v>
      </x:c>
    </x:row>
    <x:row r="7" ht="42" customHeight="1">
      <x:c r="A7" s="36" t="str">
        <x:v>TC-CHR-003-02</x:v>
      </x:c>
      <x:c r="B7" s="36" t="str">
        <x:v>CHR-003</x:v>
      </x:c>
      <x:c r="C7" s="36" t="str">
        <x:v>캐릭터·커스터마이징·커머스</x:v>
      </x:c>
      <x:c r="D7" s="36" t="str">
        <x:v>예외·경계 시나리오: 공통 리그·스키닝·IK</x:v>
      </x:c>
      <x:c r="E7" s="36" t="str">
        <x:v>허용되지 않은 상태, 잘못된 값, 중복, 만료, 권한 부족, 연결 끊김 입력으로 데이터 손상·정보 유출·클라이언트 상태 분기가 발생하지 않는지 확인한다.</x:v>
      </x:c>
      <x:c r="F7" s="36" t="str">
        <x:v>대상 기능이 포함된 MVP 빌드와 디버그 입력, 네트워크 열화, 비정상 요청 재현 수단을 준비한다.</x:v>
      </x:c>
      <x:c r="G7" s="36" t="str">
        <x:v>1. 허용되지 않은 페이즈 또는 경계값 조건을 구성한다.
2. 공통 리그·스키닝·IK에 대해 중복·무효·지연·연결 끊김을 포함한 요청을 전송한다.
3. 서버 거부, 롤백, 오류 표시와 감사 로그를 확인한다.
4. 모든 클라이언트의 상태가 일치하는지 확인한다.</x:v>
      </x:c>
      <x:c r="H7" s="36" t="str">
        <x:v>요청은 사양에 따라 거부되거나 안전하게 복구되며, 중복 반영, 데이터 손실, 정보 유출 또는 진행 중단이 발생하지 않는다. 오류와 상관관계 ID가 기록된다.</x:v>
      </x:c>
      <x:c r="I7" s="36" t="str">
        <x:v>기능</x:v>
      </x:c>
      <x:c r="J7" s="36" t="str">
        <x:v>P0</x:v>
      </x:c>
      <x:c r="K7" s="36" t="str">
        <x:v>전체</x:v>
      </x:c>
      <x:c r="L7" s="36" t="str">
        <x:v>부분</x:v>
      </x:c>
      <x:c r="M7" s="36" t="str">
        <x:v>미실시</x:v>
      </x:c>
      <x:c r="N7" s="36" t="str">
        <x:v>미정</x:v>
      </x:c>
      <x:c r="O7" s="36" t="str">
        <x:v>미정</x:v>
      </x:c>
      <x:c r="P7" s="36"/>
      <x:c r="Q7" s="36"/>
      <x:c r="R7" s="44" t="str">
        <x:v>2026-07-10</x:v>
      </x:c>
      <x:c r="S7" s="36"/>
      <x:c r="T7" s="54"/>
      <x:c r="U7" s="54"/>
      <x:c r="V7" s="53" t="str">
        <x:v>착수 전</x:v>
      </x:c>
    </x:row>
    <x:row r="8" ht="42" customHeight="1">
      <x:c r="A8" s="36" t="str">
        <x:v>TC-CHR-004-01</x:v>
      </x:c>
      <x:c r="B8" s="36" t="str">
        <x:v>CHR-004</x:v>
      </x:c>
      <x:c r="C8" s="36" t="str">
        <x:v>캐릭터·커스터마이징·커머스</x:v>
      </x:c>
      <x:c r="D8" s="36" t="str">
        <x:v>정상 시나리오: LED 도트 매트릭스 표시 기반</x:v>
      </x:c>
      <x:c r="E8" s="36" t="str">
        <x:v>머리 전면에 표정과 아이콘을 표시하고 밝기, 블룸, 점멸, 거리 LOD가 밤 관찰과 색상 판정을 방해하지 않으며 저자극 설정을 지원한다.</x:v>
      </x:c>
      <x:c r="F8" s="36" t="str">
        <x:v>대상 기능이 포함된 MVP 빌드, 필요한 테스트 계정·룸 설정·로그 접근 권한을 준비한다.</x:v>
      </x:c>
      <x:c r="G8" s="36" t="str">
        <x:v>1. 사전 조건 상태를 구성한다.
2. 표준 설정에서 다음 테스트 대상을 실행한다: LED 도트 매트릭스 표시 기반.
3. UI, 서버 상태와 로그·텔레메트리를 확인한다.
4. 필요하면 재입장 또는 재실행하여 재현성을 확인한다.</x:v>
      </x:c>
      <x:c r="H8" s="36" t="str">
        <x:v>머리 전면에 표정과 아이콘을 표시하고 밝기, 블룸, 점멸, 거리 LOD가 밤 관찰과 색상 판정을 방해하지 않으며 저자극 설정을 지원한다.</x:v>
      </x:c>
      <x:c r="I8" s="36" t="str">
        <x:v>접근성</x:v>
      </x:c>
      <x:c r="J8" s="36" t="str">
        <x:v>P0</x:v>
      </x:c>
      <x:c r="K8" s="36" t="str">
        <x:v>전체</x:v>
      </x:c>
      <x:c r="L8" s="36" t="str">
        <x:v>부분</x:v>
      </x:c>
      <x:c r="M8" s="36" t="str">
        <x:v>미실시</x:v>
      </x:c>
      <x:c r="N8" s="36" t="str">
        <x:v>미정</x:v>
      </x:c>
      <x:c r="O8" s="36" t="str">
        <x:v>미정</x:v>
      </x:c>
      <x:c r="P8" s="36"/>
      <x:c r="Q8" s="36"/>
      <x:c r="R8" s="44" t="str">
        <x:v>2026-07-10</x:v>
      </x:c>
      <x:c r="S8" s="36"/>
      <x:c r="T8" s="54"/>
      <x:c r="U8" s="54"/>
      <x:c r="V8" s="53" t="str">
        <x:v>착수 전</x:v>
      </x:c>
    </x:row>
    <x:row r="9" ht="42" customHeight="1">
      <x:c r="A9" s="36" t="str">
        <x:v>TC-CHR-004-02</x:v>
      </x:c>
      <x:c r="B9" s="36" t="str">
        <x:v>CHR-004</x:v>
      </x:c>
      <x:c r="C9" s="36" t="str">
        <x:v>캐릭터·커스터마이징·커머스</x:v>
      </x:c>
      <x:c r="D9" s="36" t="str">
        <x:v>예외·경계 시나리오: LED 도트 매트릭스 표시 기반</x:v>
      </x:c>
      <x:c r="E9" s="36" t="str">
        <x:v>허용되지 않은 상태, 잘못된 값, 중복, 만료, 권한 부족, 연결 끊김 입력으로 데이터 손상·정보 유출·클라이언트 상태 분기가 발생하지 않는지 확인한다.</x:v>
      </x:c>
      <x:c r="F9" s="36" t="str">
        <x:v>대상 기능이 포함된 MVP 빌드와 디버그 입력, 네트워크 열화, 비정상 요청 재현 수단을 준비한다.</x:v>
      </x:c>
      <x:c r="G9" s="36" t="str">
        <x:v>1. 허용되지 않은 페이즈 또는 경계값 조건을 구성한다.
2. LED 도트 매트릭스 표시 기반에 대해 중복·무효·지연·연결 끊김을 포함한 요청을 전송한다.
3. 서버 거부, 롤백, 오류 표시와 감사 로그를 확인한다.
4. 모든 클라이언트의 상태가 일치하는지 확인한다.</x:v>
      </x:c>
      <x:c r="H9" s="36" t="str">
        <x:v>요청은 사양에 따라 거부되거나 안전하게 복구되며, 중복 반영, 데이터 손실, 정보 유출 또는 진행 중단이 발생하지 않는다. 오류와 상관관계 ID가 기록된다.</x:v>
      </x:c>
      <x:c r="I9" s="36" t="str">
        <x:v>접근성</x:v>
      </x:c>
      <x:c r="J9" s="36" t="str">
        <x:v>P0</x:v>
      </x:c>
      <x:c r="K9" s="36" t="str">
        <x:v>전체</x:v>
      </x:c>
      <x:c r="L9" s="36" t="str">
        <x:v>부분</x:v>
      </x:c>
      <x:c r="M9" s="36" t="str">
        <x:v>미실시</x:v>
      </x:c>
      <x:c r="N9" s="36" t="str">
        <x:v>미정</x:v>
      </x:c>
      <x:c r="O9" s="36" t="str">
        <x:v>미정</x:v>
      </x:c>
      <x:c r="P9" s="36"/>
      <x:c r="Q9" s="36"/>
      <x:c r="R9" s="44" t="str">
        <x:v>2026-07-10</x:v>
      </x:c>
      <x:c r="S9" s="36"/>
      <x:c r="T9" s="54"/>
      <x:c r="U9" s="54"/>
      <x:c r="V9" s="53" t="str">
        <x:v>착수 전</x:v>
      </x:c>
    </x:row>
    <x:row r="10" ht="42" customHeight="1">
      <x:c r="A10" s="36" t="str">
        <x:v>TC-CHR-005-01</x:v>
      </x:c>
      <x:c r="B10" s="36" t="str">
        <x:v>CHR-005</x:v>
      </x:c>
      <x:c r="C10" s="36" t="str">
        <x:v>캐릭터·커스터마이징·커머스</x:v>
      </x:c>
      <x:c r="D10" s="36" t="str">
        <x:v>정상 시나리오: 4~8색 플레이어 식별 팔레트</x:v>
      </x:c>
      <x:c r="E10" s="36" t="str">
        <x:v>빨강, 파랑, 노랑, 초록, 보라, 주황 등을 조명, 색각 특성, 디스플레이 조건에서 검증하고 몸, LED, UI, 메모에 같은 색상 ID를 적용한다.</x:v>
      </x:c>
      <x:c r="F10" s="36" t="str">
        <x:v>대상 기능이 포함된 MVP 빌드, 필요한 테스트 계정·룸 설정·로그 접근 권한을 준비한다.</x:v>
      </x:c>
      <x:c r="G10" s="36" t="str">
        <x:v>1. 사전 조건 상태를 구성한다.
2. 표준 설정에서 다음 테스트 대상을 실행한다: 4~8색 플레이어 식별 팔레트.
3. UI, 서버 상태와 로그·텔레메트리를 확인한다.
4. 필요하면 재입장 또는 재실행하여 재현성을 확인한다.</x:v>
      </x:c>
      <x:c r="H10" s="36" t="str">
        <x:v>빨강, 파랑, 노랑, 초록, 보라, 주황 등을 조명, 색각 특성, 디스플레이 조건에서 검증하고 몸, LED, UI, 메모에 같은 색상 ID를 적용한다.</x:v>
      </x:c>
      <x:c r="I10" s="36" t="str">
        <x:v>접근성</x:v>
      </x:c>
      <x:c r="J10" s="36" t="str">
        <x:v>P0</x:v>
      </x:c>
      <x:c r="K10" s="36" t="str">
        <x:v>전체</x:v>
      </x:c>
      <x:c r="L10" s="36" t="str">
        <x:v>예</x:v>
      </x:c>
      <x:c r="M10" s="36" t="str">
        <x:v>미실시</x:v>
      </x:c>
      <x:c r="N10" s="36" t="str">
        <x:v>미정</x:v>
      </x:c>
      <x:c r="O10" s="36" t="str">
        <x:v>미정</x:v>
      </x:c>
      <x:c r="P10" s="36"/>
      <x:c r="Q10" s="36"/>
      <x:c r="R10" s="44" t="str">
        <x:v>2026-07-10</x:v>
      </x:c>
      <x:c r="S10" s="36"/>
      <x:c r="T10" s="54"/>
      <x:c r="U10" s="54"/>
      <x:c r="V10" s="53" t="str">
        <x:v>착수 전</x:v>
      </x:c>
    </x:row>
    <x:row r="11" ht="42" customHeight="1">
      <x:c r="A11" s="36" t="str">
        <x:v>TC-CHR-005-02</x:v>
      </x:c>
      <x:c r="B11" s="36" t="str">
        <x:v>CHR-005</x:v>
      </x:c>
      <x:c r="C11" s="36" t="str">
        <x:v>캐릭터·커스터마이징·커머스</x:v>
      </x:c>
      <x:c r="D11" s="36" t="str">
        <x:v>예외·경계 시나리오: 4~8색 플레이어 식별 팔레트</x:v>
      </x:c>
      <x:c r="E11" s="36" t="str">
        <x:v>허용되지 않은 상태, 잘못된 값, 중복, 만료, 권한 부족, 연결 끊김 입력으로 데이터 손상·정보 유출·클라이언트 상태 분기가 발생하지 않는지 확인한다.</x:v>
      </x:c>
      <x:c r="F11" s="36" t="str">
        <x:v>대상 기능이 포함된 MVP 빌드와 디버그 입력, 네트워크 열화, 비정상 요청 재현 수단을 준비한다.</x:v>
      </x:c>
      <x:c r="G11" s="36" t="str">
        <x:v>1. 허용되지 않은 페이즈 또는 경계값 조건을 구성한다.
2. 4~8색 플레이어 식별 팔레트에 대해 중복·무효·지연·연결 끊김을 포함한 요청을 전송한다.
3. 서버 거부, 롤백, 오류 표시와 감사 로그를 확인한다.
4. 모든 클라이언트의 상태가 일치하는지 확인한다.</x:v>
      </x:c>
      <x:c r="H11" s="36" t="str">
        <x:v>요청은 사양에 따라 거부되거나 안전하게 복구되며, 중복 반영, 데이터 손실, 정보 유출 또는 진행 중단이 발생하지 않는다. 오류와 상관관계 ID가 기록된다.</x:v>
      </x:c>
      <x:c r="I11" s="36" t="str">
        <x:v>접근성</x:v>
      </x:c>
      <x:c r="J11" s="36" t="str">
        <x:v>P0</x:v>
      </x:c>
      <x:c r="K11" s="36" t="str">
        <x:v>전체</x:v>
      </x:c>
      <x:c r="L11" s="36" t="str">
        <x:v>예</x:v>
      </x:c>
      <x:c r="M11" s="36" t="str">
        <x:v>미실시</x:v>
      </x:c>
      <x:c r="N11" s="36" t="str">
        <x:v>미정</x:v>
      </x:c>
      <x:c r="O11" s="36" t="str">
        <x:v>미정</x:v>
      </x:c>
      <x:c r="P11" s="36"/>
      <x:c r="Q11" s="36"/>
      <x:c r="R11" s="44" t="str">
        <x:v>2026-07-10</x:v>
      </x:c>
      <x:c r="S11" s="36"/>
      <x:c r="T11" s="54"/>
      <x:c r="U11" s="54"/>
      <x:c r="V11" s="53" t="str">
        <x:v>착수 전</x:v>
      </x:c>
    </x:row>
    <x:row r="12" ht="42" customHeight="1">
      <x:c r="A12" s="36" t="str">
        <x:v>TC-CHR-006-01</x:v>
      </x:c>
      <x:c r="B12" s="36" t="str">
        <x:v>CHR-006</x:v>
      </x:c>
      <x:c r="C12" s="36" t="str">
        <x:v>캐릭터·커스터마이징·커머스</x:v>
      </x:c>
      <x:c r="D12" s="36" t="str">
        <x:v>정상 시나리오: 몸·LED·포인트 색상 적용 규칙</x:v>
      </x:c>
      <x:c r="E12" s="36" t="str">
        <x:v>의상을 변경해도 주요 면적에 본인 색상이 유지되고 다른 플레이어 색상이나 메모 색상으로 오인할 수 있는 보조 색상을 제한한다.</x:v>
      </x:c>
      <x:c r="F12" s="36" t="str">
        <x:v>대상 기능이 포함된 MVP 빌드, 필요한 테스트 계정·룸 설정·로그 접근 권한을 준비한다.</x:v>
      </x:c>
      <x:c r="G12" s="36" t="str">
        <x:v>1. 사전 조건 상태를 구성한다.
2. 표준 설정에서 다음 테스트 대상을 실행한다: 몸·LED·포인트 색상 적용 규칙.
3. UI, 서버 상태와 로그·텔레메트리를 확인한다.
4. 필요하면 재입장 또는 재실행하여 재현성을 확인한다.</x:v>
      </x:c>
      <x:c r="H12" s="36" t="str">
        <x:v>의상을 변경해도 주요 면적에 본인 색상이 유지되고 다른 플레이어 색상이나 메모 색상으로 오인할 수 있는 보조 색상을 제한한다.</x:v>
      </x:c>
      <x:c r="I12" s="36" t="str">
        <x:v>사용성</x:v>
      </x:c>
      <x:c r="J12" s="36" t="str">
        <x:v>P0</x:v>
      </x:c>
      <x:c r="K12" s="36" t="str">
        <x:v>전체</x:v>
      </x:c>
      <x:c r="L12" s="36" t="str">
        <x:v>예</x:v>
      </x:c>
      <x:c r="M12" s="36" t="str">
        <x:v>미실시</x:v>
      </x:c>
      <x:c r="N12" s="36" t="str">
        <x:v>미정</x:v>
      </x:c>
      <x:c r="O12" s="36" t="str">
        <x:v>미정</x:v>
      </x:c>
      <x:c r="P12" s="36"/>
      <x:c r="Q12" s="36"/>
      <x:c r="R12" s="44" t="str">
        <x:v>2026-07-10</x:v>
      </x:c>
      <x:c r="S12" s="36"/>
      <x:c r="T12" s="54"/>
      <x:c r="U12" s="54"/>
      <x:c r="V12" s="53" t="str">
        <x:v>착수 전</x:v>
      </x:c>
    </x:row>
    <x:row r="13" ht="42" customHeight="1">
      <x:c r="A13" s="36" t="str">
        <x:v>TC-CHR-006-02</x:v>
      </x:c>
      <x:c r="B13" s="36" t="str">
        <x:v>CHR-006</x:v>
      </x:c>
      <x:c r="C13" s="36" t="str">
        <x:v>캐릭터·커스터마이징·커머스</x:v>
      </x:c>
      <x:c r="D13" s="36" t="str">
        <x:v>예외·경계 시나리오: 몸·LED·포인트 색상 적용 규칙</x:v>
      </x:c>
      <x:c r="E13" s="36" t="str">
        <x:v>허용되지 않은 상태, 잘못된 값, 중복, 만료, 권한 부족, 연결 끊김 입력으로 데이터 손상·정보 유출·클라이언트 상태 분기가 발생하지 않는지 확인한다.</x:v>
      </x:c>
      <x:c r="F13" s="36" t="str">
        <x:v>대상 기능이 포함된 MVP 빌드와 디버그 입력, 네트워크 열화, 비정상 요청 재현 수단을 준비한다.</x:v>
      </x:c>
      <x:c r="G13" s="36" t="str">
        <x:v>1. 허용되지 않은 페이즈 또는 경계값 조건을 구성한다.
2. 몸·LED·포인트 색상 적용 규칙에 대해 중복·무효·지연·연결 끊김을 포함한 요청을 전송한다.
3. 서버 거부, 롤백, 오류 표시와 감사 로그를 확인한다.
4. 모든 클라이언트의 상태가 일치하는지 확인한다.</x:v>
      </x:c>
      <x:c r="H13" s="36" t="str">
        <x:v>요청은 사양에 따라 거부되거나 안전하게 복구되며, 중복 반영, 데이터 손실, 정보 유출 또는 진행 중단이 발생하지 않는다. 오류와 상관관계 ID가 기록된다.</x:v>
      </x:c>
      <x:c r="I13" s="36" t="str">
        <x:v>사용성</x:v>
      </x:c>
      <x:c r="J13" s="36" t="str">
        <x:v>P0</x:v>
      </x:c>
      <x:c r="K13" s="36" t="str">
        <x:v>전체</x:v>
      </x:c>
      <x:c r="L13" s="36" t="str">
        <x:v>예</x:v>
      </x:c>
      <x:c r="M13" s="36" t="str">
        <x:v>미실시</x:v>
      </x:c>
      <x:c r="N13" s="36" t="str">
        <x:v>미정</x:v>
      </x:c>
      <x:c r="O13" s="36" t="str">
        <x:v>미정</x:v>
      </x:c>
      <x:c r="P13" s="36"/>
      <x:c r="Q13" s="36"/>
      <x:c r="R13" s="44" t="str">
        <x:v>2026-07-10</x:v>
      </x:c>
      <x:c r="S13" s="36"/>
      <x:c r="T13" s="54"/>
      <x:c r="U13" s="54"/>
      <x:c r="V13" s="53" t="str">
        <x:v>착수 전</x:v>
      </x:c>
    </x:row>
    <x:row r="14" ht="42" customHeight="1">
      <x:c r="A14" s="36" t="str">
        <x:v>TC-CHR-007-01</x:v>
      </x:c>
      <x:c r="B14" s="36" t="str">
        <x:v>CHR-007</x:v>
      </x:c>
      <x:c r="C14" s="36" t="str">
        <x:v>캐릭터·커스터마이징·커머스</x:v>
      </x:c>
      <x:c r="D14" s="36" t="str">
        <x:v>정상 시나리오: 이동·정지·회전·집결 텔레포트</x:v>
      </x:c>
      <x:c r="E14" s="36" t="str">
        <x:v>작은 몸과 큰 머리 구성에서 발 미끄러짐, 머리 관통, 급회전 오류가 없고 밤 집결 전환을 안정적으로 재생한다.</x:v>
      </x:c>
      <x:c r="F14" s="36" t="str">
        <x:v>대상 기능이 포함된 MVP 빌드, 필요한 테스트 계정·룸 설정·로그 접근 권한을 준비한다.</x:v>
      </x:c>
      <x:c r="G14" s="36" t="str">
        <x:v>1. 사전 조건 상태를 구성한다.
2. 표준 설정에서 다음 테스트 대상을 실행한다: 이동·정지·회전·집결 텔레포트.
3. UI, 서버 상태와 로그·텔레메트리를 확인한다.
4. 필요하면 재입장 또는 재실행하여 재현성을 확인한다.</x:v>
      </x:c>
      <x:c r="H14" s="36" t="str">
        <x:v>작은 몸과 큰 머리 구성에서 발 미끄러짐, 머리 관통, 급회전 오류가 없고 밤 집결 전환을 안정적으로 재생한다.</x:v>
      </x:c>
      <x:c r="I14" s="36" t="str">
        <x:v>기능</x:v>
      </x:c>
      <x:c r="J14" s="36" t="str">
        <x:v>P0</x:v>
      </x:c>
      <x:c r="K14" s="36" t="str">
        <x:v>전체</x:v>
      </x:c>
      <x:c r="L14" s="36" t="str">
        <x:v>부분</x:v>
      </x:c>
      <x:c r="M14" s="36" t="str">
        <x:v>미실시</x:v>
      </x:c>
      <x:c r="N14" s="36" t="str">
        <x:v>미정</x:v>
      </x:c>
      <x:c r="O14" s="36" t="str">
        <x:v>미정</x:v>
      </x:c>
      <x:c r="P14" s="36"/>
      <x:c r="Q14" s="36"/>
      <x:c r="R14" s="44" t="str">
        <x:v>2026-07-10</x:v>
      </x:c>
      <x:c r="S14" s="36"/>
      <x:c r="T14" s="54"/>
      <x:c r="U14" s="54"/>
      <x:c r="V14" s="53" t="str">
        <x:v>착수 전</x:v>
      </x:c>
    </x:row>
    <x:row r="15" ht="42" customHeight="1">
      <x:c r="A15" s="36" t="str">
        <x:v>TC-CHR-007-02</x:v>
      </x:c>
      <x:c r="B15" s="36" t="str">
        <x:v>CHR-007</x:v>
      </x:c>
      <x:c r="C15" s="36" t="str">
        <x:v>캐릭터·커스터마이징·커머스</x:v>
      </x:c>
      <x:c r="D15" s="36" t="str">
        <x:v>예외·경계 시나리오: 이동·정지·회전·집결 텔레포트</x:v>
      </x:c>
      <x:c r="E15" s="36" t="str">
        <x:v>허용되지 않은 상태, 잘못된 값, 중복, 만료, 권한 부족, 연결 끊김 입력으로 데이터 손상·정보 유출·클라이언트 상태 분기가 발생하지 않는지 확인한다.</x:v>
      </x:c>
      <x:c r="F15" s="36" t="str">
        <x:v>대상 기능이 포함된 MVP 빌드와 디버그 입력, 네트워크 열화, 비정상 요청 재현 수단을 준비한다.</x:v>
      </x:c>
      <x:c r="G15" s="36" t="str">
        <x:v>1. 허용되지 않은 페이즈 또는 경계값 조건을 구성한다.
2. 이동·정지·회전·집결 텔레포트에 대해 중복·무효·지연·연결 끊김을 포함한 요청을 전송한다.
3. 서버 거부, 롤백, 오류 표시와 감사 로그를 확인한다.
4. 모든 클라이언트의 상태가 일치하는지 확인한다.</x:v>
      </x:c>
      <x:c r="H15" s="36" t="str">
        <x:v>요청은 사양에 따라 거부되거나 안전하게 복구되며, 중복 반영, 데이터 손실, 정보 유출 또는 진행 중단이 발생하지 않는다. 오류와 상관관계 ID가 기록된다.</x:v>
      </x:c>
      <x:c r="I15" s="36" t="str">
        <x:v>기능</x:v>
      </x:c>
      <x:c r="J15" s="36" t="str">
        <x:v>P0</x:v>
      </x:c>
      <x:c r="K15" s="36" t="str">
        <x:v>전체</x:v>
      </x:c>
      <x:c r="L15" s="36" t="str">
        <x:v>부분</x:v>
      </x:c>
      <x:c r="M15" s="36" t="str">
        <x:v>미실시</x:v>
      </x:c>
      <x:c r="N15" s="36" t="str">
        <x:v>미정</x:v>
      </x:c>
      <x:c r="O15" s="36" t="str">
        <x:v>미정</x:v>
      </x:c>
      <x:c r="P15" s="36"/>
      <x:c r="Q15" s="36"/>
      <x:c r="R15" s="44" t="str">
        <x:v>2026-07-10</x:v>
      </x:c>
      <x:c r="S15" s="36"/>
      <x:c r="T15" s="54"/>
      <x:c r="U15" s="54"/>
      <x:c r="V15" s="53" t="str">
        <x:v>착수 전</x:v>
      </x:c>
    </x:row>
    <x:row r="16" ht="42" customHeight="1">
      <x:c r="A16" s="36" t="str">
        <x:v>TC-CHR-008-01</x:v>
      </x:c>
      <x:c r="B16" s="36" t="str">
        <x:v>CHR-008</x:v>
      </x:c>
      <x:c r="C16" s="36" t="str">
        <x:v>캐릭터·커스터마이징·커머스</x:v>
      </x:c>
      <x:c r="D16" s="36" t="str">
        <x:v>정상 시나리오: 관찰 가능한 메모 부착 애니메이션</x:v>
      </x:c>
      <x:c r="E16" s="36" t="str">
        <x:v>등 뒤로 손을 뻗는 약 1.5초 동작을 주변 플레이어가 인지할 수 있지만 원거리에서 메모 색상이나 문구를 읽게 만드는 과도한 연출은 하지 않는다.</x:v>
      </x:c>
      <x:c r="F16" s="36" t="str">
        <x:v>대상 기능이 포함된 MVP 빌드, 필요한 테스트 계정·룸 설정·로그 접근 권한을 준비한다.</x:v>
      </x:c>
      <x:c r="G16" s="36" t="str">
        <x:v>1. 사전 조건 상태를 구성한다.
2. 표준 설정에서 다음 테스트 대상을 실행한다: 관찰 가능한 메모 부착 애니메이션.
3. UI, 서버 상태와 로그·텔레메트리를 확인한다.
4. 필요하면 재입장 또는 재실행하여 재현성을 확인한다.</x:v>
      </x:c>
      <x:c r="H16" s="36" t="str">
        <x:v>등 뒤로 손을 뻗는 약 1.5초 동작을 주변 플레이어가 인지할 수 있지만 원거리에서 메모 색상이나 문구를 읽게 만드는 과도한 연출은 하지 않는다.</x:v>
      </x:c>
      <x:c r="I16" s="36" t="str">
        <x:v>사용성</x:v>
      </x:c>
      <x:c r="J16" s="36" t="str">
        <x:v>P0</x:v>
      </x:c>
      <x:c r="K16" s="36" t="str">
        <x:v>전체</x:v>
      </x:c>
      <x:c r="L16" s="36" t="str">
        <x:v>부분</x:v>
      </x:c>
      <x:c r="M16" s="36" t="str">
        <x:v>미실시</x:v>
      </x:c>
      <x:c r="N16" s="36" t="str">
        <x:v>미정</x:v>
      </x:c>
      <x:c r="O16" s="36" t="str">
        <x:v>미정</x:v>
      </x:c>
      <x:c r="P16" s="36"/>
      <x:c r="Q16" s="36"/>
      <x:c r="R16" s="44" t="str">
        <x:v>2026-07-10</x:v>
      </x:c>
      <x:c r="S16" s="36"/>
      <x:c r="T16" s="54"/>
      <x:c r="U16" s="54"/>
      <x:c r="V16" s="53" t="str">
        <x:v>착수 전</x:v>
      </x:c>
    </x:row>
    <x:row r="17" ht="42" customHeight="1">
      <x:c r="A17" s="36" t="str">
        <x:v>TC-CHR-008-02</x:v>
      </x:c>
      <x:c r="B17" s="36" t="str">
        <x:v>CHR-008</x:v>
      </x:c>
      <x:c r="C17" s="36" t="str">
        <x:v>캐릭터·커스터마이징·커머스</x:v>
      </x:c>
      <x:c r="D17" s="36" t="str">
        <x:v>예외·경계 시나리오: 관찰 가능한 메모 부착 애니메이션</x:v>
      </x:c>
      <x:c r="E17" s="36" t="str">
        <x:v>허용되지 않은 상태, 잘못된 값, 중복, 만료, 권한 부족, 연결 끊김 입력으로 데이터 손상·정보 유출·클라이언트 상태 분기가 발생하지 않는지 확인한다.</x:v>
      </x:c>
      <x:c r="F17" s="36" t="str">
        <x:v>대상 기능이 포함된 MVP 빌드와 디버그 입력, 네트워크 열화, 비정상 요청 재현 수단을 준비한다.</x:v>
      </x:c>
      <x:c r="G17" s="36" t="str">
        <x:v>1. 허용되지 않은 페이즈 또는 경계값 조건을 구성한다.
2. 관찰 가능한 메모 부착 애니메이션에 대해 중복·무효·지연·연결 끊김을 포함한 요청을 전송한다.
3. 서버 거부, 롤백, 오류 표시와 감사 로그를 확인한다.
4. 모든 클라이언트의 상태가 일치하는지 확인한다.</x:v>
      </x:c>
      <x:c r="H17" s="36" t="str">
        <x:v>요청은 사양에 따라 거부되거나 안전하게 복구되며, 중복 반영, 데이터 손실, 정보 유출 또는 진행 중단이 발생하지 않는다. 오류와 상관관계 ID가 기록된다.</x:v>
      </x:c>
      <x:c r="I17" s="36" t="str">
        <x:v>사용성</x:v>
      </x:c>
      <x:c r="J17" s="36" t="str">
        <x:v>P0</x:v>
      </x:c>
      <x:c r="K17" s="36" t="str">
        <x:v>전체</x:v>
      </x:c>
      <x:c r="L17" s="36" t="str">
        <x:v>부분</x:v>
      </x:c>
      <x:c r="M17" s="36" t="str">
        <x:v>미실시</x:v>
      </x:c>
      <x:c r="N17" s="36" t="str">
        <x:v>미정</x:v>
      </x:c>
      <x:c r="O17" s="36" t="str">
        <x:v>미정</x:v>
      </x:c>
      <x:c r="P17" s="36"/>
      <x:c r="Q17" s="36"/>
      <x:c r="R17" s="44" t="str">
        <x:v>2026-07-10</x:v>
      </x:c>
      <x:c r="S17" s="36"/>
      <x:c r="T17" s="54"/>
      <x:c r="U17" s="54"/>
      <x:c r="V17" s="53" t="str">
        <x:v>착수 전</x:v>
      </x:c>
    </x:row>
    <x:row r="18" ht="42" customHeight="1">
      <x:c r="A18" s="36" t="str">
        <x:v>TC-CHR-009-01</x:v>
      </x:c>
      <x:c r="B18" s="36" t="str">
        <x:v>CHR-009</x:v>
      </x:c>
      <x:c r="C18" s="36" t="str">
        <x:v>캐릭터·커스터마이징·커머스</x:v>
      </x:c>
      <x:c r="D18" s="36" t="str">
        <x:v>정상 시나리오: 등 메모 소켓·기준면</x:v>
      </x:c>
      <x:c r="E18" s="36" t="str">
        <x:v>등 중앙 또는 머리 뒤쪽 하단에 공통 기준면을 정의하고 모든 머리·의상에서 위치, 법선, 크기, 충돌 영역을 검증한다.</x:v>
      </x:c>
      <x:c r="F18" s="36" t="str">
        <x:v>대상 기능이 포함된 MVP 빌드, 필요한 테스트 계정·룸 설정·로그 접근 권한을 준비한다.</x:v>
      </x:c>
      <x:c r="G18" s="36" t="str">
        <x:v>1. 사전 조건 상태를 구성한다.
2. 표준 설정에서 다음 테스트 대상을 실행한다: 등 메모 소켓·기준면.
3. UI, 서버 상태와 로그·텔레메트리를 확인한다.
4. 필요하면 재입장 또는 재실행하여 재현성을 확인한다.</x:v>
      </x:c>
      <x:c r="H18" s="36" t="str">
        <x:v>등 중앙 또는 머리 뒤쪽 하단에 공통 기준면을 정의하고 모든 머리·의상에서 위치, 법선, 크기, 충돌 영역을 검증한다.</x:v>
      </x:c>
      <x:c r="I18" s="36" t="str">
        <x:v>기능</x:v>
      </x:c>
      <x:c r="J18" s="36" t="str">
        <x:v>P0</x:v>
      </x:c>
      <x:c r="K18" s="36" t="str">
        <x:v>전체</x:v>
      </x:c>
      <x:c r="L18" s="36" t="str">
        <x:v>예</x:v>
      </x:c>
      <x:c r="M18" s="36" t="str">
        <x:v>미실시</x:v>
      </x:c>
      <x:c r="N18" s="36" t="str">
        <x:v>미정</x:v>
      </x:c>
      <x:c r="O18" s="36" t="str">
        <x:v>미정</x:v>
      </x:c>
      <x:c r="P18" s="36"/>
      <x:c r="Q18" s="36"/>
      <x:c r="R18" s="44" t="str">
        <x:v>2026-07-10</x:v>
      </x:c>
      <x:c r="S18" s="36"/>
      <x:c r="T18" s="54"/>
      <x:c r="U18" s="54"/>
      <x:c r="V18" s="53" t="str">
        <x:v>착수 전</x:v>
      </x:c>
    </x:row>
    <x:row r="19" ht="42" customHeight="1">
      <x:c r="A19" s="36" t="str">
        <x:v>TC-CHR-009-02</x:v>
      </x:c>
      <x:c r="B19" s="36" t="str">
        <x:v>CHR-009</x:v>
      </x:c>
      <x:c r="C19" s="36" t="str">
        <x:v>캐릭터·커스터마이징·커머스</x:v>
      </x:c>
      <x:c r="D19" s="36" t="str">
        <x:v>예외·경계 시나리오: 등 메모 소켓·기준면</x:v>
      </x:c>
      <x:c r="E19" s="36" t="str">
        <x:v>허용되지 않은 상태, 잘못된 값, 중복, 만료, 권한 부족, 연결 끊김 입력으로 데이터 손상·정보 유출·클라이언트 상태 분기가 발생하지 않는지 확인한다.</x:v>
      </x:c>
      <x:c r="F19" s="36" t="str">
        <x:v>대상 기능이 포함된 MVP 빌드와 디버그 입력, 네트워크 열화, 비정상 요청 재현 수단을 준비한다.</x:v>
      </x:c>
      <x:c r="G19" s="36" t="str">
        <x:v>1. 허용되지 않은 페이즈 또는 경계값 조건을 구성한다.
2. 등 메모 소켓·기준면에 대해 중복·무효·지연·연결 끊김을 포함한 요청을 전송한다.
3. 서버 거부, 롤백, 오류 표시와 감사 로그를 확인한다.
4. 모든 클라이언트의 상태가 일치하는지 확인한다.</x:v>
      </x:c>
      <x:c r="H19" s="36" t="str">
        <x:v>요청은 사양에 따라 거부되거나 안전하게 복구되며, 중복 반영, 데이터 손실, 정보 유출 또는 진행 중단이 발생하지 않는다. 오류와 상관관계 ID가 기록된다.</x:v>
      </x:c>
      <x:c r="I19" s="36" t="str">
        <x:v>기능</x:v>
      </x:c>
      <x:c r="J19" s="36" t="str">
        <x:v>P0</x:v>
      </x:c>
      <x:c r="K19" s="36" t="str">
        <x:v>전체</x:v>
      </x:c>
      <x:c r="L19" s="36" t="str">
        <x:v>예</x:v>
      </x:c>
      <x:c r="M19" s="36" t="str">
        <x:v>미실시</x:v>
      </x:c>
      <x:c r="N19" s="36" t="str">
        <x:v>미정</x:v>
      </x:c>
      <x:c r="O19" s="36" t="str">
        <x:v>미정</x:v>
      </x:c>
      <x:c r="P19" s="36"/>
      <x:c r="Q19" s="36"/>
      <x:c r="R19" s="44" t="str">
        <x:v>2026-07-10</x:v>
      </x:c>
      <x:c r="S19" s="36"/>
      <x:c r="T19" s="54"/>
      <x:c r="U19" s="54"/>
      <x:c r="V19" s="53" t="str">
        <x:v>착수 전</x:v>
      </x:c>
    </x:row>
    <x:row r="20" ht="42" customHeight="1">
      <x:c r="A20" s="36" t="str">
        <x:v>TC-CHR-010-01</x:v>
      </x:c>
      <x:c r="B20" s="36" t="str">
        <x:v>CHR-010</x:v>
      </x:c>
      <x:c r="C20" s="36" t="str">
        <x:v>캐릭터·커스터마이징·커머스</x:v>
      </x:c>
      <x:c r="D20" s="36" t="str">
        <x:v>정상 시나리오: 최대 6장 등 메모 레이아웃</x:v>
      </x:c>
      <x:c r="E20" s="36" t="str">
        <x:v>오래된 메모부터 왼쪽 위→오른쪽 아래로 배치하고 크기, 겹침, 곡면 추종, 흔들림을 통일한다. 카메라 각도에 따라 순서가 반전되지 않는다.</x:v>
      </x:c>
      <x:c r="F20" s="36" t="str">
        <x:v>대상 기능이 포함된 MVP 빌드, 필요한 테스트 계정·룸 설정·로그 접근 권한을 준비한다.</x:v>
      </x:c>
      <x:c r="G20" s="36" t="str">
        <x:v>1. 사전 조건 상태를 구성한다.
2. 표준 설정에서 다음 테스트 대상을 실행한다: 최대 6장 등 메모 레이아웃.
3. UI, 서버 상태와 로그·텔레메트리를 확인한다.
4. 필요하면 재입장 또는 재실행하여 재현성을 확인한다.</x:v>
      </x:c>
      <x:c r="H20" s="36" t="str">
        <x:v>오래된 메모부터 왼쪽 위→오른쪽 아래로 배치하고 크기, 겹침, 곡면 추종, 흔들림을 통일한다. 카메라 각도에 따라 순서가 반전되지 않는다.</x:v>
      </x:c>
      <x:c r="I20" s="36" t="str">
        <x:v>사용성</x:v>
      </x:c>
      <x:c r="J20" s="36" t="str">
        <x:v>P0</x:v>
      </x:c>
      <x:c r="K20" s="36" t="str">
        <x:v>전체</x:v>
      </x:c>
      <x:c r="L20" s="36" t="str">
        <x:v>부분</x:v>
      </x:c>
      <x:c r="M20" s="36" t="str">
        <x:v>미실시</x:v>
      </x:c>
      <x:c r="N20" s="36" t="str">
        <x:v>미정</x:v>
      </x:c>
      <x:c r="O20" s="36" t="str">
        <x:v>미정</x:v>
      </x:c>
      <x:c r="P20" s="36"/>
      <x:c r="Q20" s="36"/>
      <x:c r="R20" s="44" t="str">
        <x:v>2026-07-10</x:v>
      </x:c>
      <x:c r="S20" s="36"/>
      <x:c r="T20" s="54"/>
      <x:c r="U20" s="54"/>
      <x:c r="V20" s="53" t="str">
        <x:v>착수 전</x:v>
      </x:c>
    </x:row>
    <x:row r="21" ht="42" customHeight="1">
      <x:c r="A21" s="36" t="str">
        <x:v>TC-CHR-010-02</x:v>
      </x:c>
      <x:c r="B21" s="36" t="str">
        <x:v>CHR-010</x:v>
      </x:c>
      <x:c r="C21" s="36" t="str">
        <x:v>캐릭터·커스터마이징·커머스</x:v>
      </x:c>
      <x:c r="D21" s="36" t="str">
        <x:v>예외·경계 시나리오: 최대 6장 등 메모 레이아웃</x:v>
      </x:c>
      <x:c r="E21" s="36" t="str">
        <x:v>허용되지 않은 상태, 잘못된 값, 중복, 만료, 권한 부족, 연결 끊김 입력으로 데이터 손상·정보 유출·클라이언트 상태 분기가 발생하지 않는지 확인한다.</x:v>
      </x:c>
      <x:c r="F21" s="36" t="str">
        <x:v>대상 기능이 포함된 MVP 빌드와 디버그 입력, 네트워크 열화, 비정상 요청 재현 수단을 준비한다.</x:v>
      </x:c>
      <x:c r="G21" s="36" t="str">
        <x:v>1. 허용되지 않은 페이즈 또는 경계값 조건을 구성한다.
2. 최대 6장 등 메모 레이아웃에 대해 중복·무효·지연·연결 끊김을 포함한 요청을 전송한다.
3. 서버 거부, 롤백, 오류 표시와 감사 로그를 확인한다.
4. 모든 클라이언트의 상태가 일치하는지 확인한다.</x:v>
      </x:c>
      <x:c r="H21" s="36" t="str">
        <x:v>요청은 사양에 따라 거부되거나 안전하게 복구되며, 중복 반영, 데이터 손실, 정보 유출 또는 진행 중단이 발생하지 않는다. 오류와 상관관계 ID가 기록된다.</x:v>
      </x:c>
      <x:c r="I21" s="36" t="str">
        <x:v>사용성</x:v>
      </x:c>
      <x:c r="J21" s="36" t="str">
        <x:v>P0</x:v>
      </x:c>
      <x:c r="K21" s="36" t="str">
        <x:v>전체</x:v>
      </x:c>
      <x:c r="L21" s="36" t="str">
        <x:v>부분</x:v>
      </x:c>
      <x:c r="M21" s="36" t="str">
        <x:v>미실시</x:v>
      </x:c>
      <x:c r="N21" s="36" t="str">
        <x:v>미정</x:v>
      </x:c>
      <x:c r="O21" s="36" t="str">
        <x:v>미정</x:v>
      </x:c>
      <x:c r="P21" s="36"/>
      <x:c r="Q21" s="36"/>
      <x:c r="R21" s="44" t="str">
        <x:v>2026-07-10</x:v>
      </x:c>
      <x:c r="S21" s="36"/>
      <x:c r="T21" s="54"/>
      <x:c r="U21" s="54"/>
      <x:c r="V21" s="53" t="str">
        <x:v>착수 전</x:v>
      </x:c>
    </x:row>
    <x:row r="22" ht="42" customHeight="1">
      <x:c r="A22" s="36" t="str">
        <x:v>TC-CHR-011-01</x:v>
      </x:c>
      <x:c r="B22" s="36" t="str">
        <x:v>CHR-011</x:v>
      </x:c>
      <x:c r="C22" s="36" t="str">
        <x:v>캐릭터·커스터마이징·커머스</x:v>
      </x:c>
      <x:c r="D22" s="36" t="str">
        <x:v>정상 시나리오: 메모 재질·거리 LOD·최신 메모 표현</x:v>
      </x:c>
      <x:c r="E22" s="36" t="str">
        <x:v>중거리에서는 색상 면, 근거리에서는 문구를 표시하고 최신 메모를 미세한 차이로 구분하되 정확한 시각을 추정할 정도의 단계 차이는 두지 않는다.</x:v>
      </x:c>
      <x:c r="F22" s="36" t="str">
        <x:v>대상 기능이 포함된 MVP 빌드, 필요한 테스트 계정·룸 설정·로그 접근 권한을 준비한다.</x:v>
      </x:c>
      <x:c r="G22" s="36" t="str">
        <x:v>1. 사전 조건 상태를 구성한다.
2. 표준 설정에서 다음 테스트 대상을 실행한다: 메모 재질·거리 LOD·최신 메모 표현.
3. UI, 서버 상태와 로그·텔레메트리를 확인한다.
4. 필요하면 재입장 또는 재실행하여 재현성을 확인한다.</x:v>
      </x:c>
      <x:c r="H22" s="36" t="str">
        <x:v>중거리에서는 색상 면, 근거리에서는 문구를 표시하고 최신 메모를 미세한 차이로 구분하되 정확한 시각을 추정할 정도의 단계 차이는 두지 않는다.</x:v>
      </x:c>
      <x:c r="I22" s="36" t="str">
        <x:v>밸런스</x:v>
      </x:c>
      <x:c r="J22" s="36" t="str">
        <x:v>P1</x:v>
      </x:c>
      <x:c r="K22" s="36" t="str">
        <x:v>전체</x:v>
      </x:c>
      <x:c r="L22" s="36" t="str">
        <x:v>부분</x:v>
      </x:c>
      <x:c r="M22" s="36" t="str">
        <x:v>미실시</x:v>
      </x:c>
      <x:c r="N22" s="36" t="str">
        <x:v>미정</x:v>
      </x:c>
      <x:c r="O22" s="36" t="str">
        <x:v>미정</x:v>
      </x:c>
      <x:c r="P22" s="36"/>
      <x:c r="Q22" s="36"/>
      <x:c r="R22" s="44" t="str">
        <x:v>2026-07-10</x:v>
      </x:c>
      <x:c r="S22" s="36"/>
      <x:c r="T22" s="54"/>
      <x:c r="U22" s="54"/>
      <x:c r="V22" s="53" t="str">
        <x:v>착수 전</x:v>
      </x:c>
    </x:row>
    <x:row r="23" ht="42" customHeight="1">
      <x:c r="A23" s="36" t="str">
        <x:v>TC-CHR-012-01</x:v>
      </x:c>
      <x:c r="B23" s="36" t="str">
        <x:v>CHR-012</x:v>
      </x:c>
      <x:c r="C23" s="36" t="str">
        <x:v>캐릭터·커스터마이징·커머스</x:v>
      </x:c>
      <x:c r="D23" s="36" t="str">
        <x:v>정상 시나리오: 의상·머리·카메라에 의한 메모 가림 방지</x:v>
      </x:c>
      <x:c r="E23" s="36" t="str">
        <x:v>MVP 전체 장비, 굽힘 자세, 벽 근처, 근거리, 밤 관찰에서 등 메모 영역의 80% 이상을 볼 수 있고 심각하게 가리는 장비는 장착할 수 없다.</x:v>
      </x:c>
      <x:c r="F23" s="36" t="str">
        <x:v>대상 기능이 포함된 MVP 빌드, 필요한 테스트 계정·룸 설정·로그 접근 권한을 준비한다.</x:v>
      </x:c>
      <x:c r="G23" s="36" t="str">
        <x:v>1. 사전 조건 상태를 구성한다.
2. 표준 설정에서 다음 테스트 대상을 실행한다: 의상·머리·카메라에 의한 메모 가림 방지.
3. UI, 서버 상태와 로그·텔레메트리를 확인한다.
4. 필요하면 재입장 또는 재실행하여 재현성을 확인한다.</x:v>
      </x:c>
      <x:c r="H23" s="36" t="str">
        <x:v>MVP 전체 장비, 굽힘 자세, 벽 근처, 근거리, 밤 관찰에서 등 메모 영역의 80% 이상을 볼 수 있고 심각하게 가리는 장비는 장착할 수 없다.</x:v>
      </x:c>
      <x:c r="I23" s="36" t="str">
        <x:v>사용성</x:v>
      </x:c>
      <x:c r="J23" s="36" t="str">
        <x:v>P0</x:v>
      </x:c>
      <x:c r="K23" s="36" t="str">
        <x:v>전체</x:v>
      </x:c>
      <x:c r="L23" s="36" t="str">
        <x:v>예</x:v>
      </x:c>
      <x:c r="M23" s="36" t="str">
        <x:v>미실시</x:v>
      </x:c>
      <x:c r="N23" s="36" t="str">
        <x:v>미정</x:v>
      </x:c>
      <x:c r="O23" s="36" t="str">
        <x:v>미정</x:v>
      </x:c>
      <x:c r="P23" s="36"/>
      <x:c r="Q23" s="36"/>
      <x:c r="R23" s="44" t="str">
        <x:v>2026-07-10</x:v>
      </x:c>
      <x:c r="S23" s="36"/>
      <x:c r="T23" s="54"/>
      <x:c r="U23" s="54"/>
      <x:c r="V23" s="53" t="str">
        <x:v>착수 전</x:v>
      </x:c>
    </x:row>
    <x:row r="24" ht="42" customHeight="1">
      <x:c r="A24" s="36" t="str">
        <x:v>TC-CHR-012-02</x:v>
      </x:c>
      <x:c r="B24" s="36" t="str">
        <x:v>CHR-012</x:v>
      </x:c>
      <x:c r="C24" s="36" t="str">
        <x:v>캐릭터·커스터마이징·커머스</x:v>
      </x:c>
      <x:c r="D24" s="36" t="str">
        <x:v>예외·경계 시나리오: 의상·머리·카메라에 의한 메모 가림 방지</x:v>
      </x:c>
      <x:c r="E24" s="36" t="str">
        <x:v>허용되지 않은 상태, 잘못된 값, 중복, 만료, 권한 부족, 연결 끊김 입력으로 데이터 손상·정보 유출·클라이언트 상태 분기가 발생하지 않는지 확인한다.</x:v>
      </x:c>
      <x:c r="F24" s="36" t="str">
        <x:v>대상 기능이 포함된 MVP 빌드와 디버그 입력, 네트워크 열화, 비정상 요청 재현 수단을 준비한다.</x:v>
      </x:c>
      <x:c r="G24" s="36" t="str">
        <x:v>1. 허용되지 않은 페이즈 또는 경계값 조건을 구성한다.
2. 의상·머리·카메라에 의한 메모 가림 방지에 대해 중복·무효·지연·연결 끊김을 포함한 요청을 전송한다.
3. 서버 거부, 롤백, 오류 표시와 감사 로그를 확인한다.
4. 모든 클라이언트의 상태가 일치하는지 확인한다.</x:v>
      </x:c>
      <x:c r="H24" s="36" t="str">
        <x:v>요청은 사양에 따라 거부되거나 안전하게 복구되며, 중복 반영, 데이터 손실, 정보 유출 또는 진행 중단이 발생하지 않는다. 오류와 상관관계 ID가 기록된다.</x:v>
      </x:c>
      <x:c r="I24" s="36" t="str">
        <x:v>사용성</x:v>
      </x:c>
      <x:c r="J24" s="36" t="str">
        <x:v>P0</x:v>
      </x:c>
      <x:c r="K24" s="36" t="str">
        <x:v>전체</x:v>
      </x:c>
      <x:c r="L24" s="36" t="str">
        <x:v>예</x:v>
      </x:c>
      <x:c r="M24" s="36" t="str">
        <x:v>미실시</x:v>
      </x:c>
      <x:c r="N24" s="36" t="str">
        <x:v>미정</x:v>
      </x:c>
      <x:c r="O24" s="36" t="str">
        <x:v>미정</x:v>
      </x:c>
      <x:c r="P24" s="36"/>
      <x:c r="Q24" s="36"/>
      <x:c r="R24" s="44" t="str">
        <x:v>2026-07-10</x:v>
      </x:c>
      <x:c r="S24" s="36"/>
      <x:c r="T24" s="54"/>
      <x:c r="U24" s="54"/>
      <x:c r="V24" s="53" t="str">
        <x:v>착수 전</x:v>
      </x:c>
    </x:row>
    <x:row r="25" ht="42" customHeight="1">
      <x:c r="A25" s="36" t="str">
        <x:v>TC-CHR-013-01</x:v>
      </x:c>
      <x:c r="B25" s="36" t="str">
        <x:v>CHR-013</x:v>
      </x:c>
      <x:c r="C25" s="36" t="str">
        <x:v>캐릭터·커스터마이징·커머스</x:v>
      </x:c>
      <x:c r="D25" s="36" t="str">
        <x:v>정상 시나리오: 구형·정육면체형 헤드 지원</x:v>
      </x:c>
      <x:c r="E25" s="36" t="str">
        <x:v>추가 머리 2종에서 LED 표시, 이름표, 메모 소켓, 카메라, 충돌, 표정이 기준 안에 들어오며 게임 성능 차이는 생기지 않는다.</x:v>
      </x:c>
      <x:c r="F25" s="36" t="str">
        <x:v>대상 기능이 포함된 출시 후 빌드, 필요한 테스트 계정·룸 설정·로그 접근 권한을 준비한다.</x:v>
      </x:c>
      <x:c r="G25" s="36" t="str">
        <x:v>1. 사전 조건 상태를 구성한다.
2. 표준 설정에서 다음 테스트 대상을 실행한다: 구형·정육면체형 헤드 지원.
3. UI, 서버 상태와 로그·텔레메트리를 확인한다.
4. 필요하면 재입장 또는 재실행하여 재현성을 확인한다.</x:v>
      </x:c>
      <x:c r="H25" s="36" t="str">
        <x:v>추가 머리 2종에서 LED 표시, 이름표, 메모 소켓, 카메라, 충돌, 표정이 기준 안에 들어오며 게임 성능 차이는 생기지 않는다.</x:v>
      </x:c>
      <x:c r="I25" s="36" t="str">
        <x:v>호환성</x:v>
      </x:c>
      <x:c r="J25" s="36" t="str">
        <x:v>P2</x:v>
      </x:c>
      <x:c r="K25" s="36" t="str">
        <x:v>전체</x:v>
      </x:c>
      <x:c r="L25" s="36" t="str">
        <x:v>부분</x:v>
      </x:c>
      <x:c r="M25" s="36" t="str">
        <x:v>미실시</x:v>
      </x:c>
      <x:c r="N25" s="36" t="str">
        <x:v>미정</x:v>
      </x:c>
      <x:c r="O25" s="36" t="str">
        <x:v>미정</x:v>
      </x:c>
      <x:c r="P25" s="36"/>
      <x:c r="Q25" s="36"/>
      <x:c r="R25" s="44" t="str">
        <x:v>2026-07-10</x:v>
      </x:c>
      <x:c r="S25" s="36"/>
      <x:c r="T25" s="54"/>
      <x:c r="U25" s="54"/>
      <x:c r="V25" s="53" t="str">
        <x:v>착수 전</x:v>
      </x:c>
    </x:row>
    <x:row r="26" ht="42" customHeight="1">
      <x:c r="A26" s="36" t="str">
        <x:v>TC-CHR-014-01</x:v>
      </x:c>
      <x:c r="B26" s="36" t="str">
        <x:v>CHR-014</x:v>
      </x:c>
      <x:c r="C26" s="36" t="str">
        <x:v>캐릭터·커스터마이징·커머스</x:v>
      </x:c>
      <x:c r="D26" s="36" t="str">
        <x:v>정상 시나리오: 의상·모자·액세서리 금지 형태 규칙</x:v>
      </x:c>
      <x:c r="E26" s="36" t="str">
        <x:v>LED 화면, 본인 색상, 이름표, 등 메모를 가리는 모자, 망토, 날개, 대형 발광물, 오인 색상은 자동 검사 또는 리뷰에서 승인하지 않는다.</x:v>
      </x:c>
      <x:c r="F26" s="36" t="str">
        <x:v>대상 기능이 포함된 MVP 빌드, 필요한 테스트 계정·룸 설정·로그 접근 권한을 준비한다.</x:v>
      </x:c>
      <x:c r="G26" s="36" t="str">
        <x:v>1. 사전 조건 상태를 구성한다.
2. 표준 설정에서 다음 테스트 대상을 실행한다: 의상·모자·액세서리 금지 형태 규칙.
3. UI, 서버 상태와 로그·텔레메트리를 확인한다.
4. 필요하면 재입장 또는 재실행하여 재현성을 확인한다.</x:v>
      </x:c>
      <x:c r="H26" s="36" t="str">
        <x:v>LED 화면, 본인 색상, 이름표, 등 메모를 가리는 모자, 망토, 날개, 대형 발광물, 오인 색상은 자동 검사 또는 리뷰에서 승인하지 않는다.</x:v>
      </x:c>
      <x:c r="I26" s="36" t="str">
        <x:v>사용성</x:v>
      </x:c>
      <x:c r="J26" s="36" t="str">
        <x:v>P0</x:v>
      </x:c>
      <x:c r="K26" s="36" t="str">
        <x:v>도구</x:v>
      </x:c>
      <x:c r="L26" s="36" t="str">
        <x:v>예</x:v>
      </x:c>
      <x:c r="M26" s="36" t="str">
        <x:v>미실시</x:v>
      </x:c>
      <x:c r="N26" s="36" t="str">
        <x:v>미정</x:v>
      </x:c>
      <x:c r="O26" s="36" t="str">
        <x:v>미정</x:v>
      </x:c>
      <x:c r="P26" s="36"/>
      <x:c r="Q26" s="36"/>
      <x:c r="R26" s="44" t="str">
        <x:v>2026-07-10</x:v>
      </x:c>
      <x:c r="S26" s="36"/>
      <x:c r="T26" s="54"/>
      <x:c r="U26" s="54"/>
      <x:c r="V26" s="53" t="str">
        <x:v>착수 전</x:v>
      </x:c>
    </x:row>
    <x:row r="27" ht="42" customHeight="1">
      <x:c r="A27" s="36" t="str">
        <x:v>TC-CHR-014-02</x:v>
      </x:c>
      <x:c r="B27" s="36" t="str">
        <x:v>CHR-014</x:v>
      </x:c>
      <x:c r="C27" s="36" t="str">
        <x:v>캐릭터·커스터마이징·커머스</x:v>
      </x:c>
      <x:c r="D27" s="36" t="str">
        <x:v>예외·경계 시나리오: 의상·모자·액세서리 금지 형태 규칙</x:v>
      </x:c>
      <x:c r="E27" s="36" t="str">
        <x:v>허용되지 않은 상태, 잘못된 값, 중복, 만료, 권한 부족, 연결 끊김 입력으로 데이터 손상·정보 유출·클라이언트 상태 분기가 발생하지 않는지 확인한다.</x:v>
      </x:c>
      <x:c r="F27" s="36" t="str">
        <x:v>대상 기능이 포함된 MVP 빌드와 디버그 입력, 네트워크 열화, 비정상 요청 재현 수단을 준비한다.</x:v>
      </x:c>
      <x:c r="G27" s="36" t="str">
        <x:v>1. 허용되지 않은 페이즈 또는 경계값 조건을 구성한다.
2. 의상·모자·액세서리 금지 형태 규칙에 대해 중복·무효·지연·연결 끊김을 포함한 요청을 전송한다.
3. 서버 거부, 롤백, 오류 표시와 감사 로그를 확인한다.
4. 모든 클라이언트의 상태가 일치하는지 확인한다.</x:v>
      </x:c>
      <x:c r="H27" s="36" t="str">
        <x:v>요청은 사양에 따라 거부되거나 안전하게 복구되며, 중복 반영, 데이터 손실, 정보 유출 또는 진행 중단이 발생하지 않는다. 오류와 상관관계 ID가 기록된다.</x:v>
      </x:c>
      <x:c r="I27" s="36" t="str">
        <x:v>사용성</x:v>
      </x:c>
      <x:c r="J27" s="36" t="str">
        <x:v>P0</x:v>
      </x:c>
      <x:c r="K27" s="36" t="str">
        <x:v>도구</x:v>
      </x:c>
      <x:c r="L27" s="36" t="str">
        <x:v>예</x:v>
      </x:c>
      <x:c r="M27" s="36" t="str">
        <x:v>미실시</x:v>
      </x:c>
      <x:c r="N27" s="36" t="str">
        <x:v>미정</x:v>
      </x:c>
      <x:c r="O27" s="36" t="str">
        <x:v>미정</x:v>
      </x:c>
      <x:c r="P27" s="36"/>
      <x:c r="Q27" s="36"/>
      <x:c r="R27" s="44" t="str">
        <x:v>2026-07-10</x:v>
      </x:c>
      <x:c r="S27" s="36"/>
      <x:c r="T27" s="54"/>
      <x:c r="U27" s="54"/>
      <x:c r="V27" s="53" t="str">
        <x:v>착수 전</x:v>
      </x:c>
    </x:row>
    <x:row r="28" ht="42" customHeight="1">
      <x:c r="A28" s="36" t="str">
        <x:v>TC-CHR-015-01</x:v>
      </x:c>
      <x:c r="B28" s="36" t="str">
        <x:v>CHR-015</x:v>
      </x:c>
      <x:c r="C28" s="36" t="str">
        <x:v>캐릭터·커스터마이징·커머스</x:v>
      </x:c>
      <x:c r="D28" s="36" t="str">
        <x:v>정상 시나리오: 플레이어·메모 색상용 형태·패턴 에셋</x:v>
      </x:c>
      <x:c r="E28" s="36" t="str">
        <x:v>각 색상 ID에 고유한 기호와 패턴을 배정하고 몸, 이름표, 메모, 투표 UI에서 같은 의미를 유지한다.</x:v>
      </x:c>
      <x:c r="F28" s="36" t="str">
        <x:v>대상 기능이 포함된 베타 빌드, 필요한 테스트 계정·룸 설정·로그 접근 권한을 준비한다.</x:v>
      </x:c>
      <x:c r="G28" s="36" t="str">
        <x:v>1. 사전 조건 상태를 구성한다.
2. 표준 설정에서 다음 테스트 대상을 실행한다: 플레이어·메모 색상용 형태·패턴 에셋.
3. UI, 서버 상태와 로그·텔레메트리를 확인한다.
4. 필요하면 재입장 또는 재실행하여 재현성을 확인한다.</x:v>
      </x:c>
      <x:c r="H28" s="36" t="str">
        <x:v>각 색상 ID에 고유한 기호와 패턴을 배정하고 몸, 이름표, 메모, 투표 UI에서 같은 의미를 유지한다.</x:v>
      </x:c>
      <x:c r="I28" s="36" t="str">
        <x:v>접근성</x:v>
      </x:c>
      <x:c r="J28" s="36" t="str">
        <x:v>P0</x:v>
      </x:c>
      <x:c r="K28" s="36" t="str">
        <x:v>전체</x:v>
      </x:c>
      <x:c r="L28" s="36" t="str">
        <x:v>예</x:v>
      </x:c>
      <x:c r="M28" s="36" t="str">
        <x:v>미실시</x:v>
      </x:c>
      <x:c r="N28" s="36" t="str">
        <x:v>미정</x:v>
      </x:c>
      <x:c r="O28" s="36" t="str">
        <x:v>미정</x:v>
      </x:c>
      <x:c r="P28" s="36"/>
      <x:c r="Q28" s="36"/>
      <x:c r="R28" s="44" t="str">
        <x:v>2026-07-10</x:v>
      </x:c>
      <x:c r="S28" s="36"/>
      <x:c r="T28" s="54"/>
      <x:c r="U28" s="54"/>
      <x:c r="V28" s="53" t="str">
        <x:v>착수 전</x:v>
      </x:c>
    </x:row>
    <x:row r="29" ht="42" customHeight="1">
      <x:c r="A29" s="36" t="str">
        <x:v>TC-CHR-015-02</x:v>
      </x:c>
      <x:c r="B29" s="36" t="str">
        <x:v>CHR-015</x:v>
      </x:c>
      <x:c r="C29" s="36" t="str">
        <x:v>캐릭터·커스터마이징·커머스</x:v>
      </x:c>
      <x:c r="D29" s="36" t="str">
        <x:v>예외·경계 시나리오: 플레이어·메모 색상용 형태·패턴 에셋</x:v>
      </x:c>
      <x:c r="E29" s="36" t="str">
        <x:v>허용되지 않은 상태, 잘못된 값, 중복, 만료, 권한 부족, 연결 끊김 입력으로 데이터 손상·정보 유출·클라이언트 상태 분기가 발생하지 않는지 확인한다.</x:v>
      </x:c>
      <x:c r="F29" s="36" t="str">
        <x:v>대상 기능이 포함된 베타 빌드와 디버그 입력, 네트워크 열화, 비정상 요청 재현 수단을 준비한다.</x:v>
      </x:c>
      <x:c r="G29" s="36" t="str">
        <x:v>1. 허용되지 않은 페이즈 또는 경계값 조건을 구성한다.
2. 플레이어·메모 색상용 형태·패턴 에셋에 대해 중복·무효·지연·연결 끊김을 포함한 요청을 전송한다.
3. 서버 거부, 롤백, 오류 표시와 감사 로그를 확인한다.
4. 모든 클라이언트의 상태가 일치하는지 확인한다.</x:v>
      </x:c>
      <x:c r="H29" s="36" t="str">
        <x:v>요청은 사양에 따라 거부되거나 안전하게 복구되며, 중복 반영, 데이터 손실, 정보 유출 또는 진행 중단이 발생하지 않는다. 오류와 상관관계 ID가 기록된다.</x:v>
      </x:c>
      <x:c r="I29" s="36" t="str">
        <x:v>접근성</x:v>
      </x:c>
      <x:c r="J29" s="36" t="str">
        <x:v>P0</x:v>
      </x:c>
      <x:c r="K29" s="36" t="str">
        <x:v>전체</x:v>
      </x:c>
      <x:c r="L29" s="36" t="str">
        <x:v>예</x:v>
      </x:c>
      <x:c r="M29" s="36" t="str">
        <x:v>미실시</x:v>
      </x:c>
      <x:c r="N29" s="36" t="str">
        <x:v>미정</x:v>
      </x:c>
      <x:c r="O29" s="36" t="str">
        <x:v>미정</x:v>
      </x:c>
      <x:c r="P29" s="36"/>
      <x:c r="Q29" s="36"/>
      <x:c r="R29" s="44" t="str">
        <x:v>2026-07-10</x:v>
      </x:c>
      <x:c r="S29" s="36"/>
      <x:c r="T29" s="54"/>
      <x:c r="U29" s="54"/>
      <x:c r="V29" s="53" t="str">
        <x:v>착수 전</x:v>
      </x:c>
    </x:row>
    <x:row r="30" ht="42" customHeight="1">
      <x:c r="A30" s="36" t="str">
        <x:v>TC-CHR-016-01</x:v>
      </x:c>
      <x:c r="B30" s="36" t="str">
        <x:v>CHR-016</x:v>
      </x:c>
      <x:c r="C30" s="36" t="str">
        <x:v>캐릭터·커스터마이징·커머스</x:v>
      </x:c>
      <x:c r="D30" s="36" t="str">
        <x:v>정상 시나리오: 이름표·상태 아이콘 앵커</x:v>
      </x:c>
      <x:c r="E30" s="36" t="str">
        <x:v>머리 형태, 동작, 카메라 거리와 관계없이 이름과 상태 아이콘이 LED 화면이나 등 메모를 가리지 않는 위치에 표시된다.</x:v>
      </x:c>
      <x:c r="F30" s="36" t="str">
        <x:v>대상 기능이 포함된 MVP 빌드, 필요한 테스트 계정·룸 설정·로그 접근 권한을 준비한다.</x:v>
      </x:c>
      <x:c r="G30" s="36" t="str">
        <x:v>1. 사전 조건 상태를 구성한다.
2. 표준 설정에서 다음 테스트 대상을 실행한다: 이름표·상태 아이콘 앵커.
3. UI, 서버 상태와 로그·텔레메트리를 확인한다.
4. 필요하면 재입장 또는 재실행하여 재현성을 확인한다.</x:v>
      </x:c>
      <x:c r="H30" s="36" t="str">
        <x:v>머리 형태, 동작, 카메라 거리와 관계없이 이름과 상태 아이콘이 LED 화면이나 등 메모를 가리지 않는 위치에 표시된다.</x:v>
      </x:c>
      <x:c r="I30" s="36" t="str">
        <x:v>사용성</x:v>
      </x:c>
      <x:c r="J30" s="36" t="str">
        <x:v>P1</x:v>
      </x:c>
      <x:c r="K30" s="36" t="str">
        <x:v>전체</x:v>
      </x:c>
      <x:c r="L30" s="36" t="str">
        <x:v>부분</x:v>
      </x:c>
      <x:c r="M30" s="36" t="str">
        <x:v>미실시</x:v>
      </x:c>
      <x:c r="N30" s="36" t="str">
        <x:v>미정</x:v>
      </x:c>
      <x:c r="O30" s="36" t="str">
        <x:v>미정</x:v>
      </x:c>
      <x:c r="P30" s="36"/>
      <x:c r="Q30" s="36"/>
      <x:c r="R30" s="44" t="str">
        <x:v>2026-07-10</x:v>
      </x:c>
      <x:c r="S30" s="36"/>
      <x:c r="T30" s="54"/>
      <x:c r="U30" s="54"/>
      <x:c r="V30" s="53" t="str">
        <x:v>착수 전</x:v>
      </x:c>
    </x:row>
    <x:row r="31" ht="42" customHeight="1">
      <x:c r="A31" s="36" t="str">
        <x:v>TC-CHR-017-01</x:v>
      </x:c>
      <x:c r="B31" s="36" t="str">
        <x:v>CHR-017</x:v>
      </x:c>
      <x:c r="C31" s="36" t="str">
        <x:v>캐릭터·커스터마이징·커머스</x:v>
      </x:c>
      <x:c r="D31" s="36" t="str">
        <x:v>정상 시나리오: 커스터마이징 미리보기 환경</x:v>
      </x:c>
      <x:c r="E31" s="36" t="str">
        <x:v>앞뒤 회전, LED, 본인 색상, 등 메모 더미, 조명 조건, 장비 조합을 확인하고 장착 전에 판독성 경고를 표시한다.</x:v>
      </x:c>
      <x:c r="F31" s="36" t="str">
        <x:v>대상 기능이 포함된 출시 후 빌드, 필요한 테스트 계정·룸 설정·로그 접근 권한을 준비한다.</x:v>
      </x:c>
      <x:c r="G31" s="36" t="str">
        <x:v>1. 사전 조건 상태를 구성한다.
2. 표준 설정에서 다음 테스트 대상을 실행한다: 커스터마이징 미리보기 환경.
3. UI, 서버 상태와 로그·텔레메트리를 확인한다.
4. 필요하면 재입장 또는 재실행하여 재현성을 확인한다.</x:v>
      </x:c>
      <x:c r="H31" s="36" t="str">
        <x:v>앞뒤 회전, LED, 본인 색상, 등 메모 더미, 조명 조건, 장비 조합을 확인하고 장착 전에 판독성 경고를 표시한다.</x:v>
      </x:c>
      <x:c r="I31" s="36" t="str">
        <x:v>사용성</x:v>
      </x:c>
      <x:c r="J31" s="36" t="str">
        <x:v>P2</x:v>
      </x:c>
      <x:c r="K31" s="36" t="str">
        <x:v>전체</x:v>
      </x:c>
      <x:c r="L31" s="36" t="str">
        <x:v>부분</x:v>
      </x:c>
      <x:c r="M31" s="36" t="str">
        <x:v>미실시</x:v>
      </x:c>
      <x:c r="N31" s="36" t="str">
        <x:v>미정</x:v>
      </x:c>
      <x:c r="O31" s="36" t="str">
        <x:v>미정</x:v>
      </x:c>
      <x:c r="P31" s="36"/>
      <x:c r="Q31" s="36"/>
      <x:c r="R31" s="44" t="str">
        <x:v>2026-07-10</x:v>
      </x:c>
      <x:c r="S31" s="36"/>
      <x:c r="T31" s="54"/>
      <x:c r="U31" s="54"/>
      <x:c r="V31" s="53" t="str">
        <x:v>착수 전</x:v>
      </x:c>
    </x:row>
    <x:row r="32" ht="42" customHeight="1">
      <x:c r="A32" s="36" t="str">
        <x:v>TC-CHR-018-01</x:v>
      </x:c>
      <x:c r="B32" s="36" t="str">
        <x:v>CHR-018</x:v>
      </x:c>
      <x:c r="C32" s="36" t="str">
        <x:v>캐릭터·커스터마이징·커머스</x:v>
      </x:c>
      <x:c r="D32" s="36" t="str">
        <x:v>정상 시나리오: 장착 슬롯·충돌 규칙</x:v>
      </x:c>
      <x:c r="E32" s="36" t="str">
        <x:v>헤드, 의상, 신발, 장갑, 모자, 액세서리, LED 표정·효과의 장착 슬롯과 상호 배타 관계를 데이터로 정의한다.</x:v>
      </x:c>
      <x:c r="F32" s="36" t="str">
        <x:v>대상 기능이 포함된 출시 후 빌드, 필요한 테스트 계정·룸 설정·로그 접근 권한을 준비한다.</x:v>
      </x:c>
      <x:c r="G32" s="36" t="str">
        <x:v>1. 사전 조건 상태를 구성한다.
2. 표준 설정에서 다음 테스트 대상을 실행한다: 장착 슬롯·충돌 규칙.
3. UI, 서버 상태와 로그·텔레메트리를 확인한다.
4. 필요하면 재입장 또는 재실행하여 재현성을 확인한다.</x:v>
      </x:c>
      <x:c r="H32" s="36" t="str">
        <x:v>헤드, 의상, 신발, 장갑, 모자, 액세서리, LED 표정·효과의 장착 슬롯과 상호 배타 관계를 데이터로 정의한다.</x:v>
      </x:c>
      <x:c r="I32" s="36" t="str">
        <x:v>기능</x:v>
      </x:c>
      <x:c r="J32" s="36" t="str">
        <x:v>P2</x:v>
      </x:c>
      <x:c r="K32" s="36" t="str">
        <x:v>전체</x:v>
      </x:c>
      <x:c r="L32" s="36" t="str">
        <x:v>예</x:v>
      </x:c>
      <x:c r="M32" s="36" t="str">
        <x:v>미실시</x:v>
      </x:c>
      <x:c r="N32" s="36" t="str">
        <x:v>미정</x:v>
      </x:c>
      <x:c r="O32" s="36" t="str">
        <x:v>미정</x:v>
      </x:c>
      <x:c r="P32" s="36"/>
      <x:c r="Q32" s="36"/>
      <x:c r="R32" s="44" t="str">
        <x:v>2026-07-10</x:v>
      </x:c>
      <x:c r="S32" s="36"/>
      <x:c r="T32" s="54"/>
      <x:c r="U32" s="54"/>
      <x:c r="V32" s="53" t="str">
        <x:v>착수 전</x:v>
      </x:c>
    </x:row>
    <x:row r="33" ht="42" customHeight="1">
      <x:c r="A33" s="36" t="str">
        <x:v>TC-CHR-019-01</x:v>
      </x:c>
      <x:c r="B33" s="36" t="str">
        <x:v>CHR-019</x:v>
      </x:c>
      <x:c r="C33" s="36" t="str">
        <x:v>캐릭터·커스터마이징·커머스</x:v>
      </x:c>
      <x:c r="D33" s="36" t="str">
        <x:v>정상 시나리오: 장비 조합 서버·클라이언트 검증</x:v>
      </x:c>
      <x:c r="E33" s="36" t="str">
        <x:v>미보유, 미지원, 지역 제한, 슬롯 충돌, 판독성 부적합 조합을 거부하고 안전한 기본 외형으로 복구한다.</x:v>
      </x:c>
      <x:c r="F33" s="36" t="str">
        <x:v>대상 기능이 포함된 출시 후 빌드, 필요한 테스트 계정·룸 설정·로그 접근 권한을 준비한다.</x:v>
      </x:c>
      <x:c r="G33" s="36" t="str">
        <x:v>1. 사전 조건 상태를 구성한다.
2. 표준 설정에서 다음 테스트 대상을 실행한다: 장비 조합 서버·클라이언트 검증.
3. UI, 서버 상태와 로그·텔레메트리를 확인한다.
4. 필요하면 재입장 또는 재실행하여 재현성을 확인한다.</x:v>
      </x:c>
      <x:c r="H33" s="36" t="str">
        <x:v>미보유, 미지원, 지역 제한, 슬롯 충돌, 판독성 부적합 조합을 거부하고 안전한 기본 외형으로 복구한다.</x:v>
      </x:c>
      <x:c r="I33" s="36" t="str">
        <x:v>보안</x:v>
      </x:c>
      <x:c r="J33" s="36" t="str">
        <x:v>P1</x:v>
      </x:c>
      <x:c r="K33" s="36" t="str">
        <x:v>전체</x:v>
      </x:c>
      <x:c r="L33" s="36" t="str">
        <x:v>예</x:v>
      </x:c>
      <x:c r="M33" s="36" t="str">
        <x:v>미실시</x:v>
      </x:c>
      <x:c r="N33" s="36" t="str">
        <x:v>미정</x:v>
      </x:c>
      <x:c r="O33" s="36" t="str">
        <x:v>미정</x:v>
      </x:c>
      <x:c r="P33" s="36"/>
      <x:c r="Q33" s="36"/>
      <x:c r="R33" s="44" t="str">
        <x:v>2026-07-10</x:v>
      </x:c>
      <x:c r="S33" s="36"/>
      <x:c r="T33" s="54"/>
      <x:c r="U33" s="54"/>
      <x:c r="V33" s="53" t="str">
        <x:v>착수 전</x:v>
      </x:c>
    </x:row>
    <x:row r="34" ht="42" customHeight="1">
      <x:c r="A34" s="36" t="str">
        <x:v>TC-CHR-020-01</x:v>
      </x:c>
      <x:c r="B34" s="36" t="str">
        <x:v>CHR-020</x:v>
      </x:c>
      <x:c r="C34" s="36" t="str">
        <x:v>캐릭터·커스터마이징·커머스</x:v>
      </x:c>
      <x:c r="D34" s="36" t="str">
        <x:v>정상 시나리오: 보유·장착·즐겨찾기 로드아웃</x:v>
      </x:c>
      <x:c r="E34" s="36" t="str">
        <x:v>복수 로드아웃을 저장·동기화하고 매치 시작 시 확정 스냅샷을 사용하며 진행 중에는 변경하지 않는다.</x:v>
      </x:c>
      <x:c r="F34" s="36" t="str">
        <x:v>대상 기능이 포함된 출시 후 빌드, 필요한 테스트 계정·룸 설정·로그 접근 권한을 준비한다.</x:v>
      </x:c>
      <x:c r="G34" s="36" t="str">
        <x:v>1. 사전 조건 상태를 구성한다.
2. 표준 설정에서 다음 테스트 대상을 실행한다: 보유·장착·즐겨찾기 로드아웃.
3. UI, 서버 상태와 로그·텔레메트리를 확인한다.
4. 필요하면 재입장 또는 재실행하여 재현성을 확인한다.</x:v>
      </x:c>
      <x:c r="H34" s="36" t="str">
        <x:v>복수 로드아웃을 저장·동기화하고 매치 시작 시 확정 스냅샷을 사용하며 진행 중에는 변경하지 않는다.</x:v>
      </x:c>
      <x:c r="I34" s="36" t="str">
        <x:v>통합</x:v>
      </x:c>
      <x:c r="J34" s="36" t="str">
        <x:v>P2</x:v>
      </x:c>
      <x:c r="K34" s="36" t="str">
        <x:v>전체</x:v>
      </x:c>
      <x:c r="L34" s="36" t="str">
        <x:v>예</x:v>
      </x:c>
      <x:c r="M34" s="36" t="str">
        <x:v>미실시</x:v>
      </x:c>
      <x:c r="N34" s="36" t="str">
        <x:v>미정</x:v>
      </x:c>
      <x:c r="O34" s="36" t="str">
        <x:v>미정</x:v>
      </x:c>
      <x:c r="P34" s="36"/>
      <x:c r="Q34" s="36"/>
      <x:c r="R34" s="44" t="str">
        <x:v>2026-07-10</x:v>
      </x:c>
      <x:c r="S34" s="36"/>
      <x:c r="T34" s="54"/>
      <x:c r="U34" s="54"/>
      <x:c r="V34" s="53" t="str">
        <x:v>착수 전</x:v>
      </x:c>
    </x:row>
    <x:row r="35" ht="42" customHeight="1">
      <x:c r="A35" s="36" t="str">
        <x:v>TC-CHR-021-01</x:v>
      </x:c>
      <x:c r="B35" s="36" t="str">
        <x:v>CHR-021</x:v>
      </x:c>
      <x:c r="C35" s="36" t="str">
        <x:v>캐릭터·커스터마이징·커머스</x:v>
      </x:c>
      <x:c r="D35" s="36" t="str">
        <x:v>정상 시나리오: 외형 에셋 대장·명명·버전 관리</x:v>
      </x:c>
      <x:c r="E35" s="36" t="str">
        <x:v>SKU·에셋 ID, 범주, 지원 리그, LOD, 썸네일, 지역, 희귀도, 공개 기간, 판독성 승인을 한 곳에서 관리한다.</x:v>
      </x:c>
      <x:c r="F35" s="36" t="str">
        <x:v>대상 기능이 포함된 출시 후 빌드, 필요한 테스트 계정·룸 설정·로그 접근 권한을 준비한다.</x:v>
      </x:c>
      <x:c r="G35" s="36" t="str">
        <x:v>1. 사전 조건 상태를 구성한다.
2. 표준 설정에서 다음 테스트 대상을 실행한다: 외형 에셋 대장·명명·버전 관리.
3. UI, 서버 상태와 로그·텔레메트리를 확인한다.
4. 필요하면 재입장 또는 재실행하여 재현성을 확인한다.</x:v>
      </x:c>
      <x:c r="H35" s="36" t="str">
        <x:v>SKU·에셋 ID, 범주, 지원 리그, LOD, 썸네일, 지역, 희귀도, 공개 기간, 판독성 승인을 한 곳에서 관리한다.</x:v>
      </x:c>
      <x:c r="I35" s="36" t="str">
        <x:v>운영</x:v>
      </x:c>
      <x:c r="J35" s="36" t="str">
        <x:v>P1</x:v>
      </x:c>
      <x:c r="K35" s="36" t="str">
        <x:v>도구</x:v>
      </x:c>
      <x:c r="L35" s="36" t="str">
        <x:v>예</x:v>
      </x:c>
      <x:c r="M35" s="36" t="str">
        <x:v>미실시</x:v>
      </x:c>
      <x:c r="N35" s="36" t="str">
        <x:v>미정</x:v>
      </x:c>
      <x:c r="O35" s="36" t="str">
        <x:v>미정</x:v>
      </x:c>
      <x:c r="P35" s="36"/>
      <x:c r="Q35" s="36"/>
      <x:c r="R35" s="44" t="str">
        <x:v>2026-07-10</x:v>
      </x:c>
      <x:c r="S35" s="36"/>
      <x:c r="T35" s="54"/>
      <x:c r="U35" s="54"/>
      <x:c r="V35" s="53" t="str">
        <x:v>착수 전</x:v>
      </x:c>
    </x:row>
    <x:row r="36" ht="42" customHeight="1">
      <x:c r="A36" s="36" t="str">
        <x:v>TC-CHR-022-01</x:v>
      </x:c>
      <x:c r="B36" s="36" t="str">
        <x:v>CHR-022</x:v>
      </x:c>
      <x:c r="C36" s="36" t="str">
        <x:v>캐릭터·커스터마이징·커머스</x:v>
      </x:c>
      <x:c r="D36" s="36" t="str">
        <x:v>정상 시나리오: 외형 아이템 희귀도 정의</x:v>
      </x:c>
      <x:c r="E36" s="36" t="str">
        <x:v>Common, Rare, Epic, Legendary, Event 등급을 외형 희소성으로만 사용하고 충돌 크기, 속도, 시인성 등 게임 성능 차이를 만들지 않는다.</x:v>
      </x:c>
      <x:c r="F36" s="36" t="str">
        <x:v>대상 기능이 포함된 출시 후 빌드, 필요한 테스트 계정·룸 설정·로그 접근 권한을 준비한다.</x:v>
      </x:c>
      <x:c r="G36" s="36" t="str">
        <x:v>1. 사전 조건 상태를 구성한다.
2. 표준 설정에서 다음 테스트 대상을 실행한다: 외형 아이템 희귀도 정의.
3. UI, 서버 상태와 로그·텔레메트리를 확인한다.
4. 필요하면 재입장 또는 재실행하여 재현성을 확인한다.</x:v>
      </x:c>
      <x:c r="H36" s="36" t="str">
        <x:v>Common, Rare, Epic, Legendary, Event 등급을 외형 희소성으로만 사용하고 충돌 크기, 속도, 시인성 등 게임 성능 차이를 만들지 않는다.</x:v>
      </x:c>
      <x:c r="I36" s="36" t="str">
        <x:v>밸런스</x:v>
      </x:c>
      <x:c r="J36" s="36" t="str">
        <x:v>P3</x:v>
      </x:c>
      <x:c r="K36" s="36" t="str">
        <x:v>전체</x:v>
      </x:c>
      <x:c r="L36" s="36" t="str">
        <x:v>예</x:v>
      </x:c>
      <x:c r="M36" s="36" t="str">
        <x:v>미실시</x:v>
      </x:c>
      <x:c r="N36" s="36" t="str">
        <x:v>미정</x:v>
      </x:c>
      <x:c r="O36" s="36" t="str">
        <x:v>미정</x:v>
      </x:c>
      <x:c r="P36" s="36"/>
      <x:c r="Q36" s="36"/>
      <x:c r="R36" s="44" t="str">
        <x:v>2026-07-10</x:v>
      </x:c>
      <x:c r="S36" s="36"/>
      <x:c r="T36" s="54"/>
      <x:c r="U36" s="54"/>
      <x:c r="V36" s="53" t="str">
        <x:v>착수 전</x:v>
      </x:c>
    </x:row>
    <x:row r="37" ht="42" customHeight="1">
      <x:c r="A37" s="36" t="str">
        <x:v>TC-CHR-023-01</x:v>
      </x:c>
      <x:c r="B37" s="36" t="str">
        <x:v>CHR-023</x:v>
      </x:c>
      <x:c r="C37" s="36" t="str">
        <x:v>캐릭터·커스터마이징·커머스</x:v>
      </x:c>
      <x:c r="D37" s="36" t="str">
        <x:v>정상 시나리오: 일반·시즌·이벤트 상점 표시</x:v>
      </x:c>
      <x:c r="E37" s="36" t="str">
        <x:v>가격, 보유 여부, 장착 가능 여부, 판매 기간, 미리보기, 환불 정책을 표시하고 미성년자, 지역, 플랫폼 제한을 반영한다.</x:v>
      </x:c>
      <x:c r="F37" s="36" t="str">
        <x:v>대상 기능이 포함된 출시 후 빌드, 필요한 테스트 계정·룸 설정·로그 접근 권한을 준비한다.</x:v>
      </x:c>
      <x:c r="G37" s="36" t="str">
        <x:v>1. 사전 조건 상태를 구성한다.
2. 표준 설정에서 다음 테스트 대상을 실행한다: 일반·시즌·이벤트 상점 표시.
3. UI, 서버 상태와 로그·텔레메트리를 확인한다.
4. 필요하면 재입장 또는 재실행하여 재현성을 확인한다.</x:v>
      </x:c>
      <x:c r="H37" s="36" t="str">
        <x:v>가격, 보유 여부, 장착 가능 여부, 판매 기간, 미리보기, 환불 정책을 표시하고 미성년자, 지역, 플랫폼 제한을 반영한다.</x:v>
      </x:c>
      <x:c r="I37" s="36" t="str">
        <x:v>운영</x:v>
      </x:c>
      <x:c r="J37" s="36" t="str">
        <x:v>P3</x:v>
      </x:c>
      <x:c r="K37" s="36" t="str">
        <x:v>전체</x:v>
      </x:c>
      <x:c r="L37" s="36" t="str">
        <x:v>예</x:v>
      </x:c>
      <x:c r="M37" s="36" t="str">
        <x:v>미실시</x:v>
      </x:c>
      <x:c r="N37" s="36" t="str">
        <x:v>미정</x:v>
      </x:c>
      <x:c r="O37" s="36" t="str">
        <x:v>미정</x:v>
      </x:c>
      <x:c r="P37" s="36"/>
      <x:c r="Q37" s="36"/>
      <x:c r="R37" s="44" t="str">
        <x:v>2026-07-10</x:v>
      </x:c>
      <x:c r="S37" s="36"/>
      <x:c r="T37" s="54"/>
      <x:c r="U37" s="54"/>
      <x:c r="V37" s="53" t="str">
        <x:v>착수 전</x:v>
      </x:c>
    </x:row>
    <x:row r="38" ht="42" customHeight="1">
      <x:c r="A38" s="36" t="str">
        <x:v>TC-CHR-024-01</x:v>
      </x:c>
      <x:c r="B38" s="36" t="str">
        <x:v>CHR-024</x:v>
      </x:c>
      <x:c r="C38" s="36" t="str">
        <x:v>캐릭터·커스터마이징·커머스</x:v>
      </x:c>
      <x:c r="D38" s="36" t="str">
        <x:v>정상 시나리오: 랜덤 상자 구성·확률·중복 규칙</x:v>
      </x:c>
      <x:c r="E38" s="36" t="str">
        <x:v>제공 아이템, 가중치, 확률 표시, 보장 여부, 중복 변환, 대상 지역·연령을 버전 있는 데이터로 관리하고 공개 전 승인을 필수로 한다.</x:v>
      </x:c>
      <x:c r="F38" s="36" t="str">
        <x:v>대상 기능이 포함된 출시 후 빌드, 필요한 테스트 계정·룸 설정·로그 접근 권한을 준비한다.</x:v>
      </x:c>
      <x:c r="G38" s="36" t="str">
        <x:v>1. 사전 조건 상태를 구성한다.
2. 표준 설정에서 다음 테스트 대상을 실행한다: 랜덤 상자 구성·확률·중복 규칙.
3. UI, 서버 상태와 로그·텔레메트리를 확인한다.
4. 필요하면 재입장 또는 재실행하여 재현성을 확인한다.</x:v>
      </x:c>
      <x:c r="H38" s="36" t="str">
        <x:v>제공 아이템, 가중치, 확률 표시, 보장 여부, 중복 변환, 대상 지역·연령을 버전 있는 데이터로 관리하고 공개 전 승인을 필수로 한다.</x:v>
      </x:c>
      <x:c r="I38" s="36" t="str">
        <x:v>운영</x:v>
      </x:c>
      <x:c r="J38" s="36" t="str">
        <x:v>P3</x:v>
      </x:c>
      <x:c r="K38" s="36" t="str">
        <x:v>전체</x:v>
      </x:c>
      <x:c r="L38" s="36" t="str">
        <x:v>예</x:v>
      </x:c>
      <x:c r="M38" s="36" t="str">
        <x:v>미실시</x:v>
      </x:c>
      <x:c r="N38" s="36" t="str">
        <x:v>미정</x:v>
      </x:c>
      <x:c r="O38" s="36" t="str">
        <x:v>미정</x:v>
      </x:c>
      <x:c r="P38" s="36"/>
      <x:c r="Q38" s="36"/>
      <x:c r="R38" s="44" t="str">
        <x:v>2026-07-10</x:v>
      </x:c>
      <x:c r="S38" s="36"/>
      <x:c r="T38" s="54"/>
      <x:c r="U38" s="54"/>
      <x:c r="V38" s="53" t="str">
        <x:v>착수 전</x:v>
      </x:c>
    </x:row>
    <x:row r="39" ht="42" customHeight="1">
      <x:c r="A39" s="36" t="str">
        <x:v>TC-CHR-025-01</x:v>
      </x:c>
      <x:c r="B39" s="36" t="str">
        <x:v>CHR-025</x:v>
      </x:c>
      <x:c r="C39" s="36" t="str">
        <x:v>캐릭터·커스터마이징·커머스</x:v>
      </x:c>
      <x:c r="D39" s="36" t="str">
        <x:v>정상 시나리오: 중복 아이템 보상 변환</x:v>
      </x:c>
      <x:c r="E39" s="36" t="str">
        <x:v>중복 획득 시 변환 대상, 수량, 상한, 예외를 서버에서 결정하고 거래 이력과 사용자 표시가 일치한다.</x:v>
      </x:c>
      <x:c r="F39" s="36" t="str">
        <x:v>대상 기능이 포함된 출시 후 빌드, 필요한 테스트 계정·룸 설정·로그 접근 권한을 준비한다.</x:v>
      </x:c>
      <x:c r="G39" s="36" t="str">
        <x:v>1. 사전 조건 상태를 구성한다.
2. 표준 설정에서 다음 테스트 대상을 실행한다: 중복 아이템 보상 변환.
3. UI, 서버 상태와 로그·텔레메트리를 확인한다.
4. 필요하면 재입장 또는 재실행하여 재현성을 확인한다.</x:v>
      </x:c>
      <x:c r="H39" s="36" t="str">
        <x:v>중복 획득 시 변환 대상, 수량, 상한, 예외를 서버에서 결정하고 거래 이력과 사용자 표시가 일치한다.</x:v>
      </x:c>
      <x:c r="I39" s="36" t="str">
        <x:v>보안</x:v>
      </x:c>
      <x:c r="J39" s="36" t="str">
        <x:v>P3</x:v>
      </x:c>
      <x:c r="K39" s="36" t="str">
        <x:v>백엔드</x:v>
      </x:c>
      <x:c r="L39" s="36" t="str">
        <x:v>예</x:v>
      </x:c>
      <x:c r="M39" s="36" t="str">
        <x:v>미실시</x:v>
      </x:c>
      <x:c r="N39" s="36" t="str">
        <x:v>미정</x:v>
      </x:c>
      <x:c r="O39" s="36" t="str">
        <x:v>미정</x:v>
      </x:c>
      <x:c r="P39" s="36"/>
      <x:c r="Q39" s="36"/>
      <x:c r="R39" s="44" t="str">
        <x:v>2026-07-10</x:v>
      </x:c>
      <x:c r="S39" s="36"/>
      <x:c r="T39" s="54"/>
      <x:c r="U39" s="54"/>
      <x:c r="V39" s="53" t="str">
        <x:v>착수 전</x:v>
      </x:c>
    </x:row>
    <x:row r="40" ht="42" customHeight="1">
      <x:c r="A40" s="36" t="str">
        <x:v>TC-CHR-026-01</x:v>
      </x:c>
      <x:c r="B40" s="36" t="str">
        <x:v>CHR-026</x:v>
      </x:c>
      <x:c r="C40" s="36" t="str">
        <x:v>캐릭터·커스터마이징·커머스</x:v>
      </x:c>
      <x:c r="D40" s="36" t="str">
        <x:v>정상 시나리오: 시즌·이벤트 외형 제작 템플릿</x:v>
      </x:c>
      <x:c r="E40" s="36" t="str">
        <x:v>이벤트 아이템도 동일한 판독성, LOD, 플랫폼 성능 예산, 지역 표시, 공개 종료 검사를 통과한다.</x:v>
      </x:c>
      <x:c r="F40" s="36" t="str">
        <x:v>대상 기능이 포함된 출시 후 빌드, 필요한 테스트 계정·룸 설정·로그 접근 권한을 준비한다.</x:v>
      </x:c>
      <x:c r="G40" s="36" t="str">
        <x:v>1. 사전 조건 상태를 구성한다.
2. 표준 설정에서 다음 테스트 대상을 실행한다: 시즌·이벤트 외형 제작 템플릿.
3. UI, 서버 상태와 로그·텔레메트리를 확인한다.
4. 필요하면 재입장 또는 재실행하여 재현성을 확인한다.</x:v>
      </x:c>
      <x:c r="H40" s="36" t="str">
        <x:v>이벤트 아이템도 동일한 판독성, LOD, 플랫폼 성능 예산, 지역 표시, 공개 종료 검사를 통과한다.</x:v>
      </x:c>
      <x:c r="I40" s="36" t="str">
        <x:v>호환성</x:v>
      </x:c>
      <x:c r="J40" s="36" t="str">
        <x:v>P3</x:v>
      </x:c>
      <x:c r="K40" s="36" t="str">
        <x:v>도구</x:v>
      </x:c>
      <x:c r="L40" s="36" t="str">
        <x:v>예</x:v>
      </x:c>
      <x:c r="M40" s="36" t="str">
        <x:v>미실시</x:v>
      </x:c>
      <x:c r="N40" s="36" t="str">
        <x:v>미정</x:v>
      </x:c>
      <x:c r="O40" s="36" t="str">
        <x:v>미정</x:v>
      </x:c>
      <x:c r="P40" s="36"/>
      <x:c r="Q40" s="36"/>
      <x:c r="R40" s="44" t="str">
        <x:v>2026-07-10</x:v>
      </x:c>
      <x:c r="S40" s="36"/>
      <x:c r="T40" s="54"/>
      <x:c r="U40" s="54"/>
      <x:c r="V40" s="53" t="str">
        <x:v>착수 전</x:v>
      </x:c>
    </x:row>
    <x:row r="41" ht="42" customHeight="1">
      <x:c r="A41" s="36" t="str">
        <x:v>TC-CHR-027-01</x:v>
      </x:c>
      <x:c r="B41" s="36" t="str">
        <x:v>CHR-027</x:v>
      </x:c>
      <x:c r="C41" s="36" t="str">
        <x:v>캐릭터·커스터마이징·커머스</x:v>
      </x:c>
      <x:c r="D41" s="36" t="str">
        <x:v>정상 시나리오: 캐릭터·LED·메모 LOD·메모리 예산</x:v>
      </x:c>
      <x:c r="E41" s="36" t="str">
        <x:v>6명, 최대 메모, LED 효과, 기본 외형 조건에서 목표 FPS와 메모리 예산을 충족하고 낮은 품질 설정에서도 중요 정보를 제거하지 않는다.</x:v>
      </x:c>
      <x:c r="F41" s="36" t="str">
        <x:v>대상 기능이 포함된 릴리스 후보 빌드, 필요한 테스트 계정·룸 설정·로그 접근 권한을 준비한다.</x:v>
      </x:c>
      <x:c r="G41" s="36" t="str">
        <x:v>1. 사전 조건 상태를 구성한다.
2. 표준 설정에서 다음 테스트 대상을 실행한다: 캐릭터·LED·메모 LOD·메모리 예산.
3. UI, 서버 상태와 로그·텔레메트리를 확인한다.
4. 필요하면 재입장 또는 재실행하여 재현성을 확인한다.</x:v>
      </x:c>
      <x:c r="H41" s="36" t="str">
        <x:v>6명, 최대 메모, LED 효과, 기본 외형 조건에서 목표 FPS와 메모리 예산을 충족하고 낮은 품질 설정에서도 중요 정보를 제거하지 않는다.</x:v>
      </x:c>
      <x:c r="I41" s="36" t="str">
        <x:v>성능</x:v>
      </x:c>
      <x:c r="J41" s="36" t="str">
        <x:v>P0</x:v>
      </x:c>
      <x:c r="K41" s="36" t="str">
        <x:v>전체</x:v>
      </x:c>
      <x:c r="L41" s="36" t="str">
        <x:v>부분</x:v>
      </x:c>
      <x:c r="M41" s="36" t="str">
        <x:v>미실시</x:v>
      </x:c>
      <x:c r="N41" s="36" t="str">
        <x:v>미정</x:v>
      </x:c>
      <x:c r="O41" s="36" t="str">
        <x:v>미정</x:v>
      </x:c>
      <x:c r="P41" s="36"/>
      <x:c r="Q41" s="36"/>
      <x:c r="R41" s="44" t="str">
        <x:v>2026-07-10</x:v>
      </x:c>
      <x:c r="S41" s="36"/>
      <x:c r="T41" s="54"/>
      <x:c r="U41" s="54"/>
      <x:c r="V41" s="53" t="str">
        <x:v>착수 전</x:v>
      </x:c>
    </x:row>
    <x:row r="42" ht="42" customHeight="1">
      <x:c r="A42" s="36" t="str">
        <x:v>TC-CHR-027-02</x:v>
      </x:c>
      <x:c r="B42" s="36" t="str">
        <x:v>CHR-027</x:v>
      </x:c>
      <x:c r="C42" s="36" t="str">
        <x:v>캐릭터·커스터마이징·커머스</x:v>
      </x:c>
      <x:c r="D42" s="36" t="str">
        <x:v>예외·경계 시나리오: 캐릭터·LED·메모 LOD·메모리 예산</x:v>
      </x:c>
      <x:c r="E42" s="36" t="str">
        <x:v>허용되지 않은 상태, 잘못된 값, 중복, 만료, 권한 부족, 연결 끊김 입력으로 데이터 손상·정보 유출·클라이언트 상태 분기가 발생하지 않는지 확인한다.</x:v>
      </x:c>
      <x:c r="F42" s="36" t="str">
        <x:v>대상 기능이 포함된 릴리스 후보 빌드와 디버그 입력, 네트워크 열화, 비정상 요청 재현 수단을 준비한다.</x:v>
      </x:c>
      <x:c r="G42" s="36" t="str">
        <x:v>1. 허용되지 않은 페이즈 또는 경계값 조건을 구성한다.
2. 캐릭터·LED·메모 LOD·메모리 예산에 대해 중복·무효·지연·연결 끊김을 포함한 요청을 전송한다.
3. 서버 거부, 롤백, 오류 표시와 감사 로그를 확인한다.
4. 모든 클라이언트의 상태가 일치하는지 확인한다.</x:v>
      </x:c>
      <x:c r="H42" s="36" t="str">
        <x:v>요청은 사양에 따라 거부되거나 안전하게 복구되며, 중복 반영, 데이터 손실, 정보 유출 또는 진행 중단이 발생하지 않는다. 오류와 상관관계 ID가 기록된다.</x:v>
      </x:c>
      <x:c r="I42" s="36" t="str">
        <x:v>성능</x:v>
      </x:c>
      <x:c r="J42" s="36" t="str">
        <x:v>P0</x:v>
      </x:c>
      <x:c r="K42" s="36" t="str">
        <x:v>전체</x:v>
      </x:c>
      <x:c r="L42" s="36" t="str">
        <x:v>부분</x:v>
      </x:c>
      <x:c r="M42" s="36" t="str">
        <x:v>미실시</x:v>
      </x:c>
      <x:c r="N42" s="36" t="str">
        <x:v>미정</x:v>
      </x:c>
      <x:c r="O42" s="36" t="str">
        <x:v>미정</x:v>
      </x:c>
      <x:c r="P42" s="36"/>
      <x:c r="Q42" s="36"/>
      <x:c r="R42" s="44" t="str">
        <x:v>2026-07-10</x:v>
      </x:c>
      <x:c r="S42" s="36"/>
      <x:c r="T42" s="54"/>
      <x:c r="U42" s="54"/>
      <x:c r="V42" s="53" t="str">
        <x:v>착수 전</x:v>
      </x:c>
    </x:row>
    <x:row r="43" ht="42" customHeight="1">
      <x:c r="A43" s="36" t="str">
        <x:v>TC-CHR-028-01</x:v>
      </x:c>
      <x:c r="B43" s="36" t="str">
        <x:v>CHR-028</x:v>
      </x:c>
      <x:c r="C43" s="36" t="str">
        <x:v>캐릭터·커스터마이징·커머스</x:v>
      </x:c>
      <x:c r="D43" s="36" t="str">
        <x:v>정상 시나리오: 외형 판독성 리뷰 게이트</x:v>
      </x:c>
      <x:c r="E43" s="36" t="str">
        <x:v>앞·뒤, 거리, 조명, 색각, 동작, 최대 메모 조건의 시험 이미지 또는 영상을 제출하고 UI/UX, 게임 디자인, QA 승인을 받는다.</x:v>
      </x:c>
      <x:c r="F43" s="36" t="str">
        <x:v>대상 기능이 포함된 MVP 빌드, 필요한 테스트 계정·룸 설정·로그 접근 권한을 준비한다.</x:v>
      </x:c>
      <x:c r="G43" s="36" t="str">
        <x:v>1. 사전 조건 상태를 구성한다.
2. 표준 설정에서 다음 테스트 대상을 실행한다: 외형 판독성 리뷰 게이트.
3. UI, 서버 상태와 로그·텔레메트리를 확인한다.
4. 필요하면 재입장 또는 재실행하여 재현성을 확인한다.</x:v>
      </x:c>
      <x:c r="H43" s="36" t="str">
        <x:v>앞·뒤, 거리, 조명, 색각, 동작, 최대 메모 조건의 시험 이미지 또는 영상을 제출하고 UI/UX, 게임 디자인, QA 승인을 받는다.</x:v>
      </x:c>
      <x:c r="I43" s="36" t="str">
        <x:v>사용성</x:v>
      </x:c>
      <x:c r="J43" s="36" t="str">
        <x:v>P0</x:v>
      </x:c>
      <x:c r="K43" s="36" t="str">
        <x:v>도구</x:v>
      </x:c>
      <x:c r="L43" s="36" t="str">
        <x:v>부분</x:v>
      </x:c>
      <x:c r="M43" s="36" t="str">
        <x:v>미실시</x:v>
      </x:c>
      <x:c r="N43" s="36" t="str">
        <x:v>미정</x:v>
      </x:c>
      <x:c r="O43" s="36" t="str">
        <x:v>미정</x:v>
      </x:c>
      <x:c r="P43" s="36"/>
      <x:c r="Q43" s="36"/>
      <x:c r="R43" s="44" t="str">
        <x:v>2026-07-10</x:v>
      </x:c>
      <x:c r="S43" s="36"/>
      <x:c r="T43" s="54"/>
      <x:c r="U43" s="54"/>
      <x:c r="V43" s="53" t="str">
        <x:v>착수 전</x:v>
      </x:c>
    </x:row>
    <x:row r="44" ht="42" customHeight="1">
      <x:c r="A44" s="36" t="str">
        <x:v>TC-CHR-028-02</x:v>
      </x:c>
      <x:c r="B44" s="36" t="str">
        <x:v>CHR-028</x:v>
      </x:c>
      <x:c r="C44" s="36" t="str">
        <x:v>캐릭터·커스터마이징·커머스</x:v>
      </x:c>
      <x:c r="D44" s="36" t="str">
        <x:v>예외·경계 시나리오: 외형 판독성 리뷰 게이트</x:v>
      </x:c>
      <x:c r="E44" s="36" t="str">
        <x:v>허용되지 않은 상태, 잘못된 값, 중복, 만료, 권한 부족, 연결 끊김 입력으로 데이터 손상·정보 유출·클라이언트 상태 분기가 발생하지 않는지 확인한다.</x:v>
      </x:c>
      <x:c r="F44" s="36" t="str">
        <x:v>대상 기능이 포함된 MVP 빌드와 디버그 입력, 네트워크 열화, 비정상 요청 재현 수단을 준비한다.</x:v>
      </x:c>
      <x:c r="G44" s="36" t="str">
        <x:v>1. 허용되지 않은 페이즈 또는 경계값 조건을 구성한다.
2. 외형 판독성 리뷰 게이트에 대해 중복·무효·지연·연결 끊김을 포함한 요청을 전송한다.
3. 서버 거부, 롤백, 오류 표시와 감사 로그를 확인한다.
4. 모든 클라이언트의 상태가 일치하는지 확인한다.</x:v>
      </x:c>
      <x:c r="H44" s="36" t="str">
        <x:v>요청은 사양에 따라 거부되거나 안전하게 복구되며, 중복 반영, 데이터 손실, 정보 유출 또는 진행 중단이 발생하지 않는다. 오류와 상관관계 ID가 기록된다.</x:v>
      </x:c>
      <x:c r="I44" s="36" t="str">
        <x:v>사용성</x:v>
      </x:c>
      <x:c r="J44" s="36" t="str">
        <x:v>P0</x:v>
      </x:c>
      <x:c r="K44" s="36" t="str">
        <x:v>도구</x:v>
      </x:c>
      <x:c r="L44" s="36" t="str">
        <x:v>부분</x:v>
      </x:c>
      <x:c r="M44" s="36" t="str">
        <x:v>미실시</x:v>
      </x:c>
      <x:c r="N44" s="36" t="str">
        <x:v>미정</x:v>
      </x:c>
      <x:c r="O44" s="36" t="str">
        <x:v>미정</x:v>
      </x:c>
      <x:c r="P44" s="36"/>
      <x:c r="Q44" s="36"/>
      <x:c r="R44" s="44" t="str">
        <x:v>2026-07-10</x:v>
      </x:c>
      <x:c r="S44" s="36"/>
      <x:c r="T44" s="54"/>
      <x:c r="U44" s="54"/>
      <x:c r="V44" s="53" t="str">
        <x:v>착수 전</x:v>
      </x:c>
    </x:row>
    <x:row r="45" ht="42" customHeight="1">
      <x:c r="A45" s="36" t="str">
        <x:v>TC-CHR-029-01</x:v>
      </x:c>
      <x:c r="B45" s="36" t="str">
        <x:v>CHR-029</x:v>
      </x:c>
      <x:c r="C45" s="36" t="str">
        <x:v>캐릭터·커스터마이징·커머스</x:v>
      </x:c>
      <x:c r="D45" s="36" t="str">
        <x:v>정상 시나리오: 자동 에셋 검증 도구</x:v>
      </x:c>
      <x:c r="E45" s="36" t="str">
        <x:v>명명, 스케일, 본, 소켓, 재질, LOD, 삼각형 수, 텍스처, 금지 영역, 색상을 CI에서 검사한다.</x:v>
      </x:c>
      <x:c r="F45" s="36" t="str">
        <x:v>대상 기능이 포함된 알파 빌드, 필요한 테스트 계정·룸 설정·로그 접근 권한을 준비한다.</x:v>
      </x:c>
      <x:c r="G45" s="36" t="str">
        <x:v>1. 사전 조건 상태를 구성한다.
2. 표준 설정에서 다음 테스트 대상을 실행한다: 자동 에셋 검증 도구.
3. UI, 서버 상태와 로그·텔레메트리를 확인한다.
4. 필요하면 재입장 또는 재실행하여 재현성을 확인한다.</x:v>
      </x:c>
      <x:c r="H45" s="36" t="str">
        <x:v>명명, 스케일, 본, 소켓, 재질, LOD, 삼각형 수, 텍스처, 금지 영역, 색상을 CI에서 검사한다.</x:v>
      </x:c>
      <x:c r="I45" s="36" t="str">
        <x:v>운영</x:v>
      </x:c>
      <x:c r="J45" s="36" t="str">
        <x:v>P1</x:v>
      </x:c>
      <x:c r="K45" s="36" t="str">
        <x:v>도구</x:v>
      </x:c>
      <x:c r="L45" s="36" t="str">
        <x:v>부분</x:v>
      </x:c>
      <x:c r="M45" s="36" t="str">
        <x:v>미실시</x:v>
      </x:c>
      <x:c r="N45" s="36" t="str">
        <x:v>미정</x:v>
      </x:c>
      <x:c r="O45" s="36" t="str">
        <x:v>미정</x:v>
      </x:c>
      <x:c r="P45" s="36"/>
      <x:c r="Q45" s="36"/>
      <x:c r="R45" s="44" t="str">
        <x:v>2026-07-10</x:v>
      </x:c>
      <x:c r="S45" s="36"/>
      <x:c r="T45" s="54"/>
      <x:c r="U45" s="54"/>
      <x:c r="V45" s="53" t="str">
        <x:v>착수 전</x:v>
      </x:c>
    </x:row>
    <x:row r="46" ht="42" customHeight="1">
      <x:c r="A46" s="36" t="str">
        <x:v>TC-CHR-030-01</x:v>
      </x:c>
      <x:c r="B46" s="36" t="str">
        <x:v>CHR-030</x:v>
      </x:c>
      <x:c r="C46" s="36" t="str">
        <x:v>캐릭터·커스터마이징·커머스</x:v>
      </x:c>
      <x:c r="D46" s="36" t="str">
        <x:v>정상 시나리오: MVP LED 표정·아이콘 프리셋</x:v>
      </x:c>
      <x:c r="E46" s="36" t="str">
        <x:v>미소, 분노, 의심, 슬픔, 물음표, 느낌표 등을 구현하고 다른 플레이어 색상 위조나 금지 표현에 사용할 수 없도록 한다.</x:v>
      </x:c>
      <x:c r="F46" s="36" t="str">
        <x:v>대상 기능이 포함된 MVP 빌드, 필요한 테스트 계정·룸 설정·로그 접근 권한을 준비한다.</x:v>
      </x:c>
      <x:c r="G46" s="36" t="str">
        <x:v>1. 사전 조건 상태를 구성한다.
2. 표준 설정에서 다음 테스트 대상을 실행한다: MVP LED 표정·아이콘 프리셋.
3. UI, 서버 상태와 로그·텔레메트리를 확인한다.
4. 필요하면 재입장 또는 재실행하여 재현성을 확인한다.</x:v>
      </x:c>
      <x:c r="H46" s="36" t="str">
        <x:v>미소, 분노, 의심, 슬픔, 물음표, 느낌표 등을 구현하고 다른 플레이어 색상 위조나 금지 표현에 사용할 수 없도록 한다.</x:v>
      </x:c>
      <x:c r="I46" s="36" t="str">
        <x:v>안전</x:v>
      </x:c>
      <x:c r="J46" s="36" t="str">
        <x:v>P1</x:v>
      </x:c>
      <x:c r="K46" s="36" t="str">
        <x:v>전체</x:v>
      </x:c>
      <x:c r="L46" s="36" t="str">
        <x:v>부분</x:v>
      </x:c>
      <x:c r="M46" s="36" t="str">
        <x:v>미실시</x:v>
      </x:c>
      <x:c r="N46" s="36" t="str">
        <x:v>미정</x:v>
      </x:c>
      <x:c r="O46" s="36" t="str">
        <x:v>미정</x:v>
      </x:c>
      <x:c r="P46" s="36"/>
      <x:c r="Q46" s="36"/>
      <x:c r="R46" s="44" t="str">
        <x:v>2026-07-10</x:v>
      </x:c>
      <x:c r="S46" s="36"/>
      <x:c r="T46" s="54"/>
      <x:c r="U46" s="54"/>
      <x:c r="V46" s="53" t="str">
        <x:v>착수 전</x:v>
      </x:c>
    </x:row>
    <x:row r="47" ht="42" customHeight="1">
      <x:c r="A47" s="36" t="str">
        <x:v>TC-CHR-031-01</x:v>
      </x:c>
      <x:c r="B47" s="36" t="str">
        <x:v>CHR-031</x:v>
      </x:c>
      <x:c r="C47" s="36" t="str">
        <x:v>캐릭터·커스터마이징·커머스</x:v>
      </x:c>
      <x:c r="D47" s="36" t="str">
        <x:v>정상 시나리오: 자유 그리기·스탬프 안전 설계</x:v>
      </x:c>
      <x:c r="E47" s="36" t="str">
        <x:v>자유 그리기를 활성화할 경우 해상도, 색상, 지우기, 신고, 저장, 금지 표현, 다른 색상 오인 방지 요건을 충족한다. MVP에서는 프리셋만 제공한다.</x:v>
      </x:c>
      <x:c r="F47" s="36" t="str">
        <x:v>대상 기능이 포함된 출시 후 빌드, 필요한 테스트 계정·룸 설정·로그 접근 권한을 준비한다.</x:v>
      </x:c>
      <x:c r="G47" s="36" t="str">
        <x:v>1. 사전 조건 상태를 구성한다.
2. 표준 설정에서 다음 테스트 대상을 실행한다: 자유 그리기·스탬프 안전 설계.
3. UI, 서버 상태와 로그·텔레메트리를 확인한다.
4. 필요하면 재입장 또는 재실행하여 재현성을 확인한다.</x:v>
      </x:c>
      <x:c r="H47" s="36" t="str">
        <x:v>자유 그리기를 활성화할 경우 해상도, 색상, 지우기, 신고, 저장, 금지 표현, 다른 색상 오인 방지 요건을 충족한다. MVP에서는 프리셋만 제공한다.</x:v>
      </x:c>
      <x:c r="I47" s="36" t="str">
        <x:v>보안</x:v>
      </x:c>
      <x:c r="J47" s="36" t="str">
        <x:v>P3</x:v>
      </x:c>
      <x:c r="K47" s="36" t="str">
        <x:v>전체</x:v>
      </x:c>
      <x:c r="L47" s="36" t="str">
        <x:v>부분</x:v>
      </x:c>
      <x:c r="M47" s="36" t="str">
        <x:v>미실시</x:v>
      </x:c>
      <x:c r="N47" s="36" t="str">
        <x:v>미정</x:v>
      </x:c>
      <x:c r="O47" s="36" t="str">
        <x:v>미정</x:v>
      </x:c>
      <x:c r="P47" s="36"/>
      <x:c r="Q47" s="36"/>
      <x:c r="R47" s="44" t="str">
        <x:v>2026-07-10</x:v>
      </x:c>
      <x:c r="S47" s="36"/>
      <x:c r="T47" s="54"/>
      <x:c r="U47" s="54"/>
      <x:c r="V47" s="53" t="str">
        <x:v>착수 전</x:v>
      </x:c>
    </x:row>
  </x:sheetData>
  <x:conditionalFormatting sqref="M2:M47">
    <x:cfRule type="expression" dxfId="10" priority="1">
      <x:formula>M2="완료"</x:formula>
    </x:cfRule>
    <x:cfRule type="expression" dxfId="11" priority="2">
      <x:formula>M2="통과"</x:formula>
    </x:cfRule>
    <x:cfRule type="expression" dxfId="12" priority="3">
      <x:formula>M2="차단"</x:formula>
    </x:cfRule>
    <x:cfRule type="expression" dxfId="13" priority="4">
      <x:formula>M2="실패"</x:formula>
    </x:cfRule>
    <x:cfRule type="expression" dxfId="14" priority="5">
      <x:formula>M2="구현 중"</x:formula>
    </x:cfRule>
    <x:cfRule type="expression" dxfId="15" priority="6">
      <x:formula>M2="QA 진행 중"</x:formula>
    </x:cfRule>
  </x:conditionalFormatting>
  <x:conditionalFormatting sqref="J2:J47">
    <x:cfRule type="expression" dxfId="16" priority="7">
      <x:formula>J2="P0"</x:formula>
    </x:cfRule>
    <x:cfRule type="expression" dxfId="17" priority="8">
      <x:formula>J2="P1"</x:formula>
    </x:cfRule>
  </x:conditionalFormatting>
  <x:conditionalFormatting sqref="V2:V47">
    <x:cfRule type="expression" dxfId="33" priority="9">
      <x:formula>V2="착수 전"</x:formula>
    </x:cfRule>
    <x:cfRule type="expression" dxfId="34" priority="10">
      <x:formula>V2="작업 중"</x:formula>
    </x:cfRule>
    <x:cfRule type="expression" dxfId="35" priority="11">
      <x:formula>V2="완료"</x:formula>
    </x:cfRule>
  </x:conditionalFormatting>
  <x:dataValidations count="6">
    <x:dataValidation type="list" sqref="I2:I47">
      <x:formula1>"기능,통합,경계값,네트워크,보안,성능,호환성,사용성,접근성,현지화,밸런스,운영,안전,부하"</x:formula1>
    </x:dataValidation>
    <x:dataValidation type="list" sqref="J2:J47">
      <x:formula1>"P0,P1,P2,P3"</x:formula1>
    </x:dataValidation>
    <x:dataValidation type="list" sqref="L2:L47">
      <x:formula1>"예,아니요,부분"</x:formula1>
    </x:dataValidation>
    <x:dataValidation type="list" sqref="M2:M47">
      <x:formula1>"미실시,진행 중,통과,실패,차단,대상 제외"</x:formula1>
    </x:dataValidation>
    <x:dataValidation type="list" sqref="K2:K47">
      <x:formula1>"전체,PC,콘솔,모바일,서버,백엔드,도구,웹·관리자"</x:formula1>
    </x:dataValidation>
    <x:dataValidation type="list" sqref="V2:V47">
      <x:formula1>"착수 전,작업 중,완료"</x:formula1>
    </x:dataValidation>
  </x:dataValidations>
  <x:pageMargins left="0.7" right="0.7" top="0.75" bottom="0.75" header="0.3" footer="0.3"/>
  <x:tableParts count="1">
    <x:tablePart xmlns:r="http://schemas.openxmlformats.org/officeDocument/2006/relationships" r:id="Rc0f1e2e3aca84da9"/>
  </x:tableParts>
</x:worksheet>
</file>

<file path=xl/worksheets/sheet7.xml><?xml version="1.0" encoding="utf-8"?>
<x:worksheet xmlns:x="http://schemas.openxmlformats.org/spreadsheetml/2006/main">
  <x:sheetFormatPr defaultRowHeight="15"/>
  <x:cols>
    <x:col min="1" max="1" width="13" hidden="0" customWidth="1"/>
    <x:col min="2" max="2" width="24" hidden="0" customWidth="1"/>
    <x:col min="3" max="3" width="18" hidden="0" customWidth="1"/>
    <x:col min="4" max="4" width="48" hidden="0" customWidth="1"/>
    <x:col min="5" max="5" width="36" hidden="0" customWidth="1"/>
    <x:col min="6" max="6" width="36" hidden="0" customWidth="1"/>
    <x:col min="7" max="7" width="12" hidden="0" customWidth="1"/>
    <x:col min="8" max="8" width="12" hidden="0" customWidth="1"/>
    <x:col min="9" max="9" width="10" hidden="0" customWidth="1"/>
    <x:col min="10" max="10" width="20" hidden="0" customWidth="1"/>
    <x:col min="11" max="11" width="48" hidden="0" customWidth="1"/>
    <x:col min="12" max="12" width="48" hidden="0" customWidth="1"/>
    <x:col min="13" max="13" width="14" hidden="0" customWidth="1"/>
    <x:col min="14" max="14" width="24" hidden="0" customWidth="1"/>
    <x:col min="15" max="15" width="13" hidden="0" customWidth="1"/>
    <x:col min="16" max="16" width="28" hidden="0" customWidth="1"/>
  </x:cols>
  <x:sheetData>
    <x:row r="1" ht="30" customHeight="1">
      <x:c r="A1" s="40" t="str">
        <x:v>위험 ID</x:v>
      </x:c>
      <x:c r="B1" s="40" t="str">
        <x:v>부문</x:v>
      </x:c>
      <x:c r="C1" s="40" t="str">
        <x:v>분류</x:v>
      </x:c>
      <x:c r="D1" s="40" t="str">
        <x:v>위험 내용</x:v>
      </x:c>
      <x:c r="E1" s="40" t="str">
        <x:v>발생 조건</x:v>
      </x:c>
      <x:c r="F1" s="40" t="str">
        <x:v>영향</x:v>
      </x:c>
      <x:c r="G1" s="40" t="str">
        <x:v>발생 확률</x:v>
      </x:c>
      <x:c r="H1" s="40" t="str">
        <x:v>영향도</x:v>
      </x:c>
      <x:c r="I1" s="40" t="str">
        <x:v>점수</x:v>
      </x:c>
      <x:c r="J1" s="40" t="str">
        <x:v>담당자</x:v>
      </x:c>
      <x:c r="K1" s="40" t="str">
        <x:v>예방 조치</x:v>
      </x:c>
      <x:c r="L1" s="40" t="str">
        <x:v>비상 대책</x:v>
      </x:c>
      <x:c r="M1" s="40" t="str">
        <x:v>상태</x:v>
      </x:c>
      <x:c r="N1" s="40" t="str">
        <x:v>관련 ID</x:v>
      </x:c>
      <x:c r="O1" s="40" t="str">
        <x:v>검토일</x:v>
      </x:c>
      <x:c r="P1" s="40" t="str">
        <x:v>비고</x:v>
      </x:c>
    </x:row>
    <x:row r="2" ht="42" customHeight="1">
      <x:c r="A2" s="36" t="str">
        <x:v>R-CHR-01</x:v>
      </x:c>
      <x:c r="B2" s="36" t="str">
        <x:v>캐릭터·커스터마이징·커머스</x:v>
      </x:c>
      <x:c r="C2" s="36" t="str">
        <x:v>판독성</x:v>
      </x:c>
      <x:c r="D2" s="36" t="str">
        <x:v>외형 아이템이 등 메모 또는 본인 색상을 가릴 수 있다.</x:v>
      </x:c>
      <x:c r="E2" s="36" t="str">
        <x:v>에셋 증가와 검수 누락</x:v>
      </x:c>
      <x:c r="F2" s="36" t="str">
        <x:v>추리 불가·유료 우위 인식</x:v>
      </x:c>
      <x:c r="G2" s="36" t="str">
        <x:v>중간</x:v>
      </x:c>
      <x:c r="H2" s="36" t="str">
        <x:v>높음</x:v>
      </x:c>
      <x:c r="I2" s="36" t="n">
        <x:f>IF(G2="높음",3,IF(G2="중간",2,1))*IF(H2="높음",3,IF(H2="중간",2,1))</x:f>
        <x:v>6</x:v>
      </x:c>
      <x:c r="J2" s="36" t="str">
        <x:v>아트 디렉터</x:v>
      </x:c>
      <x:c r="K2" s="36" t="str">
        <x:v>금지 영역, 자동 검사, 판독성 리뷰 게이트를 적용한다.</x:v>
      </x:c>
      <x:c r="L2" s="36" t="str">
        <x:v>문제 상품을 상점과 장착 목록에서 숨긴다.</x:v>
      </x:c>
      <x:c r="M2" s="36" t="str">
        <x:v>미대응</x:v>
      </x:c>
      <x:c r="N2" s="36" t="str">
        <x:v>CHR-012,CHR-014,CHR-028</x:v>
      </x:c>
      <x:c r="O2" s="44" t="str">
        <x:v>미정</x:v>
      </x:c>
      <x:c r="P2" s="36"/>
    </x:row>
    <x:row r="3" ht="42" customHeight="1">
      <x:c r="A3" s="36" t="str">
        <x:v>R-CHR-02</x:v>
      </x:c>
      <x:c r="B3" s="36" t="str">
        <x:v>캐릭터·커스터마이징·커머스</x:v>
      </x:c>
      <x:c r="C3" s="36" t="str">
        <x:v>성능</x:v>
      </x:c>
      <x:c r="D3" s="36" t="str">
        <x:v>LED, 외형, 메모 조합으로 GPU 또는 메모리 예산을 초과할 수 있다.</x:v>
      </x:c>
      <x:c r="E3" s="36" t="str">
        <x:v>LOD와 에셋 예산 미준수</x:v>
      </x:c>
      <x:c r="F3" s="36" t="str">
        <x:v>프레임 저하</x:v>
      </x:c>
      <x:c r="G3" s="36" t="str">
        <x:v>중간</x:v>
      </x:c>
      <x:c r="H3" s="36" t="str">
        <x:v>높음</x:v>
      </x:c>
      <x:c r="I3" s="36" t="n">
        <x:f>IF(G3="높음",3,IF(G3="중간",2,1))*IF(H3="높음",3,IF(H3="중간",2,1))</x:f>
        <x:v>6</x:v>
      </x:c>
      <x:c r="J3" s="36" t="str">
        <x:v>테크 아트 리드</x:v>
      </x:c>
      <x:c r="K3" s="36" t="str">
        <x:v>에셋 예산, 자동 검증, 최악 조건 계측을 적용한다.</x:v>
      </x:c>
      <x:c r="L3" s="36" t="str">
        <x:v>효과와 LOD를 원격으로 제한한다.</x:v>
      </x:c>
      <x:c r="M3" s="36" t="str">
        <x:v>미대응</x:v>
      </x:c>
      <x:c r="N3" s="36" t="str">
        <x:v>CHR-027,CHR-029</x:v>
      </x:c>
      <x:c r="O3" s="44" t="str">
        <x:v>미정</x:v>
      </x:c>
      <x:c r="P3" s="36"/>
    </x:row>
    <x:row r="4" ht="42" customHeight="1">
      <x:c r="A4" s="36" t="str">
        <x:v>R-CHR-03</x:v>
      </x:c>
      <x:c r="B4" s="36" t="str">
        <x:v>캐릭터·커스터마이징·커머스</x:v>
      </x:c>
      <x:c r="C4" s="36" t="str">
        <x:v>접근성</x:v>
      </x:c>
      <x:c r="D4" s="36" t="str">
        <x:v>색상 팔레트가 특정 조명이나 색각 조건에서 구분되지 않을 수 있다.</x:v>
      </x:c>
      <x:c r="E4" s="36" t="str">
        <x:v>환경별 검증 부족</x:v>
      </x:c>
      <x:c r="F4" s="36" t="str">
        <x:v>잘못된 추리</x:v>
      </x:c>
      <x:c r="G4" s="36" t="str">
        <x:v>중간</x:v>
      </x:c>
      <x:c r="H4" s="36" t="str">
        <x:v>높음</x:v>
      </x:c>
      <x:c r="I4" s="36" t="n">
        <x:f>IF(G4="높음",3,IF(G4="중간",2,1))*IF(H4="높음",3,IF(H4="중간",2,1))</x:f>
        <x:v>6</x:v>
      </x:c>
      <x:c r="J4" s="36" t="str">
        <x:v>UX·아트</x:v>
      </x:c>
      <x:c r="K4" s="36" t="str">
        <x:v>공통 패턴과 실제 기기 시험을 적용한다.</x:v>
      </x:c>
      <x:c r="L4" s="36" t="str">
        <x:v>팔레트 또는 조명을 수정한다.</x:v>
      </x:c>
      <x:c r="M4" s="36" t="str">
        <x:v>미대응</x:v>
      </x:c>
      <x:c r="N4" s="36" t="str">
        <x:v>CHR-005,CHR-015,CNT-011</x:v>
      </x:c>
      <x:c r="O4" s="44" t="str">
        <x:v>미정</x:v>
      </x:c>
      <x:c r="P4" s="36"/>
    </x:row>
    <x:row r="5" ht="42" customHeight="1">
      <x:c r="A5" s="36" t="str">
        <x:v>R-CHR-04</x:v>
      </x:c>
      <x:c r="B5" s="36" t="str">
        <x:v>캐릭터·커스터마이징·커머스</x:v>
      </x:c>
      <x:c r="C5" s="36" t="str">
        <x:v>안전</x:v>
      </x:c>
      <x:c r="D5" s="36" t="str">
        <x:v>자유 LED 그리기가 부적절한 표현에 사용될 수 있다.</x:v>
      </x:c>
      <x:c r="E5" s="36" t="str">
        <x:v>사용자 생성 콘텐츠 안전 대책 부족</x:v>
      </x:c>
      <x:c r="F5" s="36" t="str">
        <x:v>신고 증가·정책 위반</x:v>
      </x:c>
      <x:c r="G5" s="36" t="str">
        <x:v>높음</x:v>
      </x:c>
      <x:c r="H5" s="36" t="str">
        <x:v>높음</x:v>
      </x:c>
      <x:c r="I5" s="36" t="n">
        <x:f>IF(G5="높음",3,IF(G5="중간",2,1))*IF(H5="높음",3,IF(H5="중간",2,1))</x:f>
        <x:v>9</x:v>
      </x:c>
      <x:c r="J5" s="36" t="str">
        <x:v>안전 운영 리드</x:v>
      </x:c>
      <x:c r="K5" s="36" t="str">
        <x:v>MVP는 프리셋만 제공하고 향후 신고·모더레이션을 필수화한다.</x:v>
      </x:c>
      <x:c r="L5" s="36" t="str">
        <x:v>자유 그리기 기능을 중지한다.</x:v>
      </x:c>
      <x:c r="M5" s="36" t="str">
        <x:v>미대응</x:v>
      </x:c>
      <x:c r="N5" s="36" t="str">
        <x:v>CHR-030</x:v>
      </x:c>
      <x:c r="O5" s="44" t="str">
        <x:v>미정</x:v>
      </x:c>
      <x:c r="P5" s="36"/>
    </x:row>
  </x:sheetData>
  <x:conditionalFormatting sqref="M2:M5">
    <x:cfRule type="expression" dxfId="18" priority="1">
      <x:formula>M2="완료"</x:formula>
    </x:cfRule>
    <x:cfRule type="expression" dxfId="19" priority="2">
      <x:formula>M2="통과"</x:formula>
    </x:cfRule>
    <x:cfRule type="expression" dxfId="20" priority="3">
      <x:formula>M2="차단"</x:formula>
    </x:cfRule>
    <x:cfRule type="expression" dxfId="21" priority="4">
      <x:formula>M2="실패"</x:formula>
    </x:cfRule>
    <x:cfRule type="expression" dxfId="22" priority="5">
      <x:formula>M2="구현 중"</x:formula>
    </x:cfRule>
    <x:cfRule type="expression" dxfId="23" priority="6">
      <x:formula>M2="QA 진행 중"</x:formula>
    </x:cfRule>
  </x:conditionalFormatting>
  <x:conditionalFormatting sqref="I2:I5">
    <x:cfRule type="colorScale" priority="7">
      <x:colorScale>
        <x:cfvo type="min"/>
        <x:cfvo type="percentile" val="50"/>
        <x:cfvo type="max"/>
        <x:color rgb="FFE2F0D9"/>
        <x:color rgb="FFFFF2CC"/>
        <x:color rgb="FFF4CCCC"/>
      </x:colorScale>
    </x:cfRule>
  </x:conditionalFormatting>
  <x:dataValidations count="3">
    <x:dataValidation type="list" sqref="G2:G5">
      <x:formula1>"높음,중간,낮음"</x:formula1>
    </x:dataValidation>
    <x:dataValidation type="list" sqref="H2:H5">
      <x:formula1>"높음,중간,낮음"</x:formula1>
    </x:dataValidation>
    <x:dataValidation type="list" sqref="M2:M5">
      <x:formula1>"미대응,대응 중,모니터링 중,수용,해결,종료"</x:formula1>
    </x:dataValidation>
  </x:dataValidations>
  <x:pageMargins left="0.7" right="0.7" top="0.75" bottom="0.75" header="0.3" footer="0.3"/>
  <x:tableParts count="1">
    <x:tablePart xmlns:r="http://schemas.openxmlformats.org/officeDocument/2006/relationships" r:id="Rfb351a4d7b474f63"/>
  </x:tableParts>
</x:worksheet>
</file>

<file path=xl/worksheets/sheet8.xml><?xml version="1.0" encoding="utf-8"?>
<x:worksheet xmlns:x="http://schemas.openxmlformats.org/spreadsheetml/2006/main">
  <x:sheetFormatPr defaultRowHeight="15"/>
  <x:cols>
    <x:col min="1" max="1" width="15" hidden="0" customWidth="1"/>
    <x:col min="2" max="2" width="24" hidden="0" customWidth="1"/>
    <x:col min="3" max="3" width="24" hidden="0" customWidth="1"/>
    <x:col min="4" max="4" width="48" hidden="0" customWidth="1"/>
    <x:col min="5" max="5" width="54" hidden="0" customWidth="1"/>
    <x:col min="6" max="6" width="42" hidden="0" customWidth="1"/>
    <x:col min="7" max="7" width="42" hidden="0" customWidth="1"/>
    <x:col min="8" max="8" width="14" hidden="0" customWidth="1"/>
    <x:col min="9" max="9" width="20" hidden="0" customWidth="1"/>
    <x:col min="10" max="10" width="13" hidden="0" customWidth="1"/>
    <x:col min="11" max="11" width="24" hidden="0" customWidth="1"/>
    <x:col min="12" max="12" width="48" hidden="0" customWidth="1"/>
    <x:col min="13" max="13" width="13" hidden="0" customWidth="1"/>
  </x:cols>
  <x:sheetData>
    <x:row r="1" ht="30" customHeight="1">
      <x:c r="A1" s="40" t="str">
        <x:v>의사결정 ID</x:v>
      </x:c>
      <x:c r="B1" s="40" t="str">
        <x:v>부문</x:v>
      </x:c>
      <x:c r="C1" s="40" t="str">
        <x:v>논점</x:v>
      </x:c>
      <x:c r="D1" s="40" t="str">
        <x:v>결정 질문</x:v>
      </x:c>
      <x:c r="E1" s="40" t="str">
        <x:v>선택지</x:v>
      </x:c>
      <x:c r="F1" s="40" t="str">
        <x:v>권고안</x:v>
      </x:c>
      <x:c r="G1" s="40" t="str">
        <x:v>최종 결정</x:v>
      </x:c>
      <x:c r="H1" s="40" t="str">
        <x:v>상태</x:v>
      </x:c>
      <x:c r="I1" s="40" t="str">
        <x:v>결정권자</x:v>
      </x:c>
      <x:c r="J1" s="40" t="str">
        <x:v>기한</x:v>
      </x:c>
      <x:c r="K1" s="40" t="str">
        <x:v>관련 ID</x:v>
      </x:c>
      <x:c r="L1" s="40" t="str">
        <x:v>판단 근거·증빙</x:v>
      </x:c>
      <x:c r="M1" s="40" t="str">
        <x:v>최종 갱신일</x:v>
      </x:c>
    </x:row>
    <x:row r="2" ht="42" customHeight="1">
      <x:c r="A2" s="36" t="str">
        <x:v>D-CHR-01</x:v>
      </x:c>
      <x:c r="B2" s="36" t="str">
        <x:v>캐릭터·커스터마이징·커머스</x:v>
      </x:c>
      <x:c r="C2" s="36" t="str">
        <x:v>MVP 헤드 종류</x:v>
      </x:c>
      <x:c r="D2" s="36" t="str">
        <x:v>MVP에 몇 종류의 헤드 형태를 포함할 것인가?</x:v>
      </x:c>
      <x:c r="E2" s="36" t="str">
        <x:v>A: 1종 / B: 3종</x:v>
      </x:c>
      <x:c r="F2" s="36" t="str">
        <x:v>판독성 검증을 우선해 기본 1종만 포함한다.</x:v>
      </x:c>
      <x:c r="G2" s="36" t="str">
        <x:v>미정</x:v>
      </x:c>
      <x:c r="H2" s="36" t="str">
        <x:v>미정</x:v>
      </x:c>
      <x:c r="I2" s="36" t="str">
        <x:v>아트 디렉터</x:v>
      </x:c>
      <x:c r="J2" s="44" t="str">
        <x:v>2026-07-24</x:v>
      </x:c>
      <x:c r="K2" s="36" t="str">
        <x:v>CHR-002,CHR-013</x:v>
      </x:c>
      <x:c r="L2" s="36" t="str">
        <x:v>핵심 게임 검증 전에 아트 제작 부담을 줄인다.</x:v>
      </x:c>
      <x:c r="M2" s="44" t="str">
        <x:v>2026-07-10</x:v>
      </x:c>
    </x:row>
    <x:row r="3" ht="42" customHeight="1">
      <x:c r="A3" s="36" t="str">
        <x:v>D-CHR-02</x:v>
      </x:c>
      <x:c r="B3" s="36" t="str">
        <x:v>캐릭터·커스터마이징·커머스</x:v>
      </x:c>
      <x:c r="C3" s="36" t="str">
        <x:v>랜덤 상자 판매</x:v>
      </x:c>
      <x:c r="D3" s="36" t="str">
        <x:v>랜덤 상자 판매 방식을 적용할 것인가?</x:v>
      </x:c>
      <x:c r="E3" s="36" t="str">
        <x:v>A: 적용 / B: 직접 판매만</x:v>
      </x:c>
      <x:c r="F3" s="36" t="str">
        <x:v>법무와 지역 심사가 끝날 때까지 직접 판매만 제공한다.</x:v>
      </x:c>
      <x:c r="G3" s="36" t="str">
        <x:v>미정</x:v>
      </x:c>
      <x:c r="H3" s="36" t="str">
        <x:v>미정</x:v>
      </x:c>
      <x:c r="I3" s="36" t="str">
        <x:v>총괄 프로듀서</x:v>
      </x:c>
      <x:c r="J3" s="44" t="str">
        <x:v>2026-09-30</x:v>
      </x:c>
      <x:c r="K3" s="36" t="str">
        <x:v>CHR-024,BED-029,BED-030</x:v>
      </x:c>
      <x:c r="L3" s="36" t="str">
        <x:v>규제, 사용자 신뢰, 운영 비용을 비교해야 한다.</x:v>
      </x:c>
      <x:c r="M3" s="44" t="str">
        <x:v>2026-07-10</x:v>
      </x:c>
    </x:row>
  </x:sheetData>
  <x:conditionalFormatting sqref="H2:H3">
    <x:cfRule type="expression" dxfId="24" priority="1">
      <x:formula>H2="완료"</x:formula>
    </x:cfRule>
    <x:cfRule type="expression" dxfId="25" priority="2">
      <x:formula>H2="통과"</x:formula>
    </x:cfRule>
    <x:cfRule type="expression" dxfId="26" priority="3">
      <x:formula>H2="차단"</x:formula>
    </x:cfRule>
    <x:cfRule type="expression" dxfId="27" priority="4">
      <x:formula>H2="실패"</x:formula>
    </x:cfRule>
    <x:cfRule type="expression" dxfId="28" priority="5">
      <x:formula>H2="구현 중"</x:formula>
    </x:cfRule>
    <x:cfRule type="expression" dxfId="29" priority="6">
      <x:formula>H2="QA 진행 중"</x:formula>
    </x:cfRule>
  </x:conditionalFormatting>
  <x:dataValidations count="1">
    <x:dataValidation type="list" sqref="H2:H3">
      <x:formula1>"미정,검토 중,승인,기각,보류"</x:formula1>
    </x:dataValidation>
  </x:dataValidations>
  <x:pageMargins left="0.7" right="0.7" top="0.75" bottom="0.75" header="0.3" footer="0.3"/>
  <x:tableParts count="1">
    <x:tablePart xmlns:r="http://schemas.openxmlformats.org/officeDocument/2006/relationships" r:id="R6596335097af41fc"/>
  </x:tableParts>
</x:worksheet>
</file>

<file path=xl/worksheets/sheet9.xml><?xml version="1.0" encoding="utf-8"?>
<x:worksheet xmlns:x="http://schemas.openxmlformats.org/spreadsheetml/2006/main">
  <x:sheetFormatPr defaultRowHeight="15"/>
  <x:cols>
    <x:col min="1" max="1" width="23"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 min="10" max="10" width="23" hidden="0" customWidth="1"/>
    <x:col min="11" max="11" width="23" hidden="0" customWidth="1"/>
    <x:col min="12" max="12" width="23" hidden="0" customWidth="1"/>
    <x:col min="13" max="13" width="23" hidden="0" customWidth="1"/>
  </x:cols>
  <x:sheetData>
    <x:row r="1">
      <x:c r="A1" s="33" t="str">
        <x:v>상태</x:v>
      </x:c>
      <x:c r="B1" s="33" t="str">
        <x:v>우선순위</x:v>
      </x:c>
      <x:c r="C1" s="33" t="str">
        <x:v>범위</x:v>
      </x:c>
      <x:c r="D1" s="33" t="str">
        <x:v>게이트</x:v>
      </x:c>
      <x:c r="E1" s="33" t="str">
        <x:v>위험도</x:v>
      </x:c>
      <x:c r="F1" s="33" t="str">
        <x:v>예상 규모</x:v>
      </x:c>
      <x:c r="G1" s="33" t="str">
        <x:v>QA 유형</x:v>
      </x:c>
      <x:c r="H1" s="33" t="str">
        <x:v>플랫폼</x:v>
      </x:c>
      <x:c r="I1" s="33" t="str">
        <x:v>권한 주체</x:v>
      </x:c>
      <x:c r="J1" s="33" t="str">
        <x:v>저장 범위</x:v>
      </x:c>
      <x:c r="K1" s="33" t="str">
        <x:v>QA 상태</x:v>
      </x:c>
      <x:c r="L1" s="33" t="str">
        <x:v>의사결정 상태</x:v>
      </x:c>
      <x:c r="M1" s="33" t="str">
        <x:v>위험 상태</x:v>
      </x:c>
    </x:row>
    <x:row r="2">
      <x:c r="A2" t="str">
        <x:v>미착수</x:v>
      </x:c>
      <x:c r="B2" t="str">
        <x:v>P0</x:v>
      </x:c>
      <x:c r="C2" t="str">
        <x:v>MVP</x:v>
      </x:c>
      <x:c r="D2" t="str">
        <x:v>필수</x:v>
      </x:c>
      <x:c r="E2" t="str">
        <x:v>높음</x:v>
      </x:c>
      <x:c r="F2" t="str">
        <x:v>XS</x:v>
      </x:c>
      <x:c r="G2" t="str">
        <x:v>기능</x:v>
      </x:c>
      <x:c r="H2" t="str">
        <x:v>전체</x:v>
      </x:c>
      <x:c r="I2" t="str">
        <x:v>서버 권한</x:v>
      </x:c>
      <x:c r="J2" t="str">
        <x:v>없음</x:v>
      </x:c>
      <x:c r="K2" t="str">
        <x:v>미실시</x:v>
      </x:c>
      <x:c r="L2" t="str">
        <x:v>미정</x:v>
      </x:c>
      <x:c r="M2" t="str">
        <x:v>미대응</x:v>
      </x:c>
    </x:row>
    <x:row r="3">
      <x:c r="A3" t="str">
        <x:v>사양 확인 중</x:v>
      </x:c>
      <x:c r="B3" t="str">
        <x:v>P1</x:v>
      </x:c>
      <x:c r="C3" t="str">
        <x:v>알파</x:v>
      </x:c>
      <x:c r="D3" t="str">
        <x:v>조건부</x:v>
      </x:c>
      <x:c r="E3" t="str">
        <x:v>중간</x:v>
      </x:c>
      <x:c r="F3" t="str">
        <x:v>S</x:v>
      </x:c>
      <x:c r="G3" t="str">
        <x:v>통합</x:v>
      </x:c>
      <x:c r="H3" t="str">
        <x:v>PC</x:v>
      </x:c>
      <x:c r="I3" t="str">
        <x:v>클라이언트 예측·서버 검증</x:v>
      </x:c>
      <x:c r="J3" t="str">
        <x:v>세션</x:v>
      </x:c>
      <x:c r="K3" t="str">
        <x:v>진행 중</x:v>
      </x:c>
      <x:c r="L3" t="str">
        <x:v>검토 중</x:v>
      </x:c>
      <x:c r="M3" t="str">
        <x:v>대응 중</x:v>
      </x:c>
    </x:row>
    <x:row r="4">
      <x:c r="A4" t="str">
        <x:v>구현 중</x:v>
      </x:c>
      <x:c r="B4" t="str">
        <x:v>P2</x:v>
      </x:c>
      <x:c r="C4" t="str">
        <x:v>베타</x:v>
      </x:c>
      <x:c r="D4" t="str">
        <x:v>권장</x:v>
      </x:c>
      <x:c r="E4" t="str">
        <x:v>낮음</x:v>
      </x:c>
      <x:c r="F4" t="str">
        <x:v>M</x:v>
      </x:c>
      <x:c r="G4" t="str">
        <x:v>경계값</x:v>
      </x:c>
      <x:c r="H4" t="str">
        <x:v>콘솔</x:v>
      </x:c>
      <x:c r="I4" t="str">
        <x:v>클라이언트 로컬</x:v>
      </x:c>
      <x:c r="J4" t="str">
        <x:v>매치</x:v>
      </x:c>
      <x:c r="K4" t="str">
        <x:v>통과</x:v>
      </x:c>
      <x:c r="L4" t="str">
        <x:v>승인됨</x:v>
      </x:c>
      <x:c r="M4" t="str">
        <x:v>모니터링</x:v>
      </x:c>
    </x:row>
    <x:row r="5">
      <x:c r="A5" t="str">
        <x:v>코드 리뷰</x:v>
      </x:c>
      <x:c r="B5" t="str">
        <x:v>P3</x:v>
      </x:c>
      <x:c r="C5" t="str">
        <x:v>릴리스 후보</x:v>
      </x:c>
      <x:c r="D5" t="str">
        <x:v>대상 제외</x:v>
      </x:c>
      <x:c r="E5"/>
      <x:c r="F5" t="str">
        <x:v>L</x:v>
      </x:c>
      <x:c r="G5" t="str">
        <x:v>네트워크</x:v>
      </x:c>
      <x:c r="H5" t="str">
        <x:v>모바일</x:v>
      </x:c>
      <x:c r="I5" t="str">
        <x:v>백엔드 권한</x:v>
      </x:c>
      <x:c r="J5" t="str">
        <x:v>계정</x:v>
      </x:c>
      <x:c r="K5" t="str">
        <x:v>실패</x:v>
      </x:c>
      <x:c r="L5" t="str">
        <x:v>반려</x:v>
      </x:c>
      <x:c r="M5" t="str">
        <x:v>수용</x:v>
      </x:c>
    </x:row>
    <x:row r="6">
      <x:c r="A6" t="str">
        <x:v>QA 진행 중</x:v>
      </x:c>
      <x:c r="B6"/>
      <x:c r="C6" t="str">
        <x:v>출시</x:v>
      </x:c>
      <x:c r="D6"/>
      <x:c r="E6"/>
      <x:c r="F6" t="str">
        <x:v>XL</x:v>
      </x:c>
      <x:c r="G6" t="str">
        <x:v>보안</x:v>
      </x:c>
      <x:c r="H6" t="str">
        <x:v>서버</x:v>
      </x:c>
      <x:c r="I6" t="str">
        <x:v>호스트 권한</x:v>
      </x:c>
      <x:c r="J6" t="str">
        <x:v>단말 로컬</x:v>
      </x:c>
      <x:c r="K6" t="str">
        <x:v>차단</x:v>
      </x:c>
      <x:c r="L6" t="str">
        <x:v>보류</x:v>
      </x:c>
      <x:c r="M6" t="str">
        <x:v>해소</x:v>
      </x:c>
    </x:row>
    <x:row r="7">
      <x:c r="A7" t="str">
        <x:v>차단</x:v>
      </x:c>
      <x:c r="B7"/>
      <x:c r="C7" t="str">
        <x:v>출시 후</x:v>
      </x:c>
      <x:c r="D7"/>
      <x:c r="E7"/>
      <x:c r="F7" t="str">
        <x:v>분할 필요</x:v>
      </x:c>
      <x:c r="G7" t="str">
        <x:v>성능</x:v>
      </x:c>
      <x:c r="H7" t="str">
        <x:v>백엔드</x:v>
      </x:c>
      <x:c r="I7" t="str">
        <x:v>콘텐츠 데이터</x:v>
      </x:c>
      <x:c r="J7" t="str">
        <x:v>백엔드</x:v>
      </x:c>
      <x:c r="K7" t="str">
        <x:v>대상 제외</x:v>
      </x:c>
      <x:c r="L7"/>
      <x:c r="M7" t="str">
        <x:v>종료</x:v>
      </x:c>
    </x:row>
    <x:row r="8">
      <x:c r="A8" t="str">
        <x:v>완료</x:v>
      </x:c>
      <x:c r="B8"/>
      <x:c r="C8" t="str">
        <x:v>대상 제외</x:v>
      </x:c>
      <x:c r="D8"/>
      <x:c r="E8"/>
      <x:c r="F8"/>
      <x:c r="G8" t="str">
        <x:v>호환성</x:v>
      </x:c>
      <x:c r="H8" t="str">
        <x:v>도구</x:v>
      </x:c>
      <x:c r="I8" t="str">
        <x:v>해당 없음</x:v>
      </x:c>
      <x:c r="J8" t="str">
        <x:v>감사 로그</x:v>
      </x:c>
      <x:c r="K8"/>
      <x:c r="L8"/>
      <x:c r="M8"/>
    </x:row>
    <x:row r="9">
      <x:c r="A9" t="str">
        <x:v>보류</x:v>
      </x:c>
      <x:c r="B9"/>
      <x:c r="C9"/>
      <x:c r="D9"/>
      <x:c r="E9"/>
      <x:c r="F9"/>
      <x:c r="G9" t="str">
        <x:v>사용성</x:v>
      </x:c>
      <x:c r="H9" t="str">
        <x:v>웹·관리자</x:v>
      </x:c>
      <x:c r="I9"/>
      <x:c r="J9"/>
      <x:c r="K9"/>
      <x:c r="L9"/>
      <x:c r="M9"/>
    </x:row>
    <x:row r="10">
      <x:c r="A10"/>
      <x:c r="B10"/>
      <x:c r="C10"/>
      <x:c r="D10"/>
      <x:c r="E10"/>
      <x:c r="F10"/>
      <x:c r="G10" t="str">
        <x:v>접근성</x:v>
      </x:c>
      <x:c r="H10"/>
      <x:c r="I10"/>
      <x:c r="J10"/>
      <x:c r="K10"/>
      <x:c r="L10"/>
      <x:c r="M10"/>
    </x:row>
    <x:row r="11">
      <x:c r="A11"/>
      <x:c r="B11"/>
      <x:c r="C11"/>
      <x:c r="D11"/>
      <x:c r="E11"/>
      <x:c r="F11"/>
      <x:c r="G11" t="str">
        <x:v>현지화</x:v>
      </x:c>
      <x:c r="H11"/>
      <x:c r="I11"/>
      <x:c r="J11"/>
      <x:c r="K11"/>
      <x:c r="L11"/>
      <x:c r="M11"/>
    </x:row>
    <x:row r="12">
      <x:c r="A12"/>
      <x:c r="B12"/>
      <x:c r="C12"/>
      <x:c r="D12"/>
      <x:c r="E12"/>
      <x:c r="F12"/>
      <x:c r="G12" t="str">
        <x:v>밸런스</x:v>
      </x:c>
      <x:c r="H12"/>
      <x:c r="I12"/>
      <x:c r="J12"/>
      <x:c r="K12"/>
      <x:c r="L12"/>
      <x:c r="M12"/>
    </x:row>
    <x:row r="13">
      <x:c r="A13"/>
      <x:c r="B13"/>
      <x:c r="C13"/>
      <x:c r="D13"/>
      <x:c r="E13"/>
      <x:c r="F13"/>
      <x:c r="G13" t="str">
        <x:v>운영</x:v>
      </x:c>
      <x:c r="H13"/>
      <x:c r="I13"/>
      <x:c r="J13"/>
      <x:c r="K13"/>
      <x:c r="L13"/>
      <x:c r="M13"/>
    </x:row>
  </x:sheetData>
  <x:pageMargins left="0.7" right="0.7" top="0.75" bottom="0.75" header="0.3" footer="0.3"/>
</x:worksheet>
</file>