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c16fa461334359" /></Relationships>
</file>

<file path=xl/workbook.xml><?xml version="1.0" encoding="utf-8"?>
<x:workbook xmlns:x="http://schemas.openxmlformats.org/spreadsheetml/2006/main">
  <x:sheets>
    <x:sheet xmlns:r="http://schemas.openxmlformats.org/officeDocument/2006/relationships" name="00_개요" sheetId="1" r:id="Rd981caf60aed438d"/>
    <x:sheet xmlns:r="http://schemas.openxmlformats.org/officeDocument/2006/relationships" name="01_백로그" sheetId="2" r:id="R84f867d3ec8046ec"/>
    <x:sheet xmlns:r="http://schemas.openxmlformats.org/officeDocument/2006/relationships" name="02_오디오_이벤트" sheetId="3" r:id="R1cc9b4ade3b44d08"/>
    <x:sheet xmlns:r="http://schemas.openxmlformats.org/officeDocument/2006/relationships" name="03_보이스_상태" sheetId="4" r:id="Reccd8d3a23ca4429"/>
    <x:sheet xmlns:r="http://schemas.openxmlformats.org/officeDocument/2006/relationships" name="04_믹스" sheetId="5" r:id="Rc4fd025ee2fc4836"/>
    <x:sheet xmlns:r="http://schemas.openxmlformats.org/officeDocument/2006/relationships" name="80_QA_케이스" sheetId="6" r:id="R99e641cce47b42c9"/>
    <x:sheet xmlns:r="http://schemas.openxmlformats.org/officeDocument/2006/relationships" name="90_리스크" sheetId="7" r:id="R759dd5eb30924725"/>
    <x:sheet xmlns:r="http://schemas.openxmlformats.org/officeDocument/2006/relationships" name="91_의사결정" sheetId="8" r:id="R0a9aa5048ee74bf8"/>
    <x:sheet xmlns:r="http://schemas.openxmlformats.org/officeDocument/2006/relationships" name="99_목록" sheetId="9" r:id="Ra7c4fed1da85474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00B0F0"/>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c80ca739cb459a" /><Relationship Type="http://schemas.openxmlformats.org/officeDocument/2006/relationships/theme" Target="/xl/theme/theme1.xml" Id="R40bc3e6e41744444" /><Relationship Type="http://schemas.openxmlformats.org/officeDocument/2006/relationships/sharedStrings" Target="/xl/sharedStrings.xml" Id="Rca25d9a56fe345ba" /><Relationship Type="http://schemas.openxmlformats.org/officeDocument/2006/relationships/worksheet" Target="/xl/worksheets/sheet1.xml" Id="Rd981caf60aed438d" /><Relationship Type="http://schemas.openxmlformats.org/officeDocument/2006/relationships/worksheet" Target="/xl/worksheets/sheet2.xml" Id="R84f867d3ec8046ec" /><Relationship Type="http://schemas.openxmlformats.org/officeDocument/2006/relationships/worksheet" Target="/xl/worksheets/sheet3.xml" Id="R1cc9b4ade3b44d08" /><Relationship Type="http://schemas.openxmlformats.org/officeDocument/2006/relationships/worksheet" Target="/xl/worksheets/sheet4.xml" Id="Reccd8d3a23ca4429" /><Relationship Type="http://schemas.openxmlformats.org/officeDocument/2006/relationships/worksheet" Target="/xl/worksheets/sheet5.xml" Id="Rc4fd025ee2fc4836" /><Relationship Type="http://schemas.openxmlformats.org/officeDocument/2006/relationships/worksheet" Target="/xl/worksheets/sheet6.xml" Id="R99e641cce47b42c9" /><Relationship Type="http://schemas.openxmlformats.org/officeDocument/2006/relationships/worksheet" Target="/xl/worksheets/sheet7.xml" Id="R759dd5eb30924725" /><Relationship Type="http://schemas.openxmlformats.org/officeDocument/2006/relationships/worksheet" Target="/xl/worksheets/sheet8.xml" Id="R0a9aa5048ee74bf8" /><Relationship Type="http://schemas.openxmlformats.org/officeDocument/2006/relationships/worksheet" Target="/xl/worksheets/sheet9.xml" Id="Ra7c4fed1da854740" /></Relationships>
</file>

<file path=xl/drawings/_rels/drawing1.xml.rels>&#65279;<?xml version="1.0" encoding="utf-8"?><Relationships xmlns="http://schemas.openxmlformats.org/package/2006/relationships"><Relationship Type="http://schemas.openxmlformats.org/officeDocument/2006/relationships/chart" Target="/xl/drawings/charts/chart1.xml" Id="R23a4e4b524fd49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a4e4b524fd49b1"/>
        </a:graphicData>
      </a:graphic>
    </xdr:graphicFrame>
    <xdr:clientData/>
  </xdr:twoCellAnchor>
</xdr:wsDr>
</file>

<file path=xl/tables/table1.xml><?xml version="1.0" encoding="utf-8"?>
<x:table xmlns:x="http://schemas.openxmlformats.org/spreadsheetml/2006/main" id="8" name="BacklogTable" displayName="BacklogTable" ref="A1:AJ25"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AUDSpec1" displayName="AUDSpec1" ref="A1:J7" headerRowCount="1">
  <x:tableColumns count="10">
    <x:tableColumn id="1" name="이벤트 ID"/>
    <x:tableColumn id="2" name="범주"/>
    <x:tableColumn id="3" name="발동 조건"/>
    <x:tableColumn id="4" name="버스"/>
    <x:tableColumn id="5" name="우선순위"/>
    <x:tableColumn id="6" name="공간 음향"/>
    <x:tableColumn id="7" name="최대 동시 재생"/>
    <x:tableColumn id="8" name="자막 키"/>
    <x:tableColumn id="9" name="관련 ID"/>
    <x:tableColumn id="10" name="담당"/>
  </x:tableColumns>
  <x:tableStyleInfo name="TableStyleMedium2" showRowStripes="1"/>
</x:table>
</file>

<file path=xl/tables/table3.xml><?xml version="1.0" encoding="utf-8"?>
<x:table xmlns:x="http://schemas.openxmlformats.org/spreadsheetml/2006/main" id="3" name="AUDSpec2" displayName="AUDSpec2" ref="A1:H10" headerRowCount="1">
  <x:tableColumns count="8">
    <x:tableColumn id="1" name="게임 상태"/>
    <x:tableColumn id="2" name="채널"/>
    <x:tableColumn id="3" name="송신"/>
    <x:tableColumn id="4" name="수신"/>
    <x:tableColumn id="5" name="공간 음향"/>
    <x:tableColumn id="6" name="발언 가능 대상"/>
    <x:tableColumn id="7" name="우선 적용 규칙"/>
    <x:tableColumn id="8" name="관련 ID"/>
  </x:tableColumns>
  <x:tableStyleInfo name="TableStyleMedium2" showRowStripes="1"/>
</x:table>
</file>

<file path=xl/tables/table4.xml><?xml version="1.0" encoding="utf-8"?>
<x:table xmlns:x="http://schemas.openxmlformats.org/spreadsheetml/2006/main" id="4" name="AUDSpec3" displayName="AUDSpec3" ref="A1:H6" headerRowCount="1">
  <x:tableColumns count="8">
    <x:tableColumn id="1" name="스냅샷"/>
    <x:tableColumn id="2" name="음악"/>
    <x:tableColumn id="3" name="효과음"/>
    <x:tableColumn id="4" name="UI"/>
    <x:tableColumn id="5" name="음성"/>
    <x:tableColumn id="6" name="더킹 규칙"/>
    <x:tableColumn id="7" name="전환 시간"/>
    <x:tableColumn id="8" name="관련 ID"/>
  </x:tableColumns>
  <x:tableStyleInfo name="TableStyleMedium2" showRowStripes="1"/>
</x:table>
</file>

<file path=xl/tables/table5.xml><?xml version="1.0" encoding="utf-8"?>
<x:table xmlns:x="http://schemas.openxmlformats.org/spreadsheetml/2006/main" id="9" name="QACasesTable" displayName="QACasesTable" ref="A1:V40"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f8386aa98394b79" /></Relationships>
</file>

<file path=xl/worksheets/_rels/sheet2.xml.rels>&#65279;<?xml version="1.0" encoding="utf-8"?><Relationships xmlns="http://schemas.openxmlformats.org/package/2006/relationships"><Relationship Type="http://schemas.openxmlformats.org/officeDocument/2006/relationships/table" Target="/xl/tables/table1.xml" Id="Raef0d0a9863a4e69" /></Relationships>
</file>

<file path=xl/worksheets/_rels/sheet3.xml.rels>&#65279;<?xml version="1.0" encoding="utf-8"?><Relationships xmlns="http://schemas.openxmlformats.org/package/2006/relationships"><Relationship Type="http://schemas.openxmlformats.org/officeDocument/2006/relationships/table" Target="/xl/tables/table2.xml" Id="R66bbbb36ce23412a" /></Relationships>
</file>

<file path=xl/worksheets/_rels/sheet4.xml.rels>&#65279;<?xml version="1.0" encoding="utf-8"?><Relationships xmlns="http://schemas.openxmlformats.org/package/2006/relationships"><Relationship Type="http://schemas.openxmlformats.org/officeDocument/2006/relationships/table" Target="/xl/tables/table3.xml" Id="R110ee97f306f4252" /></Relationships>
</file>

<file path=xl/worksheets/_rels/sheet5.xml.rels>&#65279;<?xml version="1.0" encoding="utf-8"?><Relationships xmlns="http://schemas.openxmlformats.org/package/2006/relationships"><Relationship Type="http://schemas.openxmlformats.org/officeDocument/2006/relationships/table" Target="/xl/tables/table4.xml" Id="R810c3a338ee848ba" /></Relationships>
</file>

<file path=xl/worksheets/_rels/sheet6.xml.rels>&#65279;<?xml version="1.0" encoding="utf-8"?><Relationships xmlns="http://schemas.openxmlformats.org/package/2006/relationships"><Relationship Type="http://schemas.openxmlformats.org/officeDocument/2006/relationships/table" Target="/xl/tables/table5.xml" Id="R42e403a30a4c42c7" /></Relationships>
</file>

<file path=xl/worksheets/_rels/sheet7.xml.rels>&#65279;<?xml version="1.0" encoding="utf-8"?><Relationships xmlns="http://schemas.openxmlformats.org/package/2006/relationships"><Relationship Type="http://schemas.openxmlformats.org/officeDocument/2006/relationships/table" Target="/xl/tables/table6.xml" Id="R8f6917318514428e" /></Relationships>
</file>

<file path=xl/worksheets/_rels/sheet8.xml.rels>&#65279;<?xml version="1.0" encoding="utf-8"?><Relationships xmlns="http://schemas.openxmlformats.org/package/2006/relationships"><Relationship Type="http://schemas.openxmlformats.org/officeDocument/2006/relationships/table" Target="/xl/tables/table7.xml" Id="R7651a01234684b5d"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오디오·보이스 채팅 구현 관리대장</x:v>
      </x:c>
      <x:c r="B1" s="5"/>
      <x:c r="C1" s="5"/>
      <x:c r="D1" s="5"/>
      <x:c r="E1" s="5"/>
      <x:c r="F1" s="5"/>
      <x:c r="G1" s="5"/>
      <x:c r="H1" s="5"/>
    </x:row>
    <x:row r="2" ht="28" customHeight="1">
      <x:c r="A2" s="13" t="str">
        <x:v>버전 2.0-ko / 갱신일 2026-07-10 / 담당 부문: 오디오·온라인 엔지니어링</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COUNTA('01_백로그'!A2:A25)</x:f>
        <x:v>24</x:v>
      </x:c>
      <x:c r="C5" s="27" t="str">
        <x:v>백로그 전체 수</x:v>
      </x:c>
      <x:c r="D5" s="27"/>
      <x:c r="E5" s="27" t="str">
        <x:v>미착수</x:v>
      </x:c>
      <x:c r="F5" s="27" t="n">
        <x:f>COUNTIF('01_백로그'!U2:U25,E5)</x:f>
        <x:v>24</x:v>
      </x:c>
      <x:c r="G5" s="28" t="n">
        <x:f>IFERROR(F5/$B$5,0)</x:f>
        <x:v>1</x:v>
      </x:c>
      <x:c r="H5" s="27"/>
    </x:row>
    <x:row r="6">
      <x:c r="A6" s="27" t="str">
        <x:v>MVP 작업</x:v>
      </x:c>
      <x:c r="B6" s="27" t="n">
        <x:f>COUNTIF('01_백로그'!I2:I25,"MVP")</x:f>
        <x:v>9</x:v>
      </x:c>
      <x:c r="C6" s="27" t="str">
        <x:v>MVP 범위</x:v>
      </x:c>
      <x:c r="D6" s="27"/>
      <x:c r="E6" s="27" t="str">
        <x:v>사양 확인 중</x:v>
      </x:c>
      <x:c r="F6" s="27" t="n">
        <x:f>COUNTIF('01_백로그'!U2:U25,E6)</x:f>
        <x:v>0</x:v>
      </x:c>
      <x:c r="G6" s="28" t="n">
        <x:f>IFERROR(F6/$B$5,0)</x:f>
        <x:v>0</x:v>
      </x:c>
      <x:c r="H6" s="27"/>
    </x:row>
    <x:row r="7">
      <x:c r="A7" s="27" t="str">
        <x:v>P0 미완료</x:v>
      </x:c>
      <x:c r="B7" s="27" t="n">
        <x:f>COUNTIFS('01_백로그'!J2:J25,"P0",'01_백로그'!U2:U25,"&lt;&gt;완료")</x:f>
        <x:v>15</x:v>
      </x:c>
      <x:c r="C7" s="27" t="str">
        <x:v>P0이며 완료되지 않은 항목</x:v>
      </x:c>
      <x:c r="D7" s="27"/>
      <x:c r="E7" s="27" t="str">
        <x:v>구현 중</x:v>
      </x:c>
      <x:c r="F7" s="27" t="n">
        <x:f>COUNTIF('01_백로그'!U2:U25,E7)</x:f>
        <x:v>0</x:v>
      </x:c>
      <x:c r="G7" s="28" t="n">
        <x:f>IFERROR(F7/$B$5,0)</x:f>
        <x:v>0</x:v>
      </x:c>
      <x:c r="H7" s="27"/>
    </x:row>
    <x:row r="8">
      <x:c r="A8" s="27" t="str">
        <x:v>차단</x:v>
      </x:c>
      <x:c r="B8" s="27" t="n">
        <x:f>COUNTIF('01_백로그'!U2:U25,"차단")</x:f>
        <x:v>0</x:v>
      </x:c>
      <x:c r="C8" s="27" t="str">
        <x:v>현재 진행을 막는 항목</x:v>
      </x:c>
      <x:c r="D8" s="27"/>
      <x:c r="E8" s="27" t="str">
        <x:v>코드 리뷰</x:v>
      </x:c>
      <x:c r="F8" s="27" t="n">
        <x:f>COUNTIF('01_백로그'!U2:U25,E8)</x:f>
        <x:v>0</x:v>
      </x:c>
      <x:c r="G8" s="28" t="n">
        <x:f>IFERROR(F8/$B$5,0)</x:f>
        <x:v>0</x:v>
      </x:c>
      <x:c r="H8" s="27"/>
    </x:row>
    <x:row r="9">
      <x:c r="A9" s="27" t="str">
        <x:v>완료</x:v>
      </x:c>
      <x:c r="B9" s="27" t="n">
        <x:f>COUNTIF('01_백로그'!U2:U25,"완료")</x:f>
        <x:v>0</x:v>
      </x:c>
      <x:c r="C9" s="27" t="str">
        <x:v>완료 정의·QA·증빙 충족</x:v>
      </x:c>
      <x:c r="D9" s="27"/>
      <x:c r="E9" s="27" t="str">
        <x:v>QA 진행 중</x:v>
      </x:c>
      <x:c r="F9" s="27" t="n">
        <x:f>COUNTIF('01_백로그'!U2:U25,E9)</x:f>
        <x:v>0</x:v>
      </x:c>
      <x:c r="G9" s="28" t="n">
        <x:f>IFERROR(F9/$B$5,0)</x:f>
        <x:v>0</x:v>
      </x:c>
      <x:c r="H9" s="27"/>
    </x:row>
    <x:row r="10">
      <x:c r="A10" s="27" t="str">
        <x:v>평균 진행률</x:v>
      </x:c>
      <x:c r="B10" s="28" t="n">
        <x:f>IFERROR(AVERAGE('01_백로그'!V2:V25),0)</x:f>
        <x:v>0</x:v>
      </x:c>
      <x:c r="C10" s="27" t="str">
        <x:v>상태별 진행률 환산 평균</x:v>
      </x:c>
      <x:c r="D10" s="27"/>
      <x:c r="E10" s="27" t="str">
        <x:v>차단</x:v>
      </x:c>
      <x:c r="F10" s="27" t="n">
        <x:f>COUNTIF('01_백로그'!U2:U25,E10)</x:f>
        <x:v>0</x:v>
      </x:c>
      <x:c r="G10" s="28" t="n">
        <x:f>IFERROR(F10/$B$5,0)</x:f>
        <x:v>0</x:v>
      </x:c>
      <x:c r="H10" s="27"/>
    </x:row>
    <x:row r="11">
      <x:c r="A11" s="27" t="str">
        <x:v>QA 합격률</x:v>
      </x:c>
      <x:c r="B11" s="28" t="n">
        <x:f>IFERROR(COUNTIF('80_QA_케이스'!M2:M40,"합격")/COUNTIF('80_QA_케이스'!M2:M40,"&lt;&gt;대상 제외"),0)</x:f>
        <x:v>0</x:v>
      </x:c>
      <x:c r="C11" s="27" t="str">
        <x:v>대상 QA 중 통과 비율</x:v>
      </x:c>
      <x:c r="D11" s="27"/>
      <x:c r="E11" s="27" t="str">
        <x:v>완료</x:v>
      </x:c>
      <x:c r="F11" s="27" t="n">
        <x:f>COUNTIF('01_백로그'!U2:U25,E11)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COUNTIF('01_백로그'!U2:U25,E12)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5f8386aa98394b79"/>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AUD-001</x:v>
      </x:c>
      <x:c r="B2" s="36" t="str">
        <x:v>오디오·보이스 채팅</x:v>
      </x:c>
      <x:c r="C2" s="36" t="str">
        <x:v>오디오 기반</x:v>
      </x:c>
      <x:c r="D2" s="36" t="str">
        <x:v>믹싱</x:v>
      </x:c>
      <x:c r="E2" s="36" t="str">
        <x:v>BGM·효과음·UI·음성 버스·스냅샷 설계</x:v>
      </x:c>
      <x:c r="F2" s="36" t="str">
        <x:v>게임 규칙, 운영 요구사항과 대상 플랫폼 제약을 충족하도록 BGM·효과음·UI·음성 버스·스냅샷 설계 기능을 구현하고 검증한다.</x:v>
      </x:c>
      <x:c r="G2" s="36" t="str">
        <x:v>주요 버스, 우선순위, 더킹, 낮·밤·최종 재판·결과 스냅샷을 정의하고 중요한 대화와 투표 알림이 다른 소리에 묻히지 않는다.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오디오 기반</x:v>
      </x:c>
      <x:c r="M2" s="36" t="str">
        <x:v>MVP</x:v>
      </x:c>
      <x:c r="N2" s="36" t="str">
        <x:v>오디오·온라인 엔지니어링</x:v>
      </x:c>
      <x:c r="O2" s="36" t="str">
        <x:v>미정</x:v>
      </x:c>
      <x:c r="P2" s="36" t="str">
        <x:v>미정</x:v>
      </x:c>
      <x:c r="Q2" s="36" t="str">
        <x:v>전체</x:v>
      </x:c>
      <x:c r="R2" s="36" t="str">
        <x:v>콘텐츠 데이터</x:v>
      </x:c>
      <x:c r="S2" s="36" t="str">
        <x:v>없음</x:v>
      </x:c>
      <x:c r="T2" s="36" t="str">
        <x:v>L</x:v>
      </x:c>
      <x:c r="U2" s="36" t="str">
        <x:v>미착수</x:v>
      </x:c>
      <x:c r="V2" s="46" t="n">
        <x:f>IF(U2="완료",1,IF(U2="QA 진행 중",0.8,IF(U2="코드 리뷰",0.65,IF(U2="구현 중",0.4,IF(U2="사양 확인 중",0.1,IF(U2="차단",0.4,0))))))</x:f>
        <x:v>0</x:v>
      </x:c>
      <x:c r="W2" s="36" t="str">
        <x:v>미정</x:v>
      </x:c>
      <x:c r="X2" s="44"/>
      <x:c r="Y2" s="36"/>
      <x:c r="Z2" s="36" t="str">
        <x:v>중간</x:v>
      </x:c>
      <x:c r="AA2" s="36" t="str">
        <x:v>기능</x:v>
      </x:c>
      <x:c r="AB2" s="36" t="str">
        <x:v>TC-AUD-001-01, TC-AUD-001-02</x:v>
      </x:c>
      <x:c r="AC2" s="36"/>
      <x:c r="AD2" s="36" t="str">
        <x:v>게임 기획서</x:v>
      </x:c>
      <x:c r="AE2" s="36"/>
      <x:c r="AF2" s="44" t="str">
        <x:v>2026-07-10</x:v>
      </x:c>
      <x:c r="AG2" s="36"/>
      <x:c r="AH2" s="54"/>
      <x:c r="AI2" s="54"/>
      <x:c r="AJ2" s="53" t="str">
        <x:v>착수 전</x:v>
      </x:c>
    </x:row>
    <x:row r="3" ht="42" customHeight="1">
      <x:c r="A3" s="36" t="str">
        <x:v>AUD-002</x:v>
      </x:c>
      <x:c r="B3" s="36" t="str">
        <x:v>오디오·보이스 채팅</x:v>
      </x:c>
      <x:c r="C3" s="36" t="str">
        <x:v>음성 채팅</x:v>
      </x:c>
      <x:c r="D3" s="36" t="str">
        <x:v>초기화</x:v>
      </x:c>
      <x:c r="E3" s="36" t="str">
        <x:v>음성 SDK 초기화·입출력 장치</x:v>
      </x:c>
      <x:c r="F3" s="36" t="str">
        <x:v>게임 규칙, 운영 요구사항과 대상 플랫폼 제약을 충족하도록 음성 SDK 초기화·입출력 장치 기능을 구현하고 검증한다.</x:v>
      </x:c>
      <x:c r="G3" s="36" t="str">
        <x:v>권한, 동의, 입력·출력 장치, 마이크 시험, 장치 전환·분리를 처리하고 실패해도 게임 참가 정책에 따라 안전하게 계속할 수 있다.</x:v>
      </x:c>
      <x:c r="H3" s="36" t="str">
        <x:v>구현, 코드 리뷰, 사양 갱신, 대상 QA 케이스 실행, 로그·텔레메트리 확인과 관련 플랫폼 검증을 완료하고 미해결 P0·P1 결함이 없다.</x:v>
      </x:c>
      <x:c r="I3" s="36" t="str">
        <x:v>알파</x:v>
      </x:c>
      <x:c r="J3" s="36" t="str">
        <x:v>P0</x:v>
      </x:c>
      <x:c r="K3" s="36" t="str">
        <x:v>필수</x:v>
      </x:c>
      <x:c r="L3" s="36" t="str">
        <x:v>음성</x:v>
      </x:c>
      <x:c r="M3" s="36" t="str">
        <x:v>알파</x:v>
      </x:c>
      <x:c r="N3" s="36" t="str">
        <x:v>오디오·온라인 엔지니어링</x:v>
      </x:c>
      <x:c r="O3" s="36" t="str">
        <x:v>미정</x:v>
      </x:c>
      <x:c r="P3" s="36" t="str">
        <x:v>미정</x:v>
      </x:c>
      <x:c r="Q3" s="36" t="str">
        <x:v>전체</x:v>
      </x:c>
      <x:c r="R3" s="36" t="str">
        <x:v>클라이언트 로컬</x:v>
      </x:c>
      <x:c r="S3" s="36" t="str">
        <x:v>단말 로컬</x:v>
      </x:c>
      <x:c r="T3" s="36" t="str">
        <x:v>XL</x:v>
      </x:c>
      <x:c r="U3" s="36" t="str">
        <x:v>미착수</x:v>
      </x:c>
      <x:c r="V3" s="46" t="n">
        <x:f>IF(U3="완료",1,IF(U3="QA 진행 중",0.8,IF(U3="코드 리뷰",0.65,IF(U3="구현 중",0.4,IF(U3="사양 확인 중",0.1,IF(U3="차단",0.4,0))))))</x:f>
        <x:v>0</x:v>
      </x:c>
      <x:c r="W3" s="36" t="str">
        <x:v>미정</x:v>
      </x:c>
      <x:c r="X3" s="44"/>
      <x:c r="Y3" s="36" t="str">
        <x:v>SET-008,BED-012</x:v>
      </x:c>
      <x:c r="Z3" s="36" t="str">
        <x:v>중간</x:v>
      </x:c>
      <x:c r="AA3" s="36" t="str">
        <x:v>호환성</x:v>
      </x:c>
      <x:c r="AB3" s="36" t="str">
        <x:v>TC-AUD-002-01, TC-AUD-002-02</x:v>
      </x:c>
      <x:c r="AC3" s="36"/>
      <x:c r="AD3" s="36" t="str">
        <x:v>게임 기획서</x:v>
      </x:c>
      <x:c r="AE3" s="36"/>
      <x:c r="AF3" s="44" t="str">
        <x:v>2026-07-10</x:v>
      </x:c>
      <x:c r="AG3" s="36"/>
      <x:c r="AH3" s="54"/>
      <x:c r="AI3" s="54"/>
      <x:c r="AJ3" s="53" t="str">
        <x:v>착수 전</x:v>
      </x:c>
    </x:row>
    <x:row r="4" ht="42" customHeight="1">
      <x:c r="A4" s="36" t="str">
        <x:v>AUD-003</x:v>
      </x:c>
      <x:c r="B4" s="36" t="str">
        <x:v>오디오·보이스 채팅</x:v>
      </x:c>
      <x:c r="C4" s="36" t="str">
        <x:v>음성 채팅</x:v>
      </x:c>
      <x:c r="D4" s="36" t="str">
        <x:v>사전 점검</x:v>
      </x:c>
      <x:c r="E4" s="36" t="str">
        <x:v>로비 음성 연결·권한 사전 점검</x:v>
      </x:c>
      <x:c r="F4" s="36" t="str">
        <x:v>게임 규칙, 운영 요구사항과 대상 플랫폼 제약을 충족하도록 로비 음성 연결·권한 사전 점검 기능을 구현하고 검증한다.</x:v>
      </x:c>
      <x:c r="G4" s="36" t="str">
        <x:v>매치 시작 전에 채널 참가, 마이크 권한, 송수신 상태를 검사하고 문제가 있는 참가자에게 자가 해결 경로를 제공한다.</x:v>
      </x:c>
      <x:c r="H4" s="36" t="str">
        <x:v>구현, 코드 리뷰, 사양 갱신, 대상 QA 케이스 실행, 로그·텔레메트리 확인과 관련 플랫폼 검증을 완료하고 미해결 P0·P1 결함이 없다.</x:v>
      </x:c>
      <x:c r="I4" s="36" t="str">
        <x:v>알파</x:v>
      </x:c>
      <x:c r="J4" s="36" t="str">
        <x:v>P0</x:v>
      </x:c>
      <x:c r="K4" s="36" t="str">
        <x:v>필수</x:v>
      </x:c>
      <x:c r="L4" s="36" t="str">
        <x:v>음성</x:v>
      </x:c>
      <x:c r="M4" s="36" t="str">
        <x:v>알파</x:v>
      </x:c>
      <x:c r="N4" s="36" t="str">
        <x:v>오디오·온라인 엔지니어링</x:v>
      </x:c>
      <x:c r="O4" s="36" t="str">
        <x:v>미정</x:v>
      </x:c>
      <x:c r="P4" s="36" t="str">
        <x:v>미정</x:v>
      </x:c>
      <x:c r="Q4" s="36" t="str">
        <x:v>전체</x:v>
      </x:c>
      <x:c r="R4" s="36" t="str">
        <x:v>클라이언트 로컬</x:v>
      </x:c>
      <x:c r="S4" s="36" t="str">
        <x:v>세션</x:v>
      </x:c>
      <x:c r="T4" s="36" t="str">
        <x:v>L</x:v>
      </x:c>
      <x:c r="U4" s="36" t="str">
        <x:v>미착수</x:v>
      </x:c>
      <x:c r="V4" s="46" t="n">
        <x:f>IF(U4="완료",1,IF(U4="QA 진행 중",0.8,IF(U4="코드 리뷰",0.65,IF(U4="구현 중",0.4,IF(U4="사양 확인 중",0.1,IF(U4="차단",0.4,0))))))</x:f>
        <x:v>0</x:v>
      </x:c>
      <x:c r="W4" s="36" t="str">
        <x:v>미정</x:v>
      </x:c>
      <x:c r="X4" s="44"/>
      <x:c r="Y4" s="36" t="str">
        <x:v>AUD-002,ONL-011</x:v>
      </x:c>
      <x:c r="Z4" s="36" t="str">
        <x:v>중간</x:v>
      </x:c>
      <x:c r="AA4" s="36" t="str">
        <x:v>통합</x:v>
      </x:c>
      <x:c r="AB4" s="36" t="str">
        <x:v>TC-AUD-003-01, TC-AUD-003-02</x:v>
      </x:c>
      <x:c r="AC4" s="36"/>
      <x:c r="AD4" s="36" t="str">
        <x:v>게임 기획서</x:v>
      </x:c>
      <x:c r="AE4" s="36"/>
      <x:c r="AF4" s="44" t="str">
        <x:v>2026-07-10</x:v>
      </x:c>
      <x:c r="AG4" s="36"/>
      <x:c r="AH4" s="54"/>
      <x:c r="AI4" s="54"/>
      <x:c r="AJ4" s="53" t="str">
        <x:v>착수 전</x:v>
      </x:c>
    </x:row>
    <x:row r="5" ht="42" customHeight="1">
      <x:c r="A5" s="36" t="str">
        <x:v>AUD-004</x:v>
      </x:c>
      <x:c r="B5" s="36" t="str">
        <x:v>오디오·보이스 채팅</x:v>
      </x:c>
      <x:c r="C5" s="36" t="str">
        <x:v>음성 채팅</x:v>
      </x:c>
      <x:c r="D5" s="36" t="str">
        <x:v>근거리</x:v>
      </x:c>
      <x:c r="E5" s="36" t="str">
        <x:v>낮 근거리 음성 거리 감쇠</x:v>
      </x:c>
      <x:c r="F5" s="36" t="str">
        <x:v>게임 규칙, 운영 요구사항과 대상 플랫폼 제약을 충족하도록 낮 근거리 음성 거리 감쇠 기능을 구현하고 검증한다.</x:v>
      </x:c>
      <x:c r="G5" s="36" t="str">
        <x:v>근거리는 명확하게, 중거리는 감쇠하며 원거리에서는 들리지 않도록 하고 카메라가 아니라 캐릭터 위치를 기준으로 한다.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핵심 규칙</x:v>
      </x:c>
      <x:c r="M5" s="36" t="str">
        <x:v>MVP</x:v>
      </x:c>
      <x:c r="N5" s="36" t="str">
        <x:v>오디오·온라인 엔지니어링</x:v>
      </x:c>
      <x:c r="O5" s="36" t="str">
        <x:v>미정</x:v>
      </x:c>
      <x:c r="P5" s="36" t="str">
        <x:v>미정</x:v>
      </x:c>
      <x:c r="Q5" s="36" t="str">
        <x:v>전체</x:v>
      </x:c>
      <x:c r="R5" s="36" t="str">
        <x:v>클라이언트 로컬</x:v>
      </x:c>
      <x:c r="S5" s="36" t="str">
        <x:v>없음</x:v>
      </x:c>
      <x:c r="T5" s="36" t="str">
        <x:v>XL</x:v>
      </x:c>
      <x:c r="U5" s="36" t="str">
        <x:v>미착수</x:v>
      </x:c>
      <x:c r="V5" s="46" t="n">
        <x:f>IF(U5="완료",1,IF(U5="QA 진행 중",0.8,IF(U5="코드 리뷰",0.65,IF(U5="구현 중",0.4,IF(U5="사양 확인 중",0.1,IF(U5="차단",0.4,0))))))</x:f>
        <x:v>0</x:v>
      </x:c>
      <x:c r="W5" s="36" t="str">
        <x:v>미정</x:v>
      </x:c>
      <x:c r="X5" s="44"/>
      <x:c r="Y5" s="36" t="str">
        <x:v>AUD-002,NET-009</x:v>
      </x:c>
      <x:c r="Z5" s="36" t="str">
        <x:v>중간</x:v>
      </x:c>
      <x:c r="AA5" s="36" t="str">
        <x:v>사용성</x:v>
      </x:c>
      <x:c r="AB5" s="36" t="str">
        <x:v>TC-AUD-004-01, TC-AUD-004-02</x:v>
      </x:c>
      <x:c r="AC5" s="36"/>
      <x:c r="AD5" s="36" t="str">
        <x:v>게임 기획서 §6</x:v>
      </x:c>
      <x:c r="AE5" s="36"/>
      <x:c r="AF5" s="44" t="str">
        <x:v>2026-07-10</x:v>
      </x:c>
      <x:c r="AG5" s="36"/>
      <x:c r="AH5" s="54"/>
      <x:c r="AI5" s="54"/>
      <x:c r="AJ5" s="53" t="str">
        <x:v>착수 전</x:v>
      </x:c>
    </x:row>
    <x:row r="6" ht="42" customHeight="1">
      <x:c r="A6" s="36" t="str">
        <x:v>AUD-005</x:v>
      </x:c>
      <x:c r="B6" s="36" t="str">
        <x:v>오디오·보이스 채팅</x:v>
      </x:c>
      <x:c r="C6" s="36" t="str">
        <x:v>음성 채팅</x:v>
      </x:c>
      <x:c r="D6" s="36" t="str">
        <x:v>차폐</x:v>
      </x:c>
      <x:c r="E6" s="36" t="str">
        <x:v>벽·방에 따른 음성 차폐</x:v>
      </x:c>
      <x:c r="F6" s="36" t="str">
        <x:v>게임 규칙, 운영 요구사항과 대상 플랫폼 제약을 충족하도록 벽·방에 따른 음성 차폐 기능을 구현하고 검증한다.</x:v>
      </x:c>
      <x:c r="G6" s="36" t="str">
        <x:v>벽, 문, 방 경계에서 음량과 필터를 조절하고 맵 밖이나 시야 밖의 대화가 부자연스럽게 새지 않는다.</x:v>
      </x:c>
      <x:c r="H6" s="36" t="str">
        <x:v>구현, 코드 리뷰, 사양 갱신, 대상 QA 케이스 실행, 로그·텔레메트리 확인과 관련 플랫폼 검증을 완료하고 미해결 P0·P1 결함이 없다.</x:v>
      </x:c>
      <x:c r="I6" s="36" t="str">
        <x:v>알파</x:v>
      </x:c>
      <x:c r="J6" s="36" t="str">
        <x:v>P1</x:v>
      </x:c>
      <x:c r="K6" s="36" t="str">
        <x:v>필수</x:v>
      </x:c>
      <x:c r="L6" s="36" t="str">
        <x:v>음성</x:v>
      </x:c>
      <x:c r="M6" s="36" t="str">
        <x:v>알파</x:v>
      </x:c>
      <x:c r="N6" s="36" t="str">
        <x:v>오디오·온라인 엔지니어링</x:v>
      </x:c>
      <x:c r="O6" s="36" t="str">
        <x:v>미정</x:v>
      </x:c>
      <x:c r="P6" s="36" t="str">
        <x:v>미정</x:v>
      </x:c>
      <x:c r="Q6" s="36" t="str">
        <x:v>전체</x:v>
      </x:c>
      <x:c r="R6" s="36" t="str">
        <x:v>클라이언트 로컬</x:v>
      </x:c>
      <x:c r="S6" s="36" t="str">
        <x:v>없음</x:v>
      </x:c>
      <x:c r="T6" s="36" t="str">
        <x:v>L</x:v>
      </x:c>
      <x:c r="U6" s="36" t="str">
        <x:v>미착수</x:v>
      </x:c>
      <x:c r="V6" s="46" t="n">
        <x:f>IF(U6="완료",1,IF(U6="QA 진행 중",0.8,IF(U6="코드 리뷰",0.65,IF(U6="구현 중",0.4,IF(U6="사양 확인 중",0.1,IF(U6="차단",0.4,0))))))</x:f>
        <x:v>0</x:v>
      </x:c>
      <x:c r="W6" s="36" t="str">
        <x:v>미정</x:v>
      </x:c>
      <x:c r="X6" s="44"/>
      <x:c r="Y6" s="36" t="str">
        <x:v>AUD-004,CNT-007</x:v>
      </x:c>
      <x:c r="Z6" s="36" t="str">
        <x:v>중간</x:v>
      </x:c>
      <x:c r="AA6" s="36" t="str">
        <x:v>기능</x:v>
      </x:c>
      <x:c r="AB6" s="36" t="str">
        <x:v>TC-AUD-005-01</x:v>
      </x:c>
      <x:c r="AC6" s="36"/>
      <x:c r="AD6" s="36" t="str">
        <x:v>게임 기획서</x:v>
      </x:c>
      <x:c r="AE6" s="36"/>
      <x:c r="AF6" s="44" t="str">
        <x:v>2026-07-10</x:v>
      </x:c>
      <x:c r="AG6" s="36"/>
      <x:c r="AH6" s="54"/>
      <x:c r="AI6" s="54"/>
      <x:c r="AJ6" s="53" t="str">
        <x:v>착수 전</x:v>
      </x:c>
    </x:row>
    <x:row r="7" ht="42" customHeight="1">
      <x:c r="A7" s="36" t="str">
        <x:v>AUD-006</x:v>
      </x:c>
      <x:c r="B7" s="36" t="str">
        <x:v>오디오·보이스 채팅</x:v>
      </x:c>
      <x:c r="C7" s="36" t="str">
        <x:v>음성 채팅</x:v>
      </x:c>
      <x:c r="D7" s="36" t="str">
        <x:v>야간 침묵</x:v>
      </x:c>
      <x:c r="E7" s="36" t="str">
        <x:v>밤 관찰·밤 투표 완전 음소거</x:v>
      </x:c>
      <x:c r="F7" s="36" t="str">
        <x:v>게임 규칙, 운영 요구사항과 대상 플랫폼 제약을 충족하도록 밤 관찰·밤 투표 완전 음소거 기능을 구현하고 검증한다.</x:v>
      </x:c>
      <x:c r="G7" s="36" t="str">
        <x:v>밤 시작 이벤트를 서버 기준으로 모든 송신 채널에 적용하고 PTT, 오픈 마이크, 재접속, 장치 전환 상황에서도 송수신할 수 없다.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핵심 규칙</x:v>
      </x:c>
      <x:c r="M7" s="36" t="str">
        <x:v>MVP</x:v>
      </x:c>
      <x:c r="N7" s="36" t="str">
        <x:v>오디오·온라인 엔지니어링</x:v>
      </x:c>
      <x:c r="O7" s="36" t="str">
        <x:v>미정</x:v>
      </x:c>
      <x:c r="P7" s="36" t="str">
        <x:v>미정</x:v>
      </x:c>
      <x:c r="Q7" s="36" t="str">
        <x:v>전체</x:v>
      </x:c>
      <x:c r="R7" s="36" t="str">
        <x:v>서버 권한</x:v>
      </x:c>
      <x:c r="S7" s="36" t="str">
        <x:v>세션</x:v>
      </x:c>
      <x:c r="T7" s="36" t="str">
        <x:v>L</x:v>
      </x:c>
      <x:c r="U7" s="36" t="str">
        <x:v>미착수</x:v>
      </x:c>
      <x:c r="V7" s="46" t="n">
        <x:f>IF(U7="완료",1,IF(U7="QA 진행 중",0.8,IF(U7="코드 리뷰",0.65,IF(U7="구현 중",0.4,IF(U7="사양 확인 중",0.1,IF(U7="차단",0.4,0))))))</x:f>
        <x:v>0</x:v>
      </x:c>
      <x:c r="W7" s="36" t="str">
        <x:v>미정</x:v>
      </x:c>
      <x:c r="X7" s="44"/>
      <x:c r="Y7" s="36" t="str">
        <x:v>AUD-003,IGM-006,NET-010</x:v>
      </x:c>
      <x:c r="Z7" s="36" t="str">
        <x:v>중간</x:v>
      </x:c>
      <x:c r="AA7" s="36" t="str">
        <x:v>보안</x:v>
      </x:c>
      <x:c r="AB7" s="36" t="str">
        <x:v>TC-AUD-006-01, TC-AUD-006-02</x:v>
      </x:c>
      <x:c r="AC7" s="36"/>
      <x:c r="AD7" s="36" t="str">
        <x:v>게임 기획서</x:v>
      </x:c>
      <x:c r="AE7" s="36"/>
      <x:c r="AF7" s="44" t="str">
        <x:v>2026-07-10</x:v>
      </x:c>
      <x:c r="AG7" s="36"/>
      <x:c r="AH7" s="54"/>
      <x:c r="AI7" s="54"/>
      <x:c r="AJ7" s="53" t="str">
        <x:v>착수 전</x:v>
      </x:c>
    </x:row>
    <x:row r="8" ht="42" customHeight="1">
      <x:c r="A8" s="36" t="str">
        <x:v>AUD-007</x:v>
      </x:c>
      <x:c r="B8" s="36" t="str">
        <x:v>오디오·보이스 채팅</x:v>
      </x:c>
      <x:c r="C8" s="36" t="str">
        <x:v>음성 채팅</x:v>
      </x:c>
      <x:c r="D8" s="36" t="str">
        <x:v>페이즈 제한</x:v>
      </x:c>
      <x:c r="E8" s="36" t="str">
        <x:v>페이즈별 채널·발언권 제어</x:v>
      </x:c>
      <x:c r="F8" s="36" t="str">
        <x:v>게임 규칙, 운영 요구사항과 대상 플랫폼 제약을 충족하도록 페이즈별 채널·발언권 제어 기능을 구현하고 검증한다.</x:v>
      </x:c>
      <x:c r="G8" s="36" t="str">
        <x:v>로비, 낮, 밤, 최종 발언, 결과의 채널과 발언권을 상태표로 관리하고 지연 이벤트로 잘못된 채널에 남지 않는다.</x:v>
      </x:c>
      <x:c r="H8" s="36" t="str">
        <x:v>구현, 코드 리뷰, 사양 갱신, 대상 QA 케이스 실행, 로그·텔레메트리 확인과 관련 플랫폼 검증을 완료하고 미해결 P0·P1 결함이 없다.</x:v>
      </x:c>
      <x:c r="I8" s="36" t="str">
        <x:v>MVP</x:v>
      </x:c>
      <x:c r="J8" s="36" t="str">
        <x:v>P0</x:v>
      </x:c>
      <x:c r="K8" s="36" t="str">
        <x:v>필수</x:v>
      </x:c>
      <x:c r="L8" s="36" t="str">
        <x:v>핵심 규칙</x:v>
      </x:c>
      <x:c r="M8" s="36" t="str">
        <x:v>MVP</x:v>
      </x:c>
      <x:c r="N8" s="36" t="str">
        <x:v>오디오·온라인 엔지니어링</x:v>
      </x:c>
      <x:c r="O8" s="36" t="str">
        <x:v>미정</x:v>
      </x:c>
      <x:c r="P8" s="36" t="str">
        <x:v>미정</x:v>
      </x:c>
      <x:c r="Q8" s="36" t="str">
        <x:v>전체</x:v>
      </x:c>
      <x:c r="R8" s="36" t="str">
        <x:v>서버 권한</x:v>
      </x:c>
      <x:c r="S8" s="36" t="str">
        <x:v>세션</x:v>
      </x:c>
      <x:c r="T8" s="36" t="str">
        <x:v>L</x:v>
      </x:c>
      <x:c r="U8" s="36" t="str">
        <x:v>미착수</x:v>
      </x:c>
      <x:c r="V8" s="46" t="n">
        <x:f>IF(U8="완료",1,IF(U8="QA 진행 중",0.8,IF(U8="코드 리뷰",0.65,IF(U8="구현 중",0.4,IF(U8="사양 확인 중",0.1,IF(U8="차단",0.4,0))))))</x:f>
        <x:v>0</x:v>
      </x:c>
      <x:c r="W8" s="36" t="str">
        <x:v>미정</x:v>
      </x:c>
      <x:c r="X8" s="44"/>
      <x:c r="Y8" s="36" t="str">
        <x:v>AUD-003,IGM-001,NET-010</x:v>
      </x:c>
      <x:c r="Z8" s="36" t="str">
        <x:v>중간</x:v>
      </x:c>
      <x:c r="AA8" s="36" t="str">
        <x:v>네트워크</x:v>
      </x:c>
      <x:c r="AB8" s="36" t="str">
        <x:v>TC-AUD-007-01, TC-AUD-007-02</x:v>
      </x:c>
      <x:c r="AC8" s="36"/>
      <x:c r="AD8" s="36" t="str">
        <x:v>게임 기획서</x:v>
      </x:c>
      <x:c r="AE8" s="36"/>
      <x:c r="AF8" s="44" t="str">
        <x:v>2026-07-10</x:v>
      </x:c>
      <x:c r="AG8" s="36"/>
      <x:c r="AH8" s="54"/>
      <x:c r="AI8" s="54"/>
      <x:c r="AJ8" s="53" t="str">
        <x:v>착수 전</x:v>
      </x:c>
    </x:row>
    <x:row r="9" ht="42" customHeight="1">
      <x:c r="A9" s="36" t="str">
        <x:v>AUD-008</x:v>
      </x:c>
      <x:c r="B9" s="36" t="str">
        <x:v>오디오·보이스 채팅</x:v>
      </x:c>
      <x:c r="C9" s="36" t="str">
        <x:v>음성 채팅</x:v>
      </x:c>
      <x:c r="D9" s="36" t="str">
        <x:v>최종 발언</x:v>
      </x:c>
      <x:c r="E9" s="36" t="str">
        <x:v>최종 발언자만 송신 허용</x:v>
      </x:c>
      <x:c r="F9" s="36" t="str">
        <x:v>게임 규칙, 운영 요구사항과 대상 플랫폼 제약을 충족하도록 최종 발언자만 송신 허용 기능을 구현하고 검증한다.</x:v>
      </x:c>
      <x:c r="G9" s="36" t="str">
        <x:v>서버가 지정한 플레이어 1명만 송신하고 다른 플레이어는 수신만 한다. 시간 종료, 연결 끊김, 건너뛰기 시 다음 발언자로 안전하게 전환한다.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핵심 규칙</x:v>
      </x:c>
      <x:c r="M9" s="36" t="str">
        <x:v>MVP</x:v>
      </x:c>
      <x:c r="N9" s="36" t="str">
        <x:v>오디오·온라인 엔지니어링</x:v>
      </x:c>
      <x:c r="O9" s="36" t="str">
        <x:v>미정</x:v>
      </x:c>
      <x:c r="P9" s="36" t="str">
        <x:v>미정</x:v>
      </x:c>
      <x:c r="Q9" s="36" t="str">
        <x:v>전체</x:v>
      </x:c>
      <x:c r="R9" s="36" t="str">
        <x:v>서버 권한</x:v>
      </x:c>
      <x:c r="S9" s="36" t="str">
        <x:v>매치</x:v>
      </x:c>
      <x:c r="T9" s="36" t="str">
        <x:v>L</x:v>
      </x:c>
      <x:c r="U9" s="36" t="str">
        <x:v>미착수</x:v>
      </x:c>
      <x:c r="V9" s="46" t="n">
        <x:f>IF(U9="완료",1,IF(U9="QA 진행 중",0.8,IF(U9="코드 리뷰",0.65,IF(U9="구현 중",0.4,IF(U9="사양 확인 중",0.1,IF(U9="차단",0.4,0))))))</x:f>
        <x:v>0</x:v>
      </x:c>
      <x:c r="W9" s="36" t="str">
        <x:v>미정</x:v>
      </x:c>
      <x:c r="X9" s="44"/>
      <x:c r="Y9" s="36" t="str">
        <x:v>AUD-007,IGM-030</x:v>
      </x:c>
      <x:c r="Z9" s="36" t="str">
        <x:v>중간</x:v>
      </x:c>
      <x:c r="AA9" s="36" t="str">
        <x:v>보안</x:v>
      </x:c>
      <x:c r="AB9" s="36" t="str">
        <x:v>TC-AUD-008-01, TC-AUD-008-02</x:v>
      </x:c>
      <x:c r="AC9" s="36"/>
      <x:c r="AD9" s="36" t="str">
        <x:v>게임 기획서</x:v>
      </x:c>
      <x:c r="AE9" s="36"/>
      <x:c r="AF9" s="44" t="str">
        <x:v>2026-07-10</x:v>
      </x:c>
      <x:c r="AG9" s="36"/>
      <x:c r="AH9" s="54"/>
      <x:c r="AI9" s="54"/>
      <x:c r="AJ9" s="53" t="str">
        <x:v>착수 전</x:v>
      </x:c>
    </x:row>
    <x:row r="10" ht="42" customHeight="1">
      <x:c r="A10" s="36" t="str">
        <x:v>AUD-009</x:v>
      </x:c>
      <x:c r="B10" s="36" t="str">
        <x:v>오디오·보이스 채팅</x:v>
      </x:c>
      <x:c r="C10" s="36" t="str">
        <x:v>음성 채팅</x:v>
      </x:c>
      <x:c r="D10" s="36" t="str">
        <x:v>공간 방향 표시</x:v>
      </x:c>
      <x:c r="E10" s="36" t="str">
        <x:v>발언자·마이크 상태 표시</x:v>
      </x:c>
      <x:c r="F10" s="36" t="str">
        <x:v>게임 규칙, 운영 요구사항과 대상 플랫폼 제약을 충족하도록 발언자·마이크 상태 표시 기능을 구현하고 검증한다.</x:v>
      </x:c>
      <x:c r="G10" s="36" t="str">
        <x:v>발언 중, 음소거, 연결 불량, 발언 금지를 색상만이 아닌 아이콘과 텍스트로 표시하고 개인 정보 설정을 따른다.</x:v>
      </x:c>
      <x:c r="H10" s="36" t="str">
        <x:v>구현, 코드 리뷰, 사양 갱신, 대상 QA 케이스 실행, 로그·텔레메트리 확인과 관련 플랫폼 검증을 완료하고 미해결 P0·P1 결함이 없다.</x:v>
      </x:c>
      <x:c r="I10" s="36" t="str">
        <x:v>알파</x:v>
      </x:c>
      <x:c r="J10" s="36" t="str">
        <x:v>P1</x:v>
      </x:c>
      <x:c r="K10" s="36" t="str">
        <x:v>필수</x:v>
      </x:c>
      <x:c r="L10" s="36" t="str">
        <x:v>음성 UX</x:v>
      </x:c>
      <x:c r="M10" s="36" t="str">
        <x:v>알파</x:v>
      </x:c>
      <x:c r="N10" s="36" t="str">
        <x:v>오디오·온라인 엔지니어링</x:v>
      </x:c>
      <x:c r="O10" s="36" t="str">
        <x:v>미정</x:v>
      </x:c>
      <x:c r="P10" s="36" t="str">
        <x:v>미정</x:v>
      </x:c>
      <x:c r="Q10" s="36" t="str">
        <x:v>전체</x:v>
      </x:c>
      <x:c r="R10" s="36" t="str">
        <x:v>클라이언트 로컬</x:v>
      </x:c>
      <x:c r="S10" s="36" t="str">
        <x:v>없음</x:v>
      </x:c>
      <x:c r="T10" s="36" t="str">
        <x:v>M</x:v>
      </x:c>
      <x:c r="U10" s="36" t="str">
        <x:v>미착수</x:v>
      </x:c>
      <x:c r="V10" s="46" t="n">
        <x:f>IF(U10="완료",1,IF(U10="QA 진행 중",0.8,IF(U10="코드 리뷰",0.65,IF(U10="구현 중",0.4,IF(U10="사양 확인 중",0.1,IF(U10="차단",0.4,0))))))</x:f>
        <x:v>0</x:v>
      </x:c>
      <x:c r="W10" s="36" t="str">
        <x:v>미정</x:v>
      </x:c>
      <x:c r="X10" s="44"/>
      <x:c r="Y10" s="36" t="str">
        <x:v>AUD-002,UIX-001</x:v>
      </x:c>
      <x:c r="Z10" s="36" t="str">
        <x:v>중간</x:v>
      </x:c>
      <x:c r="AA10" s="36" t="str">
        <x:v>접근성</x:v>
      </x:c>
      <x:c r="AB10" s="36" t="str">
        <x:v>TC-AUD-009-01</x:v>
      </x:c>
      <x:c r="AC10" s="36"/>
      <x:c r="AD10" s="36" t="str">
        <x:v>게임 기획서</x:v>
      </x:c>
      <x:c r="AE10" s="36"/>
      <x:c r="AF10" s="44" t="str">
        <x:v>2026-07-10</x:v>
      </x:c>
      <x:c r="AG10" s="36"/>
      <x:c r="AH10" s="54"/>
      <x:c r="AI10" s="54"/>
      <x:c r="AJ10" s="53" t="str">
        <x:v>착수 전</x:v>
      </x:c>
    </x:row>
    <x:row r="11" ht="42" customHeight="1">
      <x:c r="A11" s="36" t="str">
        <x:v>AUD-010</x:v>
      </x:c>
      <x:c r="B11" s="36" t="str">
        <x:v>오디오·보이스 채팅</x:v>
      </x:c>
      <x:c r="C11" s="36" t="str">
        <x:v>음성 채팅</x:v>
      </x:c>
      <x:c r="D11" s="36" t="str">
        <x:v>PTT·VAD</x:v>
      </x:c>
      <x:c r="E11" s="36" t="str">
        <x:v>PTT·오픈 마이크·VAD</x:v>
      </x:c>
      <x:c r="F11" s="36" t="str">
        <x:v>게임 규칙, 운영 요구사항과 대상 플랫폼 제약을 충족하도록 PTT·오픈 마이크·VAD 기능을 구현하고 검증한다.</x:v>
      </x:c>
      <x:c r="G11" s="36" t="str">
        <x:v>입력 방식 전환, 감도, 노이즈 게이트, 키·버튼 충돌을 처리하고 밤 또는 발언권이 없을 때는 로컬 UI에서도 송신 불가 상태를 표시한다.</x:v>
      </x:c>
      <x:c r="H11" s="36" t="str">
        <x:v>구현, 코드 리뷰, 사양 갱신, 대상 QA 케이스 실행, 로그·텔레메트리 확인과 관련 플랫폼 검증을 완료하고 미해결 P0·P1 결함이 없다.</x:v>
      </x:c>
      <x:c r="I11" s="36" t="str">
        <x:v>알파</x:v>
      </x:c>
      <x:c r="J11" s="36" t="str">
        <x:v>P1</x:v>
      </x:c>
      <x:c r="K11" s="36" t="str">
        <x:v>필수</x:v>
      </x:c>
      <x:c r="L11" s="36" t="str">
        <x:v>음성</x:v>
      </x:c>
      <x:c r="M11" s="36" t="str">
        <x:v>알파</x:v>
      </x:c>
      <x:c r="N11" s="36" t="str">
        <x:v>오디오·온라인 엔지니어링</x:v>
      </x:c>
      <x:c r="O11" s="36" t="str">
        <x:v>미정</x:v>
      </x:c>
      <x:c r="P11" s="36" t="str">
        <x:v>미정</x:v>
      </x:c>
      <x:c r="Q11" s="36" t="str">
        <x:v>전체</x:v>
      </x:c>
      <x:c r="R11" s="36" t="str">
        <x:v>클라이언트 로컬</x:v>
      </x:c>
      <x:c r="S11" s="36" t="str">
        <x:v>단말 로컬</x:v>
      </x:c>
      <x:c r="T11" s="36" t="str">
        <x:v>L</x:v>
      </x:c>
      <x:c r="U11" s="36" t="str">
        <x:v>미착수</x:v>
      </x:c>
      <x:c r="V11" s="46" t="n">
        <x:f>IF(U11="완료",1,IF(U11="QA 진행 중",0.8,IF(U11="코드 리뷰",0.65,IF(U11="구현 중",0.4,IF(U11="사양 확인 중",0.1,IF(U11="차단",0.4,0))))))</x:f>
        <x:v>0</x:v>
      </x:c>
      <x:c r="W11" s="36" t="str">
        <x:v>미정</x:v>
      </x:c>
      <x:c r="X11" s="44"/>
      <x:c r="Y11" s="36" t="str">
        <x:v>AUD-002,SET-006,SET-008</x:v>
      </x:c>
      <x:c r="Z11" s="36" t="str">
        <x:v>중간</x:v>
      </x:c>
      <x:c r="AA11" s="36" t="str">
        <x:v>호환성</x:v>
      </x:c>
      <x:c r="AB11" s="36" t="str">
        <x:v>TC-AUD-010-01</x:v>
      </x:c>
      <x:c r="AC11" s="36"/>
      <x:c r="AD11" s="36" t="str">
        <x:v>게임 기획서</x:v>
      </x:c>
      <x:c r="AE11" s="36"/>
      <x:c r="AF11" s="44" t="str">
        <x:v>2026-07-10</x:v>
      </x:c>
      <x:c r="AG11" s="36"/>
      <x:c r="AH11" s="54"/>
      <x:c r="AI11" s="54"/>
      <x:c r="AJ11" s="53" t="str">
        <x:v>착수 전</x:v>
      </x:c>
    </x:row>
    <x:row r="12" ht="42" customHeight="1">
      <x:c r="A12" s="36" t="str">
        <x:v>AUD-011</x:v>
      </x:c>
      <x:c r="B12" s="36" t="str">
        <x:v>오디오·보이스 채팅</x:v>
      </x:c>
      <x:c r="C12" s="36" t="str">
        <x:v>안전</x:v>
      </x:c>
      <x:c r="D12" s="36" t="str">
        <x:v>음소거·신고</x:v>
      </x:c>
      <x:c r="E12" s="36" t="str">
        <x:v>개별 음소거·신고 경로</x:v>
      </x:c>
      <x:c r="F12" s="36" t="str">
        <x:v>게임 규칙, 운영 요구사항과 대상 플랫폼 제약을 충족하도록 개별 음소거·신고 경로 기능을 구현하고 검증한다.</x:v>
      </x:c>
      <x:c r="G12" s="36" t="str">
        <x:v>로비, 매치, 결과 화면에서 대상을 음소거·신고할 수 있고 음소거는 즉시 적용·기기 저장하며 신고에는 매치 ID와 대상 ID를 포함한다.</x:v>
      </x:c>
      <x:c r="H12" s="36" t="str">
        <x:v>구현, 코드 리뷰, 사양 갱신, 대상 QA 케이스 실행, 로그·텔레메트리 확인과 관련 플랫폼 검증을 완료하고 미해결 P0·P1 결함이 없다.</x:v>
      </x:c>
      <x:c r="I12" s="36" t="str">
        <x:v>베타</x:v>
      </x:c>
      <x:c r="J12" s="36" t="str">
        <x:v>P0</x:v>
      </x:c>
      <x:c r="K12" s="36" t="str">
        <x:v>필수</x:v>
      </x:c>
      <x:c r="L12" s="36" t="str">
        <x:v>안전</x:v>
      </x:c>
      <x:c r="M12" s="36" t="str">
        <x:v>베타</x:v>
      </x:c>
      <x:c r="N12" s="36" t="str">
        <x:v>오디오·온라인 엔지니어링</x:v>
      </x:c>
      <x:c r="O12" s="36" t="str">
        <x:v>미정</x:v>
      </x:c>
      <x:c r="P12" s="36" t="str">
        <x:v>미정</x:v>
      </x:c>
      <x:c r="Q12" s="36" t="str">
        <x:v>전체</x:v>
      </x:c>
      <x:c r="R12" s="36" t="str">
        <x:v>클라이언트 로컬</x:v>
      </x:c>
      <x:c r="S12" s="36" t="str">
        <x:v>계정</x:v>
      </x:c>
      <x:c r="T12" s="36" t="str">
        <x:v>L</x:v>
      </x:c>
      <x:c r="U12" s="36" t="str">
        <x:v>미착수</x:v>
      </x:c>
      <x:c r="V12" s="46" t="n">
        <x:f>IF(U12="완료",1,IF(U12="QA 진행 중",0.8,IF(U12="코드 리뷰",0.65,IF(U12="구현 중",0.4,IF(U12="사양 확인 중",0.1,IF(U12="차단",0.4,0))))))</x:f>
        <x:v>0</x:v>
      </x:c>
      <x:c r="W12" s="36" t="str">
        <x:v>미정</x:v>
      </x:c>
      <x:c r="X12" s="44"/>
      <x:c r="Y12" s="36" t="str">
        <x:v>AUD-002,BED-009</x:v>
      </x:c>
      <x:c r="Z12" s="36" t="str">
        <x:v>중간</x:v>
      </x:c>
      <x:c r="AA12" s="36" t="str">
        <x:v>운영</x:v>
      </x:c>
      <x:c r="AB12" s="36" t="str">
        <x:v>TC-AUD-011-01, TC-AUD-011-02</x:v>
      </x:c>
      <x:c r="AC12" s="36"/>
      <x:c r="AD12" s="36" t="str">
        <x:v>게임 기획서</x:v>
      </x:c>
      <x:c r="AE12" s="36"/>
      <x:c r="AF12" s="44" t="str">
        <x:v>2026-07-10</x:v>
      </x:c>
      <x:c r="AG12" s="36"/>
      <x:c r="AH12" s="54"/>
      <x:c r="AI12" s="54"/>
      <x:c r="AJ12" s="53" t="str">
        <x:v>착수 전</x:v>
      </x:c>
    </x:row>
    <x:row r="13" ht="42" customHeight="1">
      <x:c r="A13" s="36" t="str">
        <x:v>AUD-012</x:v>
      </x:c>
      <x:c r="B13" s="36" t="str">
        <x:v>오디오·보이스 채팅</x:v>
      </x:c>
      <x:c r="C13" s="36" t="str">
        <x:v>개인정보</x:v>
      </x:c>
      <x:c r="D13" s="36" t="str">
        <x:v>동의·증빙</x:v>
      </x:c>
      <x:c r="E13" s="36" t="str">
        <x:v>음성 동의·녹음·신고 증거 표시</x:v>
      </x:c>
      <x:c r="F13" s="36" t="str">
        <x:v>게임 규칙, 운영 요구사항과 대상 플랫폼 제약을 충족하도록 음성 동의·녹음·신고 증거 표시 기능을 구현하고 검증한다.</x:v>
      </x:c>
      <x:c r="G13" s="36" t="str">
        <x:v>최초 동의, 녹음 정책, 신고 시 처리, 지역 차이를 안내하고 동의하지 않으면 음성 송수신을 시작하지 않는다.</x:v>
      </x:c>
      <x:c r="H13" s="36" t="str">
        <x:v>구현, 코드 리뷰, 사양 갱신, 대상 QA 케이스 실행, 로그·텔레메트리 확인과 관련 플랫폼 검증을 완료하고 미해결 P0·P1 결함이 없다.</x:v>
      </x:c>
      <x:c r="I13" s="36" t="str">
        <x:v>출시</x:v>
      </x:c>
      <x:c r="J13" s="36" t="str">
        <x:v>P0</x:v>
      </x:c>
      <x:c r="K13" s="36" t="str">
        <x:v>필수</x:v>
      </x:c>
      <x:c r="L13" s="36" t="str">
        <x:v>개인정보</x:v>
      </x:c>
      <x:c r="M13" s="36" t="str">
        <x:v>출시</x:v>
      </x:c>
      <x:c r="N13" s="36" t="str">
        <x:v>오디오·온라인 엔지니어링</x:v>
      </x:c>
      <x:c r="O13" s="36" t="str">
        <x:v>미정</x:v>
      </x:c>
      <x:c r="P13" s="36" t="str">
        <x:v>미정</x:v>
      </x:c>
      <x:c r="Q13" s="36" t="str">
        <x:v>전체</x:v>
      </x:c>
      <x:c r="R13" s="36" t="str">
        <x:v>백엔드 권한</x:v>
      </x:c>
      <x:c r="S13" s="36" t="str">
        <x:v>감사 로그</x:v>
      </x:c>
      <x:c r="T13" s="36" t="str">
        <x:v>L</x:v>
      </x:c>
      <x:c r="U13" s="36" t="str">
        <x:v>미착수</x:v>
      </x:c>
      <x:c r="V13" s="46" t="n">
        <x:f>IF(U13="완료",1,IF(U13="QA 진행 중",0.8,IF(U13="코드 리뷰",0.65,IF(U13="구현 중",0.4,IF(U13="사양 확인 중",0.1,IF(U13="차단",0.4,0))))))</x:f>
        <x:v>0</x:v>
      </x:c>
      <x:c r="W13" s="36" t="str">
        <x:v>미정</x:v>
      </x:c>
      <x:c r="X13" s="44"/>
      <x:c r="Y13" s="36" t="str">
        <x:v>AUD-002,BED-011,BED-012</x:v>
      </x:c>
      <x:c r="Z13" s="36" t="str">
        <x:v>중간</x:v>
      </x:c>
      <x:c r="AA13" s="36" t="str">
        <x:v>운영</x:v>
      </x:c>
      <x:c r="AB13" s="36" t="str">
        <x:v>TC-AUD-012-01, TC-AUD-012-02</x:v>
      </x:c>
      <x:c r="AC13" s="36"/>
      <x:c r="AD13" s="36" t="str">
        <x:v>게임 기획서</x:v>
      </x:c>
      <x:c r="AE13" s="36"/>
      <x:c r="AF13" s="44" t="str">
        <x:v>2026-07-10</x:v>
      </x:c>
      <x:c r="AG13" s="36"/>
      <x:c r="AH13" s="54"/>
      <x:c r="AI13" s="54"/>
      <x:c r="AJ13" s="53" t="str">
        <x:v>착수 전</x:v>
      </x:c>
    </x:row>
    <x:row r="14" ht="42" customHeight="1">
      <x:c r="A14" s="36" t="str">
        <x:v>AUD-013</x:v>
      </x:c>
      <x:c r="B14" s="36" t="str">
        <x:v>오디오·보이스 채팅</x:v>
      </x:c>
      <x:c r="C14" s="36" t="str">
        <x:v>음성 채팅</x:v>
      </x:c>
      <x:c r="D14" s="36" t="str">
        <x:v>품질</x:v>
      </x:c>
      <x:c r="E14" s="36" t="str">
        <x:v>패킷 손실·지터·대역폭 음성 적응</x:v>
      </x:c>
      <x:c r="F14" s="36" t="str">
        <x:v>게임 규칙, 운영 요구사항과 대상 플랫폼 제약을 충족하도록 패킷 손실·지터·대역폭 음성 적응 기능을 구현하고 검증한다.</x:v>
      </x:c>
      <x:c r="G14" s="36" t="str">
        <x:v>네트워크 열화 시 음질을 단계적으로 조절하고 게임 동기화 대역폭을 압박하지 않으며 품질 저하 상태는 본인에게만 적절히 표시한다.</x:v>
      </x:c>
      <x:c r="H14" s="36" t="str">
        <x:v>구현, 코드 리뷰, 사양 갱신, 대상 QA 케이스 실행, 로그·텔레메트리 확인과 관련 플랫폼 검증을 완료하고 미해결 P0·P1 결함이 없다.</x:v>
      </x:c>
      <x:c r="I14" s="36" t="str">
        <x:v>알파</x:v>
      </x:c>
      <x:c r="J14" s="36" t="str">
        <x:v>P0</x:v>
      </x:c>
      <x:c r="K14" s="36" t="str">
        <x:v>필수</x:v>
      </x:c>
      <x:c r="L14" s="36" t="str">
        <x:v>성능</x:v>
      </x:c>
      <x:c r="M14" s="36" t="str">
        <x:v>알파</x:v>
      </x:c>
      <x:c r="N14" s="36" t="str">
        <x:v>오디오·온라인 엔지니어링</x:v>
      </x:c>
      <x:c r="O14" s="36" t="str">
        <x:v>미정</x:v>
      </x:c>
      <x:c r="P14" s="36" t="str">
        <x:v>미정</x:v>
      </x:c>
      <x:c r="Q14" s="36" t="str">
        <x:v>전체</x:v>
      </x:c>
      <x:c r="R14" s="36" t="str">
        <x:v>클라이언트 로컬</x:v>
      </x:c>
      <x:c r="S14" s="36" t="str">
        <x:v>없음</x:v>
      </x:c>
      <x:c r="T14" s="36" t="str">
        <x:v>L</x:v>
      </x:c>
      <x:c r="U14" s="36" t="str">
        <x:v>미착수</x:v>
      </x:c>
      <x:c r="V14" s="46" t="n">
        <x:f>IF(U14="완료",1,IF(U14="QA 진행 중",0.8,IF(U14="코드 리뷰",0.65,IF(U14="구현 중",0.4,IF(U14="사양 확인 중",0.1,IF(U14="차단",0.4,0))))))</x:f>
        <x:v>0</x:v>
      </x:c>
      <x:c r="W14" s="36" t="str">
        <x:v>미정</x:v>
      </x:c>
      <x:c r="X14" s="44"/>
      <x:c r="Y14" s="36" t="str">
        <x:v>NET-022,NET-023</x:v>
      </x:c>
      <x:c r="Z14" s="36" t="str">
        <x:v>중간</x:v>
      </x:c>
      <x:c r="AA14" s="36" t="str">
        <x:v>네트워크</x:v>
      </x:c>
      <x:c r="AB14" s="36" t="str">
        <x:v>TC-AUD-013-01, TC-AUD-013-02</x:v>
      </x:c>
      <x:c r="AC14" s="36"/>
      <x:c r="AD14" s="36" t="str">
        <x:v>게임 기획서</x:v>
      </x:c>
      <x:c r="AE14" s="36"/>
      <x:c r="AF14" s="44" t="str">
        <x:v>2026-07-10</x:v>
      </x:c>
      <x:c r="AG14" s="36"/>
      <x:c r="AH14" s="54"/>
      <x:c r="AI14" s="54"/>
      <x:c r="AJ14" s="53" t="str">
        <x:v>착수 전</x:v>
      </x:c>
    </x:row>
    <x:row r="15" ht="42" customHeight="1">
      <x:c r="A15" s="36" t="str">
        <x:v>AUD-014</x:v>
      </x:c>
      <x:c r="B15" s="36" t="str">
        <x:v>오디오·보이스 채팅</x:v>
      </x:c>
      <x:c r="C15" s="36" t="str">
        <x:v>접근성</x:v>
      </x:c>
      <x:c r="D15" s="36" t="str">
        <x:v>저자극</x:v>
      </x:c>
      <x:c r="E15" s="36" t="str">
        <x:v>저자극 오디오·중요 알림 대체</x:v>
      </x:c>
      <x:c r="F15" s="36" t="str">
        <x:v>게임 규칙, 운영 요구사항과 대상 플랫폼 제약을 충족하도록 저자극 오디오·중요 알림 대체 기능을 구현하고 검증한다.</x:v>
      </x:c>
      <x:c r="G15" s="36" t="str">
        <x:v>갑작스러운 큰 소리, 과도한 저음, 반복 경고를 줄이는 설정을 제공하고 중요한 페이즈 알림은 시각 정보와 자막으로도 전달한다.</x:v>
      </x:c>
      <x:c r="H15" s="36" t="str">
        <x:v>구현, 코드 리뷰, 사양 갱신, 대상 QA 케이스 실행, 로그·텔레메트리 확인과 관련 플랫폼 검증을 완료하고 미해결 P0·P1 결함이 없다.</x:v>
      </x:c>
      <x:c r="I15" s="36" t="str">
        <x:v>베타</x:v>
      </x:c>
      <x:c r="J15" s="36" t="str">
        <x:v>P1</x:v>
      </x:c>
      <x:c r="K15" s="36" t="str">
        <x:v>필수</x:v>
      </x:c>
      <x:c r="L15" s="36" t="str">
        <x:v>접근성</x:v>
      </x:c>
      <x:c r="M15" s="36" t="str">
        <x:v>베타</x:v>
      </x:c>
      <x:c r="N15" s="36" t="str">
        <x:v>오디오·온라인 엔지니어링</x:v>
      </x:c>
      <x:c r="O15" s="36" t="str">
        <x:v>미정</x:v>
      </x:c>
      <x:c r="P15" s="36" t="str">
        <x:v>미정</x:v>
      </x:c>
      <x:c r="Q15" s="36" t="str">
        <x:v>전체</x:v>
      </x:c>
      <x:c r="R15" s="36" t="str">
        <x:v>클라이언트 로컬</x:v>
      </x:c>
      <x:c r="S15" s="36" t="str">
        <x:v>단말 로컬</x:v>
      </x:c>
      <x:c r="T15" s="36" t="str">
        <x:v>M</x:v>
      </x:c>
      <x:c r="U15" s="36" t="str">
        <x:v>미착수</x:v>
      </x:c>
      <x:c r="V15" s="46" t="n">
        <x:f>IF(U15="완료",1,IF(U15="QA 진행 중",0.8,IF(U15="코드 리뷰",0.65,IF(U15="구현 중",0.4,IF(U15="사양 확인 중",0.1,IF(U15="차단",0.4,0))))))</x:f>
        <x:v>0</x:v>
      </x:c>
      <x:c r="W15" s="36" t="str">
        <x:v>미정</x:v>
      </x:c>
      <x:c r="X15" s="44"/>
      <x:c r="Y15" s="36" t="str">
        <x:v>AUD-001,SET-025</x:v>
      </x:c>
      <x:c r="Z15" s="36" t="str">
        <x:v>중간</x:v>
      </x:c>
      <x:c r="AA15" s="36" t="str">
        <x:v>접근성</x:v>
      </x:c>
      <x:c r="AB15" s="36" t="str">
        <x:v>TC-AUD-014-01</x:v>
      </x:c>
      <x:c r="AC15" s="36"/>
      <x:c r="AD15" s="36" t="str">
        <x:v>게임 기획서</x:v>
      </x:c>
      <x:c r="AE15" s="36"/>
      <x:c r="AF15" s="44" t="str">
        <x:v>2026-07-10</x:v>
      </x:c>
      <x:c r="AG15" s="36"/>
      <x:c r="AH15" s="54"/>
      <x:c r="AI15" s="54"/>
      <x:c r="AJ15" s="53" t="str">
        <x:v>착수 전</x:v>
      </x:c>
    </x:row>
    <x:row r="16" ht="42" customHeight="1">
      <x:c r="A16" s="36" t="str">
        <x:v>AUD-015</x:v>
      </x:c>
      <x:c r="B16" s="36" t="str">
        <x:v>오디오·보이스 채팅</x:v>
      </x:c>
      <x:c r="C16" s="36" t="str">
        <x:v>접근성</x:v>
      </x:c>
      <x:c r="D16" s="36" t="str">
        <x:v>효과음 자막</x:v>
      </x:c>
      <x:c r="E16" s="36" t="str">
        <x:v>시스템 소리·방향·중요도 자막</x:v>
      </x:c>
      <x:c r="F16" s="36" t="str">
        <x:v>게임 규칙, 운영 요구사항과 대상 플랫폼 제약을 충족하도록 시스템 소리·방향·중요도 자막 기능을 구현하고 검증한다.</x:v>
      </x:c>
      <x:c r="G16" s="36" t="str">
        <x:v>메모 부착, 투표 시작, 페이즈 변경, 미니게임 성공 등을 짧은 자막과 방향 정보로 표시하고 대화 자동 자막 기능과 분리한다.</x:v>
      </x:c>
      <x:c r="H16" s="36" t="str">
        <x:v>구현, 코드 리뷰, 사양 갱신, 대상 QA 케이스 실행, 로그·텔레메트리 확인과 관련 플랫폼 검증을 완료하고 미해결 P0·P1 결함이 없다.</x:v>
      </x:c>
      <x:c r="I16" s="36" t="str">
        <x:v>베타</x:v>
      </x:c>
      <x:c r="J16" s="36" t="str">
        <x:v>P0</x:v>
      </x:c>
      <x:c r="K16" s="36" t="str">
        <x:v>필수</x:v>
      </x:c>
      <x:c r="L16" s="36" t="str">
        <x:v>접근성</x:v>
      </x:c>
      <x:c r="M16" s="36" t="str">
        <x:v>베타</x:v>
      </x:c>
      <x:c r="N16" s="36" t="str">
        <x:v>오디오·온라인 엔지니어링</x:v>
      </x:c>
      <x:c r="O16" s="36" t="str">
        <x:v>미정</x:v>
      </x:c>
      <x:c r="P16" s="36" t="str">
        <x:v>미정</x:v>
      </x:c>
      <x:c r="Q16" s="36" t="str">
        <x:v>전체</x:v>
      </x:c>
      <x:c r="R16" s="36" t="str">
        <x:v>클라이언트 로컬</x:v>
      </x:c>
      <x:c r="S16" s="36" t="str">
        <x:v>단말 로컬</x:v>
      </x:c>
      <x:c r="T16" s="36" t="str">
        <x:v>L</x:v>
      </x:c>
      <x:c r="U16" s="36" t="str">
        <x:v>미착수</x:v>
      </x:c>
      <x:c r="V16" s="46" t="n">
        <x:f>IF(U16="완료",1,IF(U16="QA 진행 중",0.8,IF(U16="코드 리뷰",0.65,IF(U16="구현 중",0.4,IF(U16="사양 확인 중",0.1,IF(U16="차단",0.4,0))))))</x:f>
        <x:v>0</x:v>
      </x:c>
      <x:c r="W16" s="36" t="str">
        <x:v>미정</x:v>
      </x:c>
      <x:c r="X16" s="44"/>
      <x:c r="Y16" s="36" t="str">
        <x:v>AUD-016,SET-023</x:v>
      </x:c>
      <x:c r="Z16" s="36" t="str">
        <x:v>중간</x:v>
      </x:c>
      <x:c r="AA16" s="36" t="str">
        <x:v>접근성</x:v>
      </x:c>
      <x:c r="AB16" s="36" t="str">
        <x:v>TC-AUD-015-01, TC-AUD-015-02</x:v>
      </x:c>
      <x:c r="AC16" s="36"/>
      <x:c r="AD16" s="36" t="str">
        <x:v>게임 기획서</x:v>
      </x:c>
      <x:c r="AE16" s="36"/>
      <x:c r="AF16" s="44" t="str">
        <x:v>2026-07-10</x:v>
      </x:c>
      <x:c r="AG16" s="36"/>
      <x:c r="AH16" s="54"/>
      <x:c r="AI16" s="54"/>
      <x:c r="AJ16" s="53" t="str">
        <x:v>착수 전</x:v>
      </x:c>
    </x:row>
    <x:row r="17" ht="42" customHeight="1">
      <x:c r="A17" s="36" t="str">
        <x:v>AUD-016</x:v>
      </x:c>
      <x:c r="B17" s="36" t="str">
        <x:v>오디오·보이스 채팅</x:v>
      </x:c>
      <x:c r="C17" s="36" t="str">
        <x:v>오디오 콘텐츠</x:v>
      </x:c>
      <x:c r="D17" s="36" t="str">
        <x:v>이벤트 카탈로그</x:v>
      </x:c>
      <x:c r="E17" s="36" t="str">
        <x:v>오디오 이벤트 ID·우선순위·자막 키 대장</x:v>
      </x:c>
      <x:c r="F17" s="36" t="str">
        <x:v>게임 규칙, 운영 요구사항과 대상 플랫폼 제약을 충족하도록 오디오 이벤트 ID·우선순위·자막 키 대장 기능을 구현하고 검증한다.</x:v>
      </x:c>
      <x:c r="G17" s="36" t="str">
        <x:v>모든 효과음, BGM, UI 이벤트에 고유 ID, 발생 조건, 버스, 우선순위, 최대 동시 재생 수, 자막 키, 반복 여부, 담당자를 정의한다.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제작 기반</x:v>
      </x:c>
      <x:c r="M17" s="36" t="str">
        <x:v>MVP</x:v>
      </x:c>
      <x:c r="N17" s="36" t="str">
        <x:v>오디오·온라인 엔지니어링</x:v>
      </x:c>
      <x:c r="O17" s="36" t="str">
        <x:v>미정</x:v>
      </x:c>
      <x:c r="P17" s="36" t="str">
        <x:v>미정</x:v>
      </x:c>
      <x:c r="Q17" s="36" t="str">
        <x:v>도구</x:v>
      </x:c>
      <x:c r="R17" s="36" t="str">
        <x:v>콘텐츠 데이터</x:v>
      </x:c>
      <x:c r="S17" s="36" t="str">
        <x:v>없음</x:v>
      </x:c>
      <x:c r="T17" s="36" t="str">
        <x:v>M</x:v>
      </x:c>
      <x:c r="U17" s="36" t="str">
        <x:v>미착수</x:v>
      </x:c>
      <x:c r="V17" s="46" t="n">
        <x:f>IF(U17="완료",1,IF(U17="QA 진행 중",0.8,IF(U17="코드 리뷰",0.65,IF(U17="구현 중",0.4,IF(U17="사양 확인 중",0.1,IF(U17="차단",0.4,0))))))</x:f>
        <x:v>0</x:v>
      </x:c>
      <x:c r="W17" s="36" t="str">
        <x:v>미정</x:v>
      </x:c>
      <x:c r="X17" s="44"/>
      <x:c r="Y17" s="36" t="str">
        <x:v>AUD-001</x:v>
      </x:c>
      <x:c r="Z17" s="36" t="str">
        <x:v>중간</x:v>
      </x:c>
      <x:c r="AA17" s="36" t="str">
        <x:v>운영</x:v>
      </x:c>
      <x:c r="AB17" s="36" t="str">
        <x:v>TC-AUD-016-01, TC-AUD-016-02</x:v>
      </x:c>
      <x:c r="AC17" s="36"/>
      <x:c r="AD17" s="36" t="str">
        <x:v>게임 기획서</x:v>
      </x:c>
      <x:c r="AE17" s="36"/>
      <x:c r="AF17" s="44" t="str">
        <x:v>2026-07-10</x:v>
      </x:c>
      <x:c r="AG17" s="36"/>
      <x:c r="AH17" s="54"/>
      <x:c r="AI17" s="54"/>
      <x:c r="AJ17" s="53" t="str">
        <x:v>착수 전</x:v>
      </x:c>
    </x:row>
    <x:row r="18" ht="42" customHeight="1">
      <x:c r="A18" s="36" t="str">
        <x:v>AUD-017</x:v>
      </x:c>
      <x:c r="B18" s="36" t="str">
        <x:v>오디오·보이스 채팅</x:v>
      </x:c>
      <x:c r="C18" s="36" t="str">
        <x:v>오디오 콘텐츠</x:v>
      </x:c>
      <x:c r="D18" s="36" t="str">
        <x:v>메모 신호</x:v>
      </x:c>
      <x:c r="E18" s="36" t="str">
        <x:v>메모 작성·부착·실패 효과음</x:v>
      </x:c>
      <x:c r="F18" s="36" t="str">
        <x:v>게임 규칙, 운영 요구사항과 대상 플랫폼 제약을 충족하도록 메모 작성·부착·실패 효과음 기능을 구현하고 검증한다.</x:v>
      </x:c>
      <x:c r="G18" s="36" t="str">
        <x:v>주변 플레이어가 부착 행동을 인지할 수 있지만 원거리에서 색상, 내용, 성공 여부를 확정할 정도의 과도한 소리를 사용하지 않는다. 본인 보유 수 갱신은 별도 UI음으로 구분한다.</x:v>
      </x:c>
      <x:c r="H18" s="36" t="str">
        <x:v>구현, 코드 리뷰, 사양 갱신, 대상 QA 케이스 실행, 로그·텔레메트리 확인과 관련 플랫폼 검증을 완료하고 미해결 P0·P1 결함이 없다.</x:v>
      </x:c>
      <x:c r="I18" s="36" t="str">
        <x:v>MVP</x:v>
      </x:c>
      <x:c r="J18" s="36" t="str">
        <x:v>P1</x:v>
      </x:c>
      <x:c r="K18" s="36" t="str">
        <x:v>필수</x:v>
      </x:c>
      <x:c r="L18" s="36" t="str">
        <x:v>밸런스</x:v>
      </x:c>
      <x:c r="M18" s="36" t="str">
        <x:v>MVP</x:v>
      </x:c>
      <x:c r="N18" s="36" t="str">
        <x:v>오디오·온라인 엔지니어링</x:v>
      </x:c>
      <x:c r="O18" s="36" t="str">
        <x:v>미정</x:v>
      </x:c>
      <x:c r="P18" s="36" t="str">
        <x:v>미정</x:v>
      </x:c>
      <x:c r="Q18" s="36" t="str">
        <x:v>전체</x:v>
      </x:c>
      <x:c r="R18" s="36" t="str">
        <x:v>클라이언트 로컬</x:v>
      </x:c>
      <x:c r="S18" s="36" t="str">
        <x:v>없음</x:v>
      </x:c>
      <x:c r="T18" s="36" t="str">
        <x:v>M</x:v>
      </x:c>
      <x:c r="U18" s="36" t="str">
        <x:v>미착수</x:v>
      </x:c>
      <x:c r="V18" s="46" t="n">
        <x:f>IF(U18="완료",1,IF(U18="QA 진행 중",0.8,IF(U18="코드 리뷰",0.65,IF(U18="구현 중",0.4,IF(U18="사양 확인 중",0.1,IF(U18="차단",0.4,0))))))</x:f>
        <x:v>0</x:v>
      </x:c>
      <x:c r="W18" s="36" t="str">
        <x:v>미정</x:v>
      </x:c>
      <x:c r="X18" s="44"/>
      <x:c r="Y18" s="36" t="str">
        <x:v>AUD-016,IGM-017,IGM-018</x:v>
      </x:c>
      <x:c r="Z18" s="36" t="str">
        <x:v>중간</x:v>
      </x:c>
      <x:c r="AA18" s="36" t="str">
        <x:v>밸런스</x:v>
      </x:c>
      <x:c r="AB18" s="36" t="str">
        <x:v>TC-AUD-017-01</x:v>
      </x:c>
      <x:c r="AC18" s="36"/>
      <x:c r="AD18" s="36" t="str">
        <x:v>게임 기획서</x:v>
      </x:c>
      <x:c r="AE18" s="36"/>
      <x:c r="AF18" s="44" t="str">
        <x:v>2026-07-10</x:v>
      </x:c>
      <x:c r="AG18" s="36"/>
      <x:c r="AH18" s="54"/>
      <x:c r="AI18" s="54"/>
      <x:c r="AJ18" s="53" t="str">
        <x:v>착수 전</x:v>
      </x:c>
    </x:row>
    <x:row r="19" ht="42" customHeight="1">
      <x:c r="A19" s="36" t="str">
        <x:v>AUD-018</x:v>
      </x:c>
      <x:c r="B19" s="36" t="str">
        <x:v>오디오·보이스 채팅</x:v>
      </x:c>
      <x:c r="C19" s="36" t="str">
        <x:v>오디오 콘텐츠</x:v>
      </x:c>
      <x:c r="D19" s="36" t="str">
        <x:v>미니게임 신호</x:v>
      </x:c>
      <x:c r="E19" s="36" t="str">
        <x:v>미니게임 공통·개별 효과음</x:v>
      </x:c>
      <x:c r="F19" s="36" t="str">
        <x:v>게임 규칙, 운영 요구사항과 대상 플랫폼 제약을 충족하도록 미니게임 공통·개별 효과음 기능을 구현하고 검증한다.</x:v>
      </x:c>
      <x:c r="G19" s="36" t="str">
        <x:v>시작, 입력, 정답, 오답, 성공, 실패에 즉각적인 피드백을 제공하되 음성 대화를 과도하게 가리지 않는 음량과 주파수 대역을 사용한다.</x:v>
      </x:c>
      <x:c r="H19" s="36" t="str">
        <x:v>구현, 코드 리뷰, 사양 갱신, 대상 QA 케이스 실행, 로그·텔레메트리 확인과 관련 플랫폼 검증을 완료하고 미해결 P0·P1 결함이 없다.</x:v>
      </x:c>
      <x:c r="I19" s="36" t="str">
        <x:v>MVP</x:v>
      </x:c>
      <x:c r="J19" s="36" t="str">
        <x:v>P1</x:v>
      </x:c>
      <x:c r="K19" s="36" t="str">
        <x:v>필수</x:v>
      </x:c>
      <x:c r="L19" s="36" t="str">
        <x:v>콘텐츠</x:v>
      </x:c>
      <x:c r="M19" s="36" t="str">
        <x:v>MVP</x:v>
      </x:c>
      <x:c r="N19" s="36" t="str">
        <x:v>오디오·온라인 엔지니어링</x:v>
      </x:c>
      <x:c r="O19" s="36" t="str">
        <x:v>미정</x:v>
      </x:c>
      <x:c r="P19" s="36" t="str">
        <x:v>미정</x:v>
      </x:c>
      <x:c r="Q19" s="36" t="str">
        <x:v>전체</x:v>
      </x:c>
      <x:c r="R19" s="36" t="str">
        <x:v>클라이언트 로컬</x:v>
      </x:c>
      <x:c r="S19" s="36" t="str">
        <x:v>없음</x:v>
      </x:c>
      <x:c r="T19" s="36" t="str">
        <x:v>L</x:v>
      </x:c>
      <x:c r="U19" s="36" t="str">
        <x:v>미착수</x:v>
      </x:c>
      <x:c r="V19" s="46" t="n">
        <x:f>IF(U19="완료",1,IF(U19="QA 진행 중",0.8,IF(U19="코드 리뷰",0.65,IF(U19="구현 중",0.4,IF(U19="사양 확인 중",0.1,IF(U19="차단",0.4,0))))))</x:f>
        <x:v>0</x:v>
      </x:c>
      <x:c r="W19" s="36" t="str">
        <x:v>미정</x:v>
      </x:c>
      <x:c r="X19" s="44"/>
      <x:c r="Y19" s="36" t="str">
        <x:v>AUD-016,CNT-020</x:v>
      </x:c>
      <x:c r="Z19" s="36" t="str">
        <x:v>중간</x:v>
      </x:c>
      <x:c r="AA19" s="36" t="str">
        <x:v>사용성</x:v>
      </x:c>
      <x:c r="AB19" s="36" t="str">
        <x:v>TC-AUD-018-01</x:v>
      </x:c>
      <x:c r="AC19" s="36"/>
      <x:c r="AD19" s="36" t="str">
        <x:v>게임 기획서</x:v>
      </x:c>
      <x:c r="AE19" s="36"/>
      <x:c r="AF19" s="44" t="str">
        <x:v>2026-07-10</x:v>
      </x:c>
      <x:c r="AG19" s="36"/>
      <x:c r="AH19" s="54"/>
      <x:c r="AI19" s="54"/>
      <x:c r="AJ19" s="53" t="str">
        <x:v>착수 전</x:v>
      </x:c>
    </x:row>
    <x:row r="20" ht="42" customHeight="1">
      <x:c r="A20" s="36" t="str">
        <x:v>AUD-019</x:v>
      </x:c>
      <x:c r="B20" s="36" t="str">
        <x:v>오디오·보이스 채팅</x:v>
      </x:c>
      <x:c r="C20" s="36" t="str">
        <x:v>오디오 콘텐츠</x:v>
      </x:c>
      <x:c r="D20" s="36" t="str">
        <x:v>페이즈·음악</x:v>
      </x:c>
      <x:c r="E20" s="36" t="str">
        <x:v>낮·밤·최종 재판·결과 음악 전환</x:v>
      </x:c>
      <x:c r="F20" s="36" t="str">
        <x:v>게임 규칙, 운영 요구사항과 대상 플랫폼 제약을 충족하도록 낮·밤·최종 재판·결과 음악 전환 기능을 구현하고 검증한다.</x:v>
      </x:c>
      <x:c r="G20" s="36" t="str">
        <x:v>페이즈 변경을 인지할 수 있지만 밤 시작 전에 역할이나 승패를 암시하지 않으며 반복, 교차 페이드, 재접속 복귀 위치를 정의한다.</x:v>
      </x:c>
      <x:c r="H20" s="36" t="str">
        <x:v>구현, 코드 리뷰, 사양 갱신, 대상 QA 케이스 실행, 로그·텔레메트리 확인과 관련 플랫폼 검증을 완료하고 미해결 P0·P1 결함이 없다.</x:v>
      </x:c>
      <x:c r="I20" s="36" t="str">
        <x:v>MVP</x:v>
      </x:c>
      <x:c r="J20" s="36" t="str">
        <x:v>P1</x:v>
      </x:c>
      <x:c r="K20" s="36" t="str">
        <x:v>필수</x:v>
      </x:c>
      <x:c r="L20" s="36" t="str">
        <x:v>연출</x:v>
      </x:c>
      <x:c r="M20" s="36" t="str">
        <x:v>MVP</x:v>
      </x:c>
      <x:c r="N20" s="36" t="str">
        <x:v>오디오·온라인 엔지니어링</x:v>
      </x:c>
      <x:c r="O20" s="36" t="str">
        <x:v>미정</x:v>
      </x:c>
      <x:c r="P20" s="36" t="str">
        <x:v>미정</x:v>
      </x:c>
      <x:c r="Q20" s="36" t="str">
        <x:v>전체</x:v>
      </x:c>
      <x:c r="R20" s="36" t="str">
        <x:v>클라이언트 로컬</x:v>
      </x:c>
      <x:c r="S20" s="36" t="str">
        <x:v>없음</x:v>
      </x:c>
      <x:c r="T20" s="36" t="str">
        <x:v>L</x:v>
      </x:c>
      <x:c r="U20" s="36" t="str">
        <x:v>미착수</x:v>
      </x:c>
      <x:c r="V20" s="46" t="n">
        <x:f>IF(U20="완료",1,IF(U20="QA 진행 중",0.8,IF(U20="코드 리뷰",0.65,IF(U20="구현 중",0.4,IF(U20="사양 확인 중",0.1,IF(U20="차단",0.4,0))))))</x:f>
        <x:v>0</x:v>
      </x:c>
      <x:c r="W20" s="36" t="str">
        <x:v>미정</x:v>
      </x:c>
      <x:c r="X20" s="44"/>
      <x:c r="Y20" s="36" t="str">
        <x:v>AUD-001,IGM-001</x:v>
      </x:c>
      <x:c r="Z20" s="36" t="str">
        <x:v>중간</x:v>
      </x:c>
      <x:c r="AA20" s="36" t="str">
        <x:v>기능</x:v>
      </x:c>
      <x:c r="AB20" s="36" t="str">
        <x:v>TC-AUD-019-01</x:v>
      </x:c>
      <x:c r="AC20" s="36"/>
      <x:c r="AD20" s="36" t="str">
        <x:v>게임 기획서</x:v>
      </x:c>
      <x:c r="AE20" s="36"/>
      <x:c r="AF20" s="44" t="str">
        <x:v>2026-07-10</x:v>
      </x:c>
      <x:c r="AG20" s="36"/>
      <x:c r="AH20" s="54"/>
      <x:c r="AI20" s="54"/>
      <x:c r="AJ20" s="53" t="str">
        <x:v>착수 전</x:v>
      </x:c>
    </x:row>
    <x:row r="21" ht="42" customHeight="1">
      <x:c r="A21" s="36" t="str">
        <x:v>AUD-020</x:v>
      </x:c>
      <x:c r="B21" s="36" t="str">
        <x:v>오디오·보이스 채팅</x:v>
      </x:c>
      <x:c r="C21" s="36" t="str">
        <x:v>확장</x:v>
      </x:c>
      <x:c r="D21" s="36" t="str">
        <x:v>조수 전용 채널</x:v>
      </x:c>
      <x:c r="E21" s="36" t="str">
        <x:v>마피아·조수 비밀 통신 채널</x:v>
      </x:c>
      <x:c r="F21" s="36" t="str">
        <x:v>게임 규칙, 운영 요구사항과 대상 플랫폼 제약을 충족하도록 마피아·조수 비밀 통신 채널 기능을 구현하고 검증한다.</x:v>
      </x:c>
      <x:c r="G21" s="36" t="str">
        <x:v>조수 규칙이 켜졌을 때만 두 대상에게 채널을 열고 마피아 추방 후에도 정책에 따라 유지한다. 다른 플레이어, 관전자, 일반 로그에 내용이 유출되지 않는다.</x:v>
      </x:c>
      <x:c r="H21" s="36" t="str">
        <x:v>구현, 코드 리뷰, 사양 갱신, 대상 QA 케이스 실행, 로그·텔레메트리 확인과 관련 플랫폼 검증을 완료하고 미해결 P0·P1 결함이 없다.</x:v>
      </x:c>
      <x:c r="I21" s="36" t="str">
        <x:v>출시 후</x:v>
      </x:c>
      <x:c r="J21" s="36" t="str">
        <x:v>P3</x:v>
      </x:c>
      <x:c r="K21" s="36" t="str">
        <x:v>조건부</x:v>
      </x:c>
      <x:c r="L21" s="36" t="str">
        <x:v>정보 비공개</x:v>
      </x:c>
      <x:c r="M21" s="36" t="str">
        <x:v>출시 후</x:v>
      </x:c>
      <x:c r="N21" s="36" t="str">
        <x:v>오디오·온라인 엔지니어링</x:v>
      </x:c>
      <x:c r="O21" s="36" t="str">
        <x:v>미정</x:v>
      </x:c>
      <x:c r="P21" s="36" t="str">
        <x:v>미정</x:v>
      </x:c>
      <x:c r="Q21" s="36" t="str">
        <x:v>전체</x:v>
      </x:c>
      <x:c r="R21" s="36" t="str">
        <x:v>서버 권한</x:v>
      </x:c>
      <x:c r="S21" s="36" t="str">
        <x:v>세션</x:v>
      </x:c>
      <x:c r="T21" s="36" t="str">
        <x:v>XL</x:v>
      </x:c>
      <x:c r="U21" s="36" t="str">
        <x:v>미착수</x:v>
      </x:c>
      <x:c r="V21" s="46" t="n">
        <x:f>IF(U21="완료",1,IF(U21="QA 진행 중",0.8,IF(U21="코드 리뷰",0.65,IF(U21="구현 중",0.4,IF(U21="사양 확인 중",0.1,IF(U21="차단",0.4,0))))))</x:f>
        <x:v>0</x:v>
      </x:c>
      <x:c r="W21" s="36" t="str">
        <x:v>미정</x:v>
      </x:c>
      <x:c r="X21" s="44"/>
      <x:c r="Y21" s="36" t="str">
        <x:v>IGM-038,AUD-007,NET-018</x:v>
      </x:c>
      <x:c r="Z21" s="36" t="str">
        <x:v>높음</x:v>
      </x:c>
      <x:c r="AA21" s="36" t="str">
        <x:v>보안</x:v>
      </x:c>
      <x:c r="AB21" s="36" t="str">
        <x:v>TC-AUD-020-01</x:v>
      </x:c>
      <x:c r="AC21" s="36"/>
      <x:c r="AD21" s="36" t="str">
        <x:v>게임 기획서</x:v>
      </x:c>
      <x:c r="AE21" s="36"/>
      <x:c r="AF21" s="44" t="str">
        <x:v>2026-07-10</x:v>
      </x:c>
      <x:c r="AG21" s="36"/>
      <x:c r="AH21" s="54"/>
      <x:c r="AI21" s="54"/>
      <x:c r="AJ21" s="53" t="str">
        <x:v>착수 전</x:v>
      </x:c>
    </x:row>
    <x:row r="22" ht="42" customHeight="1">
      <x:c r="A22" s="36" t="str">
        <x:v>AUD-021</x:v>
      </x:c>
      <x:c r="B22" s="36" t="str">
        <x:v>오디오·보이스 채팅</x:v>
      </x:c>
      <x:c r="C22" s="36" t="str">
        <x:v>현지화</x:v>
      </x:c>
      <x:c r="D22" s="36" t="str">
        <x:v>음성 대사·문구</x:v>
      </x:c>
      <x:c r="E22" s="36" t="str">
        <x:v>음성·자막·UI 문구 현지화</x:v>
      </x:c>
      <x:c r="F22" s="36" t="str">
        <x:v>게임 규칙, 운영 요구사항과 대상 플랫폼 제약을 충족하도록 음성·자막·UI 문구 현지화 기능을 구현하고 검증한다.</x:v>
      </x:c>
      <x:c r="G22" s="36" t="str">
        <x:v>자막 키, 음성 교체, 언어 대체 처리, 문맥 주석, 길이 제한을 관리하고 언어 변경 시 재시작이 필요한 범위를 명확히 한다.</x:v>
      </x:c>
      <x:c r="H22" s="36" t="str">
        <x:v>구현, 코드 리뷰, 사양 갱신, 대상 QA 케이스 실행, 로그·텔레메트리 확인과 관련 플랫폼 검증을 완료하고 미해결 P0·P1 결함이 없다.</x:v>
      </x:c>
      <x:c r="I22" s="36" t="str">
        <x:v>베타</x:v>
      </x:c>
      <x:c r="J22" s="36" t="str">
        <x:v>P1</x:v>
      </x:c>
      <x:c r="K22" s="36" t="str">
        <x:v>필수</x:v>
      </x:c>
      <x:c r="L22" s="36" t="str">
        <x:v>현지화</x:v>
      </x:c>
      <x:c r="M22" s="36" t="str">
        <x:v>베타</x:v>
      </x:c>
      <x:c r="N22" s="36" t="str">
        <x:v>오디오·온라인 엔지니어링</x:v>
      </x:c>
      <x:c r="O22" s="36" t="str">
        <x:v>미정</x:v>
      </x:c>
      <x:c r="P22" s="36" t="str">
        <x:v>미정</x:v>
      </x:c>
      <x:c r="Q22" s="36" t="str">
        <x:v>전체</x:v>
      </x:c>
      <x:c r="R22" s="36" t="str">
        <x:v>콘텐츠 데이터</x:v>
      </x:c>
      <x:c r="S22" s="36" t="str">
        <x:v>없음</x:v>
      </x:c>
      <x:c r="T22" s="36" t="str">
        <x:v>L</x:v>
      </x:c>
      <x:c r="U22" s="36" t="str">
        <x:v>미착수</x:v>
      </x:c>
      <x:c r="V22" s="46" t="n">
        <x:f>IF(U22="완료",1,IF(U22="QA 진행 중",0.8,IF(U22="코드 리뷰",0.65,IF(U22="구현 중",0.4,IF(U22="사양 확인 중",0.1,IF(U22="차단",0.4,0))))))</x:f>
        <x:v>0</x:v>
      </x:c>
      <x:c r="W22" s="36" t="str">
        <x:v>미정</x:v>
      </x:c>
      <x:c r="X22" s="44"/>
      <x:c r="Y22" s="36" t="str">
        <x:v>AUD-016,SET-004</x:v>
      </x:c>
      <x:c r="Z22" s="36" t="str">
        <x:v>중간</x:v>
      </x:c>
      <x:c r="AA22" s="36" t="str">
        <x:v>현지화</x:v>
      </x:c>
      <x:c r="AB22" s="36" t="str">
        <x:v>TC-AUD-021-01</x:v>
      </x:c>
      <x:c r="AC22" s="36"/>
      <x:c r="AD22" s="36" t="str">
        <x:v>게임 기획서</x:v>
      </x:c>
      <x:c r="AE22" s="36"/>
      <x:c r="AF22" s="44" t="str">
        <x:v>2026-07-10</x:v>
      </x:c>
      <x:c r="AG22" s="36"/>
      <x:c r="AH22" s="54"/>
      <x:c r="AI22" s="54"/>
      <x:c r="AJ22" s="53" t="str">
        <x:v>착수 전</x:v>
      </x:c>
    </x:row>
    <x:row r="23" ht="42" customHeight="1">
      <x:c r="A23" s="36" t="str">
        <x:v>AUD-022</x:v>
      </x:c>
      <x:c r="B23" s="36" t="str">
        <x:v>오디오·보이스 채팅</x:v>
      </x:c>
      <x:c r="C23" s="36" t="str">
        <x:v>성능</x:v>
      </x:c>
      <x:c r="D23" s="36" t="str">
        <x:v>음성 부하</x:v>
      </x:c>
      <x:c r="E23" s="36" t="str">
        <x:v>6인 음성·효과음 최대 부하·메모리 예산</x:v>
      </x:c>
      <x:c r="F23" s="36" t="str">
        <x:v>게임 규칙, 운영 요구사항과 대상 플랫폼 제약을 충족하도록 6인 음성·효과음 최대 부하·메모리 예산 기능을 구현하고 검증한다.</x:v>
      </x:c>
      <x:c r="G23" s="36" t="str">
        <x:v>전원 발언, 다중 효과음, 미니게임, 최대 메모 표시 조건에서 CPU, 메모리, 대역폭, 음 끊김이 목표 기준 안에 들어온다.</x:v>
      </x:c>
      <x:c r="H23" s="36" t="str">
        <x:v>구현, 코드 리뷰, 사양 갱신, 대상 QA 케이스 실행, 로그·텔레메트리 확인과 관련 플랫폼 검증을 완료하고 미해결 P0·P1 결함이 없다.</x:v>
      </x:c>
      <x:c r="I23" s="36" t="str">
        <x:v>릴리스 후보</x:v>
      </x:c>
      <x:c r="J23" s="36" t="str">
        <x:v>P0</x:v>
      </x:c>
      <x:c r="K23" s="36" t="str">
        <x:v>필수</x:v>
      </x:c>
      <x:c r="L23" s="36" t="str">
        <x:v>성능</x:v>
      </x:c>
      <x:c r="M23" s="36" t="str">
        <x:v>릴리스 후보</x:v>
      </x:c>
      <x:c r="N23" s="36" t="str">
        <x:v>오디오·온라인 엔지니어링</x:v>
      </x:c>
      <x:c r="O23" s="36" t="str">
        <x:v>미정</x:v>
      </x:c>
      <x:c r="P23" s="36" t="str">
        <x:v>미정</x:v>
      </x:c>
      <x:c r="Q23" s="36" t="str">
        <x:v>전체</x:v>
      </x:c>
      <x:c r="R23" s="36" t="str">
        <x:v>해당 없음</x:v>
      </x:c>
      <x:c r="S23" s="36" t="str">
        <x:v>없음</x:v>
      </x:c>
      <x:c r="T23" s="36" t="str">
        <x:v>L</x:v>
      </x:c>
      <x:c r="U23" s="36" t="str">
        <x:v>미착수</x:v>
      </x:c>
      <x:c r="V23" s="46" t="n">
        <x:f>IF(U23="완료",1,IF(U23="QA 진행 중",0.8,IF(U23="코드 리뷰",0.65,IF(U23="구현 중",0.4,IF(U23="사양 확인 중",0.1,IF(U23="차단",0.4,0))))))</x:f>
        <x:v>0</x:v>
      </x:c>
      <x:c r="W23" s="36" t="str">
        <x:v>미정</x:v>
      </x:c>
      <x:c r="X23" s="44"/>
      <x:c r="Y23" s="36" t="str">
        <x:v>AUD-004,AUD-013,AUD-018,QAR-020</x:v>
      </x:c>
      <x:c r="Z23" s="36" t="str">
        <x:v>중간</x:v>
      </x:c>
      <x:c r="AA23" s="36" t="str">
        <x:v>성능</x:v>
      </x:c>
      <x:c r="AB23" s="36" t="str">
        <x:v>TC-AUD-022-01, TC-AUD-022-02</x:v>
      </x:c>
      <x:c r="AC23" s="36"/>
      <x:c r="AD23" s="36" t="str">
        <x:v>게임 기획서</x:v>
      </x:c>
      <x:c r="AE23" s="36"/>
      <x:c r="AF23" s="44" t="str">
        <x:v>2026-07-10</x:v>
      </x:c>
      <x:c r="AG23" s="36"/>
      <x:c r="AH23" s="54"/>
      <x:c r="AI23" s="54"/>
      <x:c r="AJ23" s="53" t="str">
        <x:v>착수 전</x:v>
      </x:c>
    </x:row>
    <x:row r="24" ht="42" customHeight="1">
      <x:c r="A24" s="36" t="str">
        <x:v>AUD-023</x:v>
      </x:c>
      <x:c r="B24" s="36" t="str">
        <x:v>오디오·보이스 채팅</x:v>
      </x:c>
      <x:c r="C24" s="36" t="str">
        <x:v>플랫폼 규정 준수</x:v>
      </x:c>
      <x:c r="D24" s="36" t="str">
        <x:v>음성 정책</x:v>
      </x:c>
      <x:c r="E24" s="36" t="str">
        <x:v>플랫폼별 음성·음소거·차단 요건</x:v>
      </x:c>
      <x:c r="F24" s="36" t="str">
        <x:v>게임 규칙, 운영 요구사항과 대상 플랫폼 제약을 충족하도록 플랫폼별 음성·음소거·차단 요건 기능을 구현하고 검증한다.</x:v>
      </x:c>
      <x:c r="G24" s="36" t="str">
        <x:v>각 플랫폼의 개인정보, 보호자 설정, 시스템 음소거, 차단, 크로스플레이 음성 요건을 충족한다.</x:v>
      </x:c>
      <x:c r="H24" s="36" t="str">
        <x:v>구현, 코드 리뷰, 사양 갱신, 대상 QA 케이스 실행, 로그·텔레메트리 확인과 관련 플랫폼 검증을 완료하고 미해결 P0·P1 결함이 없다.</x:v>
      </x:c>
      <x:c r="I24" s="36" t="str">
        <x:v>출시</x:v>
      </x:c>
      <x:c r="J24" s="36" t="str">
        <x:v>P0</x:v>
      </x:c>
      <x:c r="K24" s="36" t="str">
        <x:v>필수</x:v>
      </x:c>
      <x:c r="L24" s="36" t="str">
        <x:v>인증·약관</x:v>
      </x:c>
      <x:c r="M24" s="36" t="str">
        <x:v>출시</x:v>
      </x:c>
      <x:c r="N24" s="36" t="str">
        <x:v>오디오·온라인 엔지니어링</x:v>
      </x:c>
      <x:c r="O24" s="36" t="str">
        <x:v>미정</x:v>
      </x:c>
      <x:c r="P24" s="36" t="str">
        <x:v>미정</x:v>
      </x:c>
      <x:c r="Q24" s="36" t="str">
        <x:v>전체</x:v>
      </x:c>
      <x:c r="R24" s="36" t="str">
        <x:v>백엔드 권한</x:v>
      </x:c>
      <x:c r="S24" s="36" t="str">
        <x:v>계정</x:v>
      </x:c>
      <x:c r="T24" s="36" t="str">
        <x:v>XL</x:v>
      </x:c>
      <x:c r="U24" s="36" t="str">
        <x:v>미착수</x:v>
      </x:c>
      <x:c r="V24" s="46" t="n">
        <x:f>IF(U24="완료",1,IF(U24="QA 진행 중",0.8,IF(U24="코드 리뷰",0.65,IF(U24="구현 중",0.4,IF(U24="사양 확인 중",0.1,IF(U24="차단",0.4,0))))))</x:f>
        <x:v>0</x:v>
      </x:c>
      <x:c r="W24" s="36" t="str">
        <x:v>미정</x:v>
      </x:c>
      <x:c r="X24" s="44"/>
      <x:c r="Y24" s="36" t="str">
        <x:v>AUD-011,AUD-012,BED-013</x:v>
      </x:c>
      <x:c r="Z24" s="36" t="str">
        <x:v>중간</x:v>
      </x:c>
      <x:c r="AA24" s="36" t="str">
        <x:v>호환성</x:v>
      </x:c>
      <x:c r="AB24" s="36" t="str">
        <x:v>TC-AUD-023-01, TC-AUD-023-02</x:v>
      </x:c>
      <x:c r="AC24" s="36"/>
      <x:c r="AD24" s="36" t="str">
        <x:v>게임 기획서</x:v>
      </x:c>
      <x:c r="AE24" s="36"/>
      <x:c r="AF24" s="44" t="str">
        <x:v>2026-07-10</x:v>
      </x:c>
      <x:c r="AG24" s="36"/>
      <x:c r="AH24" s="54"/>
      <x:c r="AI24" s="54"/>
      <x:c r="AJ24" s="53" t="str">
        <x:v>착수 전</x:v>
      </x:c>
    </x:row>
    <x:row r="25" ht="42" customHeight="1">
      <x:c r="A25" s="36" t="str">
        <x:v>AUD-024</x:v>
      </x:c>
      <x:c r="B25" s="36" t="str">
        <x:v>오디오·보이스 채팅</x:v>
      </x:c>
      <x:c r="C25" s="36" t="str">
        <x:v>품질</x:v>
      </x:c>
      <x:c r="D25" s="36" t="str">
        <x:v>음향 시험</x:v>
      </x:c>
      <x:c r="E25" s="36" t="str">
        <x:v>맵별 음성 감쇠·차폐 리뷰</x:v>
      </x:c>
      <x:c r="F25" s="36" t="str">
        <x:v>게임 규칙, 운영 요구사항과 대상 플랫폼 제약을 충족하도록 맵별 음성 감쇠·차폐 리뷰 기능을 구현하고 검증한다.</x:v>
      </x:c>
      <x:c r="G25" s="36" t="str">
        <x:v>모든 주요 방, 문, 통로, 중앙 관찰 구역에서 거리와 차폐를 측정하고 대화 도달 범위가 게임 디자인 의도와 일치한다.</x:v>
      </x:c>
      <x:c r="H25" s="36" t="str">
        <x:v>구현, 코드 리뷰, 사양 갱신, 대상 QA 케이스 실행, 로그·텔레메트리 확인과 관련 플랫폼 검증을 완료하고 미해결 P0·P1 결함이 없다.</x:v>
      </x:c>
      <x:c r="I25" s="36" t="str">
        <x:v>알파</x:v>
      </x:c>
      <x:c r="J25" s="36" t="str">
        <x:v>P0</x:v>
      </x:c>
      <x:c r="K25" s="36" t="str">
        <x:v>필수</x:v>
      </x:c>
      <x:c r="L25" s="36" t="str">
        <x:v>밸런스</x:v>
      </x:c>
      <x:c r="M25" s="36" t="str">
        <x:v>알파</x:v>
      </x:c>
      <x:c r="N25" s="36" t="str">
        <x:v>오디오·온라인 엔지니어링</x:v>
      </x:c>
      <x:c r="O25" s="36" t="str">
        <x:v>미정</x:v>
      </x:c>
      <x:c r="P25" s="36" t="str">
        <x:v>미정</x:v>
      </x:c>
      <x:c r="Q25" s="36" t="str">
        <x:v>전체</x:v>
      </x:c>
      <x:c r="R25" s="36" t="str">
        <x:v>해당 없음</x:v>
      </x:c>
      <x:c r="S25" s="36" t="str">
        <x:v>감사 로그</x:v>
      </x:c>
      <x:c r="T25" s="36" t="str">
        <x:v>M</x:v>
      </x:c>
      <x:c r="U25" s="36" t="str">
        <x:v>미착수</x:v>
      </x:c>
      <x:c r="V25" s="46" t="n">
        <x:f>IF(U25="완료",1,IF(U25="QA 진행 중",0.8,IF(U25="코드 리뷰",0.65,IF(U25="구현 중",0.4,IF(U25="사양 확인 중",0.1,IF(U25="차단",0.4,0))))))</x:f>
        <x:v>0</x:v>
      </x:c>
      <x:c r="W25" s="36" t="str">
        <x:v>미정</x:v>
      </x:c>
      <x:c r="X25" s="44"/>
      <x:c r="Y25" s="36" t="str">
        <x:v>AUD-004,AUD-005,CNT-007</x:v>
      </x:c>
      <x:c r="Z25" s="36" t="str">
        <x:v>중간</x:v>
      </x:c>
      <x:c r="AA25" s="36" t="str">
        <x:v>사용성</x:v>
      </x:c>
      <x:c r="AB25" s="36" t="str">
        <x:v>TC-AUD-024-01, TC-AUD-024-02</x:v>
      </x:c>
      <x:c r="AC25" s="36"/>
      <x:c r="AD25" s="36" t="str">
        <x:v>게임 기획서</x:v>
      </x:c>
      <x:c r="AE25" s="36"/>
      <x:c r="AF25" s="44" t="str">
        <x:v>2026-07-10</x:v>
      </x:c>
      <x:c r="AG25" s="36"/>
      <x:c r="AH25" s="54"/>
      <x:c r="AI25" s="54"/>
      <x:c r="AJ25" s="53" t="str">
        <x:v>착수 전</x:v>
      </x:c>
    </x:row>
  </x:sheetData>
  <x:conditionalFormatting sqref="U2:U25">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25">
    <x:cfRule type="expression" dxfId="6" priority="7">
      <x:formula>J2="P0"</x:formula>
    </x:cfRule>
    <x:cfRule type="expression" dxfId="7" priority="8">
      <x:formula>J2="P1"</x:formula>
    </x:cfRule>
  </x:conditionalFormatting>
  <x:conditionalFormatting sqref="Z2:Z25">
    <x:cfRule type="expression" dxfId="8" priority="9">
      <x:formula>Z2="높음"</x:formula>
    </x:cfRule>
    <x:cfRule type="expression" dxfId="9" priority="10">
      <x:formula>Z2="중간"</x:formula>
    </x:cfRule>
  </x:conditionalFormatting>
  <x:conditionalFormatting sqref="AJ2:AJ25">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25">
      <x:formula1>"MVP,알파,베타,릴리스 후보,출시,출시 후,대상 제외"</x:formula1>
    </x:dataValidation>
    <x:dataValidation type="list" sqref="J2:J25">
      <x:formula1>"P0,P1,P2,P3"</x:formula1>
    </x:dataValidation>
    <x:dataValidation type="list" sqref="K2:K25">
      <x:formula1>"필수,조건부,권장,대상 제외"</x:formula1>
    </x:dataValidation>
    <x:dataValidation type="list" sqref="Q2:Q25">
      <x:formula1>"전체,PC,콘솔,모바일,서버,백엔드,도구,웹·관리자"</x:formula1>
    </x:dataValidation>
    <x:dataValidation type="list" sqref="R2:R25">
      <x:formula1>"서버 권한,클라이언트 예측·서버 검증,클라이언트 로컬,백엔드 권한,호스트 권한,콘텐츠 데이터,해당 없음"</x:formula1>
    </x:dataValidation>
    <x:dataValidation type="list" sqref="S2:S25">
      <x:formula1>"없음,세션,매치,계정,단말 로컬,백엔드,감사 로그"</x:formula1>
    </x:dataValidation>
    <x:dataValidation type="list" sqref="T2:T25">
      <x:formula1>"XS,S,M,L,XL,분할 필요"</x:formula1>
    </x:dataValidation>
    <x:dataValidation type="list" sqref="U2:U25">
      <x:formula1>"미착수,사양 확인 중,구현 중,코드 리뷰,QA 진행 중,차단,완료,보류"</x:formula1>
    </x:dataValidation>
    <x:dataValidation type="list" sqref="Z2:Z25">
      <x:formula1>"높음,중간,낮음"</x:formula1>
    </x:dataValidation>
    <x:dataValidation type="list" sqref="AA2:AA25">
      <x:formula1>"기능,통합,경계값,네트워크,보안,성능,호환성,사용성,접근성,현지화,밸런스,운영,안전,부하"</x:formula1>
    </x:dataValidation>
    <x:dataValidation type="list" sqref="AJ2:AJ25">
      <x:formula1>"착수 전,작업 중,완료"</x:formula1>
    </x:dataValidation>
  </x:dataValidations>
  <x:pageMargins left="0.7" right="0.7" top="0.75" bottom="0.75" header="0.3" footer="0.3"/>
  <x:tableParts count="1">
    <x:tablePart xmlns:r="http://schemas.openxmlformats.org/officeDocument/2006/relationships" r:id="Raef0d0a9863a4e69"/>
  </x:tableParts>
</x:worksheet>
</file>

<file path=xl/worksheets/sheet3.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14" hidden="0" customWidth="1"/>
    <x:col min="5" max="5" width="14" hidden="0" customWidth="1"/>
    <x:col min="6" max="6" width="14" hidden="0" customWidth="1"/>
    <x:col min="7" max="7" width="14" hidden="0" customWidth="1"/>
    <x:col min="8" max="8" width="30" hidden="0" customWidth="1"/>
    <x:col min="9" max="9" width="22" hidden="0" customWidth="1"/>
    <x:col min="10" max="10" width="18" hidden="0" customWidth="1"/>
  </x:cols>
  <x:sheetData>
    <x:row r="1" ht="30" customHeight="1">
      <x:c r="A1" s="40" t="str">
        <x:v>이벤트 ID</x:v>
      </x:c>
      <x:c r="B1" s="40" t="str">
        <x:v>범주</x:v>
      </x:c>
      <x:c r="C1" s="40" t="str">
        <x:v>발동 조건</x:v>
      </x:c>
      <x:c r="D1" s="40" t="str">
        <x:v>버스</x:v>
      </x:c>
      <x:c r="E1" s="40" t="str">
        <x:v>우선순위</x:v>
      </x:c>
      <x:c r="F1" s="40" t="str">
        <x:v>공간 음향</x:v>
      </x:c>
      <x:c r="G1" s="40" t="str">
        <x:v>최대 동시 재생</x:v>
      </x:c>
      <x:c r="H1" s="40" t="str">
        <x:v>자막 키</x:v>
      </x:c>
      <x:c r="I1" s="40" t="str">
        <x:v>관련 ID</x:v>
      </x:c>
      <x:c r="J1" s="40" t="str">
        <x:v>담당</x:v>
      </x:c>
    </x:row>
    <x:row r="2" ht="42" customHeight="1">
      <x:c r="A2" s="36" t="str">
        <x:v>AUD-UI-PHASE</x:v>
      </x:c>
      <x:c r="B2" s="36" t="str">
        <x:v>UI</x:v>
      </x:c>
      <x:c r="C2" s="36" t="str">
        <x:v>페이즈 변경</x:v>
      </x:c>
      <x:c r="D2" s="36" t="str">
        <x:v>UI</x:v>
      </x:c>
      <x:c r="E2" s="36" t="str">
        <x:v>높음</x:v>
      </x:c>
      <x:c r="F2" s="36" t="str">
        <x:v>아니요</x:v>
      </x:c>
      <x:c r="G2" s="36" t="n">
        <x:v>1</x:v>
      </x:c>
      <x:c r="H2" s="36" t="str">
        <x:v>caption.phase_change</x:v>
      </x:c>
      <x:c r="I2" s="36" t="str">
        <x:v>AUD-016,AUD-019</x:v>
      </x:c>
      <x:c r="J2" s="36" t="str">
        <x:v>오디오</x:v>
      </x:c>
    </x:row>
    <x:row r="3" ht="42" customHeight="1">
      <x:c r="A3" s="36" t="str">
        <x:v>AUD-MEMO-START</x:v>
      </x:c>
      <x:c r="B3" s="36" t="str">
        <x:v>게임플레이</x:v>
      </x:c>
      <x:c r="C3" s="36" t="str">
        <x:v>메모 부착 시작</x:v>
      </x:c>
      <x:c r="D3" s="36" t="str">
        <x:v>효과음</x:v>
      </x:c>
      <x:c r="E3" s="36" t="str">
        <x:v>중간</x:v>
      </x:c>
      <x:c r="F3" s="36" t="str">
        <x:v>예</x:v>
      </x:c>
      <x:c r="G3" s="36" t="n">
        <x:v>6</x:v>
      </x:c>
      <x:c r="H3" s="36" t="str">
        <x:v>caption.memo_attach</x:v>
      </x:c>
      <x:c r="I3" s="36" t="str">
        <x:v>AUD-017</x:v>
      </x:c>
      <x:c r="J3" s="36" t="str">
        <x:v>오디오</x:v>
      </x:c>
    </x:row>
    <x:row r="4" ht="42" customHeight="1">
      <x:c r="A4" s="36" t="str">
        <x:v>AUD-MEMO-SUCCESS</x:v>
      </x:c>
      <x:c r="B4" s="36" t="str">
        <x:v>게임플레이</x:v>
      </x:c>
      <x:c r="C4" s="36" t="str">
        <x:v>메모 부착 확정</x:v>
      </x:c>
      <x:c r="D4" s="36" t="str">
        <x:v>효과음</x:v>
      </x:c>
      <x:c r="E4" s="36" t="str">
        <x:v>중간</x:v>
      </x:c>
      <x:c r="F4" s="36" t="str">
        <x:v>예</x:v>
      </x:c>
      <x:c r="G4" s="36" t="n">
        <x:v>6</x:v>
      </x:c>
      <x:c r="H4" s="36" t="str">
        <x:v>caption.memo_attach</x:v>
      </x:c>
      <x:c r="I4" s="36" t="str">
        <x:v>AUD-017</x:v>
      </x:c>
      <x:c r="J4" s="36" t="str">
        <x:v>오디오</x:v>
      </x:c>
    </x:row>
    <x:row r="5" ht="42" customHeight="1">
      <x:c r="A5" s="36" t="str">
        <x:v>AUD-MINI-SUCCESS</x:v>
      </x:c>
      <x:c r="B5" s="36" t="str">
        <x:v>미니게임</x:v>
      </x:c>
      <x:c r="C5" s="36" t="str">
        <x:v>미니게임 성공</x:v>
      </x:c>
      <x:c r="D5" s="36" t="str">
        <x:v>효과음</x:v>
      </x:c>
      <x:c r="E5" s="36" t="str">
        <x:v>중간</x:v>
      </x:c>
      <x:c r="F5" s="36" t="str">
        <x:v>로컬</x:v>
      </x:c>
      <x:c r="G5" s="36" t="n">
        <x:v>4</x:v>
      </x:c>
      <x:c r="H5" s="36" t="str">
        <x:v>caption.minigame_success</x:v>
      </x:c>
      <x:c r="I5" s="36" t="str">
        <x:v>AUD-018</x:v>
      </x:c>
      <x:c r="J5" s="36" t="str">
        <x:v>오디오</x:v>
      </x:c>
    </x:row>
    <x:row r="6" ht="42" customHeight="1">
      <x:c r="A6" s="36" t="str">
        <x:v>AUD-VOTE-OPEN</x:v>
      </x:c>
      <x:c r="B6" s="36" t="str">
        <x:v>UI</x:v>
      </x:c>
      <x:c r="C6" s="36" t="str">
        <x:v>투표 시작</x:v>
      </x:c>
      <x:c r="D6" s="36" t="str">
        <x:v>UI</x:v>
      </x:c>
      <x:c r="E6" s="36" t="str">
        <x:v>높음</x:v>
      </x:c>
      <x:c r="F6" s="36" t="str">
        <x:v>아니요</x:v>
      </x:c>
      <x:c r="G6" s="36" t="n">
        <x:v>1</x:v>
      </x:c>
      <x:c r="H6" s="36" t="str">
        <x:v>caption.vote_open</x:v>
      </x:c>
      <x:c r="I6" s="36" t="str">
        <x:v>AUD-016</x:v>
      </x:c>
      <x:c r="J6" s="36" t="str">
        <x:v>오디오</x:v>
      </x:c>
    </x:row>
    <x:row r="7" ht="42" customHeight="1">
      <x:c r="A7" s="36" t="str">
        <x:v>AUD-FINAL-START</x:v>
      </x:c>
      <x:c r="B7" s="36" t="str">
        <x:v>음악</x:v>
      </x:c>
      <x:c r="C7" s="36" t="str">
        <x:v>최종 재판 시작</x:v>
      </x:c>
      <x:c r="D7" s="36" t="str">
        <x:v>음악</x:v>
      </x:c>
      <x:c r="E7" s="36" t="str">
        <x:v>높음</x:v>
      </x:c>
      <x:c r="F7" s="36" t="str">
        <x:v>아니요</x:v>
      </x:c>
      <x:c r="G7" s="36" t="n">
        <x:v>1</x:v>
      </x:c>
      <x:c r="H7" s="36" t="str">
        <x:v>caption.final_trial</x:v>
      </x:c>
      <x:c r="I7" s="36" t="str">
        <x:v>AUD-019</x:v>
      </x:c>
      <x:c r="J7" s="36" t="str">
        <x:v>오디오</x:v>
      </x:c>
    </x:row>
  </x:sheetData>
  <x:pageMargins left="0.7" right="0.7" top="0.75" bottom="0.75" header="0.3" footer="0.3"/>
  <x:tableParts count="1">
    <x:tablePart xmlns:r="http://schemas.openxmlformats.org/officeDocument/2006/relationships" r:id="R66bbbb36ce23412a"/>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14" hidden="0" customWidth="1"/>
    <x:col min="5" max="5" width="14" hidden="0" customWidth="1"/>
    <x:col min="6" max="6" width="24" hidden="0" customWidth="1"/>
    <x:col min="7" max="7" width="24" hidden="0" customWidth="1"/>
    <x:col min="8" max="8" width="20" hidden="0" customWidth="1"/>
  </x:cols>
  <x:sheetData>
    <x:row r="1" ht="30" customHeight="1">
      <x:c r="A1" s="40" t="str">
        <x:v>게임 상태</x:v>
      </x:c>
      <x:c r="B1" s="40" t="str">
        <x:v>채널</x:v>
      </x:c>
      <x:c r="C1" s="40" t="str">
        <x:v>송신</x:v>
      </x:c>
      <x:c r="D1" s="40" t="str">
        <x:v>수신</x:v>
      </x:c>
      <x:c r="E1" s="40" t="str">
        <x:v>공간 음향</x:v>
      </x:c>
      <x:c r="F1" s="40" t="str">
        <x:v>발언 가능 대상</x:v>
      </x:c>
      <x:c r="G1" s="40" t="str">
        <x:v>우선 적용 규칙</x:v>
      </x:c>
      <x:c r="H1" s="40" t="str">
        <x:v>관련 ID</x:v>
      </x:c>
    </x:row>
    <x:row r="2" ht="42" customHeight="1">
      <x:c r="A2" s="36" t="str">
        <x:v>로비</x:v>
      </x:c>
      <x:c r="B2" s="36" t="str">
        <x:v>로비</x:v>
      </x:c>
      <x:c r="C2" s="36" t="str">
        <x:v>예</x:v>
      </x:c>
      <x:c r="D2" s="36" t="str">
        <x:v>예</x:v>
      </x:c>
      <x:c r="E2" s="36" t="str">
        <x:v>아니요</x:v>
      </x:c>
      <x:c r="F2" s="36" t="str">
        <x:v>음소거되지 않은 전체</x:v>
      </x:c>
      <x:c r="G2" s="36" t="str">
        <x:v>보호자 설정·차단</x:v>
      </x:c>
      <x:c r="H2" s="36" t="str">
        <x:v>AUD-003</x:v>
      </x:c>
    </x:row>
    <x:row r="3" ht="42" customHeight="1">
      <x:c r="A3" s="36" t="str">
        <x:v>역할 공개</x:v>
      </x:c>
      <x:c r="B3" s="36" t="str">
        <x:v>매치</x:v>
      </x:c>
      <x:c r="C3" s="36" t="str">
        <x:v>아니요</x:v>
      </x:c>
      <x:c r="D3" s="36" t="str">
        <x:v>아니요</x:v>
      </x:c>
      <x:c r="E3" s="36" t="str">
        <x:v>해당 없음</x:v>
      </x:c>
      <x:c r="F3" s="36" t="str">
        <x:v>없음</x:v>
      </x:c>
      <x:c r="G3" s="36" t="str">
        <x:v>해당 없음</x:v>
      </x:c>
      <x:c r="H3" s="36" t="str">
        <x:v>AUD-007</x:v>
      </x:c>
    </x:row>
    <x:row r="4" ht="42" customHeight="1">
      <x:c r="A4" s="36" t="str">
        <x:v>낮</x:v>
      </x:c>
      <x:c r="B4" s="36" t="str">
        <x:v>매치</x:v>
      </x:c>
      <x:c r="C4" s="36" t="str">
        <x:v>예</x:v>
      </x:c>
      <x:c r="D4" s="36" t="str">
        <x:v>예</x:v>
      </x:c>
      <x:c r="E4" s="36" t="str">
        <x:v>예</x:v>
      </x:c>
      <x:c r="F4" s="36" t="str">
        <x:v>생존·음소거되지 않은 플레이어</x:v>
      </x:c>
      <x:c r="G4" s="36" t="str">
        <x:v>음소거·차단</x:v>
      </x:c>
      <x:c r="H4" s="36" t="str">
        <x:v>AUD-004</x:v>
      </x:c>
    </x:row>
    <x:row r="5" ht="42" customHeight="1">
      <x:c r="A5" s="36" t="str">
        <x:v>밤 관찰</x:v>
      </x:c>
      <x:c r="B5" s="36" t="str">
        <x:v>매치</x:v>
      </x:c>
      <x:c r="C5" s="36" t="str">
        <x:v>아니요</x:v>
      </x:c>
      <x:c r="D5" s="36" t="str">
        <x:v>아니요</x:v>
      </x:c>
      <x:c r="E5" s="36" t="str">
        <x:v>해당 없음</x:v>
      </x:c>
      <x:c r="F5" s="36" t="str">
        <x:v>없음</x:v>
      </x:c>
      <x:c r="G5" s="36" t="str">
        <x:v>서버 강제</x:v>
      </x:c>
      <x:c r="H5" s="36" t="str">
        <x:v>AUD-006</x:v>
      </x:c>
    </x:row>
    <x:row r="6" ht="42" customHeight="1">
      <x:c r="A6" s="36" t="str">
        <x:v>밤 투표</x:v>
      </x:c>
      <x:c r="B6" s="36" t="str">
        <x:v>매치</x:v>
      </x:c>
      <x:c r="C6" s="36" t="str">
        <x:v>아니요</x:v>
      </x:c>
      <x:c r="D6" s="36" t="str">
        <x:v>아니요</x:v>
      </x:c>
      <x:c r="E6" s="36" t="str">
        <x:v>해당 없음</x:v>
      </x:c>
      <x:c r="F6" s="36" t="str">
        <x:v>없음</x:v>
      </x:c>
      <x:c r="G6" s="36" t="str">
        <x:v>서버 강제</x:v>
      </x:c>
      <x:c r="H6" s="36" t="str">
        <x:v>AUD-006</x:v>
      </x:c>
    </x:row>
    <x:row r="7" ht="42" customHeight="1">
      <x:c r="A7" s="36" t="str">
        <x:v>최종 증거 공개</x:v>
      </x:c>
      <x:c r="B7" s="36" t="str">
        <x:v>최종 재판</x:v>
      </x:c>
      <x:c r="C7" s="36" t="str">
        <x:v>아니요</x:v>
      </x:c>
      <x:c r="D7" s="36" t="str">
        <x:v>아니요</x:v>
      </x:c>
      <x:c r="E7" s="36" t="str">
        <x:v>해당 없음</x:v>
      </x:c>
      <x:c r="F7" s="36" t="str">
        <x:v>없음</x:v>
      </x:c>
      <x:c r="G7" s="36" t="str">
        <x:v>서버 강제</x:v>
      </x:c>
      <x:c r="H7" s="36" t="str">
        <x:v>AUD-007</x:v>
      </x:c>
    </x:row>
    <x:row r="8" ht="42" customHeight="1">
      <x:c r="A8" s="36" t="str">
        <x:v>최종 발언</x:v>
      </x:c>
      <x:c r="B8" s="36" t="str">
        <x:v>최종 재판</x:v>
      </x:c>
      <x:c r="C8" s="36" t="str">
        <x:v>선택된 1명만</x:v>
      </x:c>
      <x:c r="D8" s="36" t="str">
        <x:v>예</x:v>
      </x:c>
      <x:c r="E8" s="36" t="str">
        <x:v>아니요</x:v>
      </x:c>
      <x:c r="F8" s="36" t="str">
        <x:v>현재 발언자</x:v>
      </x:c>
      <x:c r="G8" s="36" t="str">
        <x:v>서버 토큰</x:v>
      </x:c>
      <x:c r="H8" s="36" t="str">
        <x:v>AUD-008</x:v>
      </x:c>
    </x:row>
    <x:row r="9" ht="42" customHeight="1">
      <x:c r="A9" s="36" t="str">
        <x:v>최종 투표</x:v>
      </x:c>
      <x:c r="B9" s="36" t="str">
        <x:v>최종 재판</x:v>
      </x:c>
      <x:c r="C9" s="36" t="str">
        <x:v>아니요</x:v>
      </x:c>
      <x:c r="D9" s="36" t="str">
        <x:v>아니요</x:v>
      </x:c>
      <x:c r="E9" s="36" t="str">
        <x:v>해당 없음</x:v>
      </x:c>
      <x:c r="F9" s="36" t="str">
        <x:v>없음</x:v>
      </x:c>
      <x:c r="G9" s="36" t="str">
        <x:v>서버 강제</x:v>
      </x:c>
      <x:c r="H9" s="36" t="str">
        <x:v>AUD-007</x:v>
      </x:c>
    </x:row>
    <x:row r="10" ht="42" customHeight="1">
      <x:c r="A10" s="36" t="str">
        <x:v>결과</x:v>
      </x:c>
      <x:c r="B10" s="36" t="str">
        <x:v>로비·결과</x:v>
      </x:c>
      <x:c r="C10" s="36" t="str">
        <x:v>정책에 따름</x:v>
      </x:c>
      <x:c r="D10" s="36" t="str">
        <x:v>정책에 따름</x:v>
      </x:c>
      <x:c r="E10" s="36" t="str">
        <x:v>아니요</x:v>
      </x:c>
      <x:c r="F10" s="36" t="str">
        <x:v>허용된 사용자</x:v>
      </x:c>
      <x:c r="G10" s="36" t="str">
        <x:v>음소거·차단</x:v>
      </x:c>
      <x:c r="H10" s="36" t="str">
        <x:v>AUD-007</x:v>
      </x:c>
    </x:row>
  </x:sheetData>
  <x:pageMargins left="0.7" right="0.7" top="0.75" bottom="0.75" header="0.3" footer="0.3"/>
  <x:tableParts count="1">
    <x:tablePart xmlns:r="http://schemas.openxmlformats.org/officeDocument/2006/relationships" r:id="R110ee97f306f4252"/>
  </x:tableParts>
</x:worksheet>
</file>

<file path=xl/worksheets/sheet5.xml><?xml version="1.0" encoding="utf-8"?>
<x:worksheet xmlns:x="http://schemas.openxmlformats.org/spreadsheetml/2006/main">
  <x:sheetFormatPr defaultRowHeight="15"/>
  <x:cols>
    <x:col min="1" max="1" width="20" hidden="0" customWidth="1"/>
    <x:col min="2" max="2" width="12" hidden="0" customWidth="1"/>
    <x:col min="3" max="3" width="12" hidden="0" customWidth="1"/>
    <x:col min="4" max="4" width="12" hidden="0" customWidth="1"/>
    <x:col min="5" max="5" width="12" hidden="0" customWidth="1"/>
    <x:col min="6" max="6" width="34" hidden="0" customWidth="1"/>
    <x:col min="7" max="7" width="16" hidden="0" customWidth="1"/>
    <x:col min="8" max="8" width="24" hidden="0" customWidth="1"/>
  </x:cols>
  <x:sheetData>
    <x:row r="1" ht="30" customHeight="1">
      <x:c r="A1" s="40" t="str">
        <x:v>스냅샷</x:v>
      </x:c>
      <x:c r="B1" s="40" t="str">
        <x:v>음악</x:v>
      </x:c>
      <x:c r="C1" s="40" t="str">
        <x:v>효과음</x:v>
      </x:c>
      <x:c r="D1" s="40" t="str">
        <x:v>UI</x:v>
      </x:c>
      <x:c r="E1" s="40" t="str">
        <x:v>음성</x:v>
      </x:c>
      <x:c r="F1" s="40" t="str">
        <x:v>더킹 규칙</x:v>
      </x:c>
      <x:c r="G1" s="40" t="str">
        <x:v>전환 시간</x:v>
      </x:c>
      <x:c r="H1" s="40" t="str">
        <x:v>관련 ID</x:v>
      </x:c>
    </x:row>
    <x:row r="2" ht="42" customHeight="1">
      <x:c r="A2" s="36" t="str">
        <x:v>로비</x:v>
      </x:c>
      <x:c r="B2" s="36" t="str">
        <x:v>0dB</x:v>
      </x:c>
      <x:c r="C2" s="36" t="str">
        <x:v>0dB</x:v>
      </x:c>
      <x:c r="D2" s="36" t="str">
        <x:v>0dB</x:v>
      </x:c>
      <x:c r="E2" s="36" t="str">
        <x:v>0dB</x:v>
      </x:c>
      <x:c r="F2" s="36" t="str">
        <x:v>없음</x:v>
      </x:c>
      <x:c r="G2" s="36" t="str">
        <x:v>1초</x:v>
      </x:c>
      <x:c r="H2" s="36" t="str">
        <x:v>AUD-001</x:v>
      </x:c>
    </x:row>
    <x:row r="3" ht="42" customHeight="1">
      <x:c r="A3" s="36" t="str">
        <x:v>낮</x:v>
      </x:c>
      <x:c r="B3" s="36" t="str">
        <x:v>-3dB</x:v>
      </x:c>
      <x:c r="C3" s="36" t="str">
        <x:v>0dB</x:v>
      </x:c>
      <x:c r="D3" s="36" t="str">
        <x:v>0dB</x:v>
      </x:c>
      <x:c r="E3" s="36" t="str">
        <x:v>0dB</x:v>
      </x:c>
      <x:c r="F3" s="36" t="str">
        <x:v>음성 발언 시 음악 -4dB</x:v>
      </x:c>
      <x:c r="G3" s="36" t="str">
        <x:v>1초</x:v>
      </x:c>
      <x:c r="H3" s="36" t="str">
        <x:v>AUD-001,AUD-004</x:v>
      </x:c>
    </x:row>
    <x:row r="4" ht="42" customHeight="1">
      <x:c r="A4" s="36" t="str">
        <x:v>밤</x:v>
      </x:c>
      <x:c r="B4" s="36" t="str">
        <x:v>-6dB</x:v>
      </x:c>
      <x:c r="C4" s="36" t="str">
        <x:v>-2dB</x:v>
      </x:c>
      <x:c r="D4" s="36" t="str">
        <x:v>0dB</x:v>
      </x:c>
      <x:c r="E4" s="36" t="str">
        <x:v>음소거</x:v>
      </x:c>
      <x:c r="F4" s="36" t="str">
        <x:v>UI 우선</x:v>
      </x:c>
      <x:c r="G4" s="36" t="str">
        <x:v>0.3초</x:v>
      </x:c>
      <x:c r="H4" s="36" t="str">
        <x:v>AUD-006</x:v>
      </x:c>
    </x:row>
    <x:row r="5" ht="42" customHeight="1">
      <x:c r="A5" s="36" t="str">
        <x:v>최종 발언</x:v>
      </x:c>
      <x:c r="B5" s="36" t="str">
        <x:v>-10dB</x:v>
      </x:c>
      <x:c r="C5" s="36" t="str">
        <x:v>-4dB</x:v>
      </x:c>
      <x:c r="D5" s="36" t="str">
        <x:v>0dB</x:v>
      </x:c>
      <x:c r="E5" s="36" t="str">
        <x:v>0dB</x:v>
      </x:c>
      <x:c r="F5" s="36" t="str">
        <x:v>발언자가 전체 소리를 -6dB 더킹</x:v>
      </x:c>
      <x:c r="G5" s="36" t="str">
        <x:v>0.5초</x:v>
      </x:c>
      <x:c r="H5" s="36" t="str">
        <x:v>AUD-008</x:v>
      </x:c>
    </x:row>
    <x:row r="6" ht="42" customHeight="1">
      <x:c r="A6" s="36" t="str">
        <x:v>결과</x:v>
      </x:c>
      <x:c r="B6" s="36" t="str">
        <x:v>0dB</x:v>
      </x:c>
      <x:c r="C6" s="36" t="str">
        <x:v>0dB</x:v>
      </x:c>
      <x:c r="D6" s="36" t="str">
        <x:v>0dB</x:v>
      </x:c>
      <x:c r="E6" s="36" t="str">
        <x:v>정책에 따름</x:v>
      </x:c>
      <x:c r="F6" s="36" t="str">
        <x:v>없음</x:v>
      </x:c>
      <x:c r="G6" s="36" t="str">
        <x:v>1초</x:v>
      </x:c>
      <x:c r="H6" s="36" t="str">
        <x:v>AUD-019</x:v>
      </x:c>
    </x:row>
  </x:sheetData>
  <x:pageMargins left="0.7" right="0.7" top="0.75" bottom="0.75" header="0.3" footer="0.3"/>
  <x:tableParts count="1">
    <x:tablePart xmlns:r="http://schemas.openxmlformats.org/officeDocument/2006/relationships" r:id="R810c3a338ee848ba"/>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TC-AUD-001-01</x:v>
      </x:c>
      <x:c r="B2" s="36" t="str">
        <x:v>AUD-001</x:v>
      </x:c>
      <x:c r="C2" s="36" t="str">
        <x:v>오디오·보이스 채팅</x:v>
      </x:c>
      <x:c r="D2" s="36" t="str">
        <x:v>정상 시나리오: BGM·효과음·UI·음성 버스·스냅샷 설계</x:v>
      </x:c>
      <x:c r="E2" s="36" t="str">
        <x:v>주요 버스, 우선순위, 더킹, 낮·밤·최종 재판·결과 스냅샷을 정의하고 중요한 대화와 투표 알림이 다른 소리에 묻히지 않는다.</x:v>
      </x:c>
      <x:c r="F2" s="36" t="str">
        <x:v>대상 기능이 포함된 MVP 빌드, 필요한 테스트 계정·룸 설정·로그 접근 권한을 준비한다.</x:v>
      </x:c>
      <x:c r="G2" s="36" t="str">
        <x:v>1. 사전 조건 상태를 구성한다.
2. 표준 설정에서 다음 테스트 대상을 실행한다: BGM·효과음·UI·음성 버스·스냅샷 설계.
3. UI, 서버 상태와 로그·텔레메트리를 확인한다.
4. 필요하면 재입장 또는 재실행하여 재현성을 확인한다.</x:v>
      </x:c>
      <x:c r="H2" s="36" t="str">
        <x:v>주요 버스, 우선순위, 더킹, 낮·밤·최종 재판·결과 스냅샷을 정의하고 중요한 대화와 투표 알림이 다른 소리에 묻히지 않는다.</x:v>
      </x:c>
      <x:c r="I2" s="36" t="str">
        <x:v>기능</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TC-AUD-001-02</x:v>
      </x:c>
      <x:c r="B3" s="36" t="str">
        <x:v>AUD-001</x:v>
      </x:c>
      <x:c r="C3" s="36" t="str">
        <x:v>오디오·보이스 채팅</x:v>
      </x:c>
      <x:c r="D3" s="36" t="str">
        <x:v>예외·경계 시나리오: BGM·효과음·UI·음성 버스·스냅샷 설계</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BGM·효과음·UI·음성 버스·스냅샷 설계에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기능</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TC-AUD-002-01</x:v>
      </x:c>
      <x:c r="B4" s="36" t="str">
        <x:v>AUD-002</x:v>
      </x:c>
      <x:c r="C4" s="36" t="str">
        <x:v>오디오·보이스 채팅</x:v>
      </x:c>
      <x:c r="D4" s="36" t="str">
        <x:v>정상 시나리오: 음성 SDK 초기화·입출력 장치</x:v>
      </x:c>
      <x:c r="E4" s="36" t="str">
        <x:v>권한, 동의, 입력·출력 장치, 마이크 시험, 장치 전환·분리를 처리하고 실패해도 게임 참가 정책에 따라 안전하게 계속할 수 있다.</x:v>
      </x:c>
      <x:c r="F4" s="36" t="str">
        <x:v>대상 기능이 포함된 알파 빌드, 필요한 테스트 계정·룸 설정·로그 접근 권한을 준비한다.</x:v>
      </x:c>
      <x:c r="G4" s="36" t="str">
        <x:v>1. 사전 조건 상태를 구성한다.
2. 표준 설정에서 다음 테스트 대상을 실행한다: 음성 SDK 초기화·입출력 장치.
3. UI, 서버 상태와 로그·텔레메트리를 확인한다.
4. 필요하면 재입장 또는 재실행하여 재현성을 확인한다.</x:v>
      </x:c>
      <x:c r="H4" s="36" t="str">
        <x:v>권한, 동의, 입력·출력 장치, 마이크 시험, 장치 전환·분리를 처리하고 실패해도 게임 참가 정책에 따라 안전하게 계속할 수 있다.</x:v>
      </x:c>
      <x:c r="I4" s="36" t="str">
        <x:v>호환성</x:v>
      </x:c>
      <x:c r="J4" s="36" t="str">
        <x:v>P0</x:v>
      </x:c>
      <x:c r="K4" s="36" t="str">
        <x:v>전체</x:v>
      </x:c>
      <x:c r="L4" s="36" t="str">
        <x:v>부분</x:v>
      </x:c>
      <x:c r="M4" s="36" t="str">
        <x:v>미실시</x:v>
      </x:c>
      <x:c r="N4" s="36" t="str">
        <x:v>미정</x:v>
      </x:c>
      <x:c r="O4" s="36" t="str">
        <x:v>미정</x:v>
      </x:c>
      <x:c r="P4" s="36"/>
      <x:c r="Q4" s="36"/>
      <x:c r="R4" s="44" t="str">
        <x:v>2026-07-10</x:v>
      </x:c>
      <x:c r="S4" s="36"/>
      <x:c r="T4" s="54"/>
      <x:c r="U4" s="54"/>
      <x:c r="V4" s="53" t="str">
        <x:v>착수 전</x:v>
      </x:c>
    </x:row>
    <x:row r="5" ht="42" customHeight="1">
      <x:c r="A5" s="36" t="str">
        <x:v>TC-AUD-002-02</x:v>
      </x:c>
      <x:c r="B5" s="36" t="str">
        <x:v>AUD-002</x:v>
      </x:c>
      <x:c r="C5" s="36" t="str">
        <x:v>오디오·보이스 채팅</x:v>
      </x:c>
      <x:c r="D5" s="36" t="str">
        <x:v>예외·경계 시나리오: 음성 SDK 초기화·입출력 장치</x:v>
      </x:c>
      <x:c r="E5" s="36" t="str">
        <x:v>허용되지 않은 상태, 잘못된 값, 중복, 만료, 권한 부족, 연결 끊김 입력으로 데이터 손상·정보 유출·클라이언트 상태 분기가 발생하지 않는지 확인한다.</x:v>
      </x:c>
      <x:c r="F5" s="36" t="str">
        <x:v>대상 기능이 포함된 알파 빌드와 디버그 입력, 네트워크 열화, 비정상 요청 재현 수단을 준비한다.</x:v>
      </x:c>
      <x:c r="G5" s="36" t="str">
        <x:v>1. 허용되지 않은 페이즈 또는 경계값 조건을 구성한다.
2. 음성 SDK 초기화·입출력 장치에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호환성</x:v>
      </x:c>
      <x:c r="J5" s="36" t="str">
        <x:v>P0</x:v>
      </x:c>
      <x:c r="K5" s="36" t="str">
        <x:v>전체</x:v>
      </x:c>
      <x:c r="L5" s="36" t="str">
        <x:v>부분</x:v>
      </x:c>
      <x:c r="M5" s="36" t="str">
        <x:v>미실시</x:v>
      </x:c>
      <x:c r="N5" s="36" t="str">
        <x:v>미정</x:v>
      </x:c>
      <x:c r="O5" s="36" t="str">
        <x:v>미정</x:v>
      </x:c>
      <x:c r="P5" s="36"/>
      <x:c r="Q5" s="36"/>
      <x:c r="R5" s="44" t="str">
        <x:v>2026-07-10</x:v>
      </x:c>
      <x:c r="S5" s="36"/>
      <x:c r="T5" s="54"/>
      <x:c r="U5" s="54"/>
      <x:c r="V5" s="53" t="str">
        <x:v>착수 전</x:v>
      </x:c>
    </x:row>
    <x:row r="6" ht="42" customHeight="1">
      <x:c r="A6" s="36" t="str">
        <x:v>TC-AUD-003-01</x:v>
      </x:c>
      <x:c r="B6" s="36" t="str">
        <x:v>AUD-003</x:v>
      </x:c>
      <x:c r="C6" s="36" t="str">
        <x:v>오디오·보이스 채팅</x:v>
      </x:c>
      <x:c r="D6" s="36" t="str">
        <x:v>정상 시나리오: 로비 음성 연결·권한 사전 점검</x:v>
      </x:c>
      <x:c r="E6" s="36" t="str">
        <x:v>매치 시작 전에 채널 참가, 마이크 권한, 송수신 상태를 검사하고 문제가 있는 참가자에게 자가 해결 경로를 제공한다.</x:v>
      </x:c>
      <x:c r="F6" s="36" t="str">
        <x:v>대상 기능이 포함된 알파 빌드, 필요한 테스트 계정·룸 설정·로그 접근 권한을 준비한다.</x:v>
      </x:c>
      <x:c r="G6" s="36" t="str">
        <x:v>1. 사전 조건 상태를 구성한다.
2. 표준 설정에서 다음 테스트 대상을 실행한다: 로비 음성 연결·권한 사전 점검.
3. UI, 서버 상태와 로그·텔레메트리를 확인한다.
4. 필요하면 재입장 또는 재실행하여 재현성을 확인한다.</x:v>
      </x:c>
      <x:c r="H6" s="36" t="str">
        <x:v>매치 시작 전에 채널 참가, 마이크 권한, 송수신 상태를 검사하고 문제가 있는 참가자에게 자가 해결 경로를 제공한다.</x:v>
      </x:c>
      <x:c r="I6" s="36" t="str">
        <x:v>통합</x:v>
      </x:c>
      <x:c r="J6" s="36" t="str">
        <x:v>P0</x:v>
      </x:c>
      <x:c r="K6" s="36" t="str">
        <x:v>전체</x:v>
      </x:c>
      <x:c r="L6" s="36" t="str">
        <x:v>부분</x:v>
      </x:c>
      <x:c r="M6" s="36" t="str">
        <x:v>미실시</x:v>
      </x:c>
      <x:c r="N6" s="36" t="str">
        <x:v>미정</x:v>
      </x:c>
      <x:c r="O6" s="36" t="str">
        <x:v>미정</x:v>
      </x:c>
      <x:c r="P6" s="36"/>
      <x:c r="Q6" s="36"/>
      <x:c r="R6" s="44" t="str">
        <x:v>2026-07-10</x:v>
      </x:c>
      <x:c r="S6" s="36"/>
      <x:c r="T6" s="54"/>
      <x:c r="U6" s="54"/>
      <x:c r="V6" s="53" t="str">
        <x:v>착수 전</x:v>
      </x:c>
    </x:row>
    <x:row r="7" ht="42" customHeight="1">
      <x:c r="A7" s="36" t="str">
        <x:v>TC-AUD-003-02</x:v>
      </x:c>
      <x:c r="B7" s="36" t="str">
        <x:v>AUD-003</x:v>
      </x:c>
      <x:c r="C7" s="36" t="str">
        <x:v>오디오·보이스 채팅</x:v>
      </x:c>
      <x:c r="D7" s="36" t="str">
        <x:v>예외·경계 시나리오: 로비 음성 연결·권한 사전 점검</x:v>
      </x:c>
      <x:c r="E7" s="36" t="str">
        <x:v>허용되지 않은 상태, 잘못된 값, 중복, 만료, 권한 부족, 연결 끊김 입력으로 데이터 손상·정보 유출·클라이언트 상태 분기가 발생하지 않는지 확인한다.</x:v>
      </x:c>
      <x:c r="F7" s="36" t="str">
        <x:v>대상 기능이 포함된 알파 빌드와 디버그 입력, 네트워크 열화, 비정상 요청 재현 수단을 준비한다.</x:v>
      </x:c>
      <x:c r="G7" s="36" t="str">
        <x:v>1. 허용되지 않은 페이즈 또는 경계값 조건을 구성한다.
2. 로비 음성 연결·권한 사전 점검에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통합</x:v>
      </x:c>
      <x:c r="J7" s="36" t="str">
        <x:v>P0</x:v>
      </x:c>
      <x:c r="K7" s="36" t="str">
        <x:v>전체</x:v>
      </x:c>
      <x:c r="L7" s="36" t="str">
        <x:v>부분</x:v>
      </x:c>
      <x:c r="M7" s="36" t="str">
        <x:v>미실시</x:v>
      </x:c>
      <x:c r="N7" s="36" t="str">
        <x:v>미정</x:v>
      </x:c>
      <x:c r="O7" s="36" t="str">
        <x:v>미정</x:v>
      </x:c>
      <x:c r="P7" s="36"/>
      <x:c r="Q7" s="36"/>
      <x:c r="R7" s="44" t="str">
        <x:v>2026-07-10</x:v>
      </x:c>
      <x:c r="S7" s="36"/>
      <x:c r="T7" s="54"/>
      <x:c r="U7" s="54"/>
      <x:c r="V7" s="53" t="str">
        <x:v>착수 전</x:v>
      </x:c>
    </x:row>
    <x:row r="8" ht="42" customHeight="1">
      <x:c r="A8" s="36" t="str">
        <x:v>TC-AUD-004-01</x:v>
      </x:c>
      <x:c r="B8" s="36" t="str">
        <x:v>AUD-004</x:v>
      </x:c>
      <x:c r="C8" s="36" t="str">
        <x:v>오디오·보이스 채팅</x:v>
      </x:c>
      <x:c r="D8" s="36" t="str">
        <x:v>정상 시나리오: 낮 근거리 음성 거리 감쇠</x:v>
      </x:c>
      <x:c r="E8" s="36" t="str">
        <x:v>근거리는 명확하게, 중거리는 감쇠하며 원거리에서는 들리지 않도록 하고 카메라가 아니라 캐릭터 위치를 기준으로 한다.</x:v>
      </x:c>
      <x:c r="F8" s="36" t="str">
        <x:v>대상 기능이 포함된 MVP 빌드, 필요한 테스트 계정·룸 설정·로그 접근 권한을 준비한다.</x:v>
      </x:c>
      <x:c r="G8" s="36" t="str">
        <x:v>1. 사전 조건 상태를 구성한다.
2. 표준 설정에서 다음 테스트 대상을 실행한다: 낮 근거리 음성 거리 감쇠.
3. UI, 서버 상태와 로그·텔레메트리를 확인한다.
4. 필요하면 재입장 또는 재실행하여 재현성을 확인한다.</x:v>
      </x:c>
      <x:c r="H8" s="36" t="str">
        <x:v>근거리는 명확하게, 중거리는 감쇠하며 원거리에서는 들리지 않도록 하고 카메라가 아니라 캐릭터 위치를 기준으로 한다.</x:v>
      </x:c>
      <x:c r="I8" s="36" t="str">
        <x:v>사용성</x:v>
      </x:c>
      <x:c r="J8" s="36" t="str">
        <x:v>P0</x:v>
      </x:c>
      <x:c r="K8" s="36" t="str">
        <x:v>전체</x:v>
      </x:c>
      <x:c r="L8" s="36" t="str">
        <x:v>부분</x:v>
      </x:c>
      <x:c r="M8" s="36" t="str">
        <x:v>미실시</x:v>
      </x:c>
      <x:c r="N8" s="36" t="str">
        <x:v>미정</x:v>
      </x:c>
      <x:c r="O8" s="36" t="str">
        <x:v>미정</x:v>
      </x:c>
      <x:c r="P8" s="36"/>
      <x:c r="Q8" s="36"/>
      <x:c r="R8" s="44" t="str">
        <x:v>2026-07-10</x:v>
      </x:c>
      <x:c r="S8" s="36"/>
      <x:c r="T8" s="54"/>
      <x:c r="U8" s="54"/>
      <x:c r="V8" s="53" t="str">
        <x:v>착수 전</x:v>
      </x:c>
    </x:row>
    <x:row r="9" ht="42" customHeight="1">
      <x:c r="A9" s="36" t="str">
        <x:v>TC-AUD-004-02</x:v>
      </x:c>
      <x:c r="B9" s="36" t="str">
        <x:v>AUD-004</x:v>
      </x:c>
      <x:c r="C9" s="36" t="str">
        <x:v>오디오·보이스 채팅</x:v>
      </x:c>
      <x:c r="D9" s="36" t="str">
        <x:v>예외·경계 시나리오: 낮 근거리 음성 거리 감쇠</x:v>
      </x:c>
      <x:c r="E9" s="36" t="str">
        <x:v>허용되지 않은 상태, 잘못된 값, 중복, 만료, 권한 부족, 연결 끊김 입력으로 데이터 손상·정보 유출·클라이언트 상태 분기가 발생하지 않는지 확인한다.</x:v>
      </x:c>
      <x:c r="F9" s="36" t="str">
        <x:v>대상 기능이 포함된 MVP 빌드와 디버그 입력, 네트워크 열화, 비정상 요청 재현 수단을 준비한다.</x:v>
      </x:c>
      <x:c r="G9" s="36" t="str">
        <x:v>1. 허용되지 않은 페이즈 또는 경계값 조건을 구성한다.
2. 낮 근거리 음성 거리 감쇠에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사용성</x:v>
      </x:c>
      <x:c r="J9" s="36" t="str">
        <x:v>P0</x:v>
      </x:c>
      <x:c r="K9" s="36" t="str">
        <x:v>전체</x:v>
      </x:c>
      <x:c r="L9" s="36" t="str">
        <x:v>부분</x:v>
      </x:c>
      <x:c r="M9" s="36" t="str">
        <x:v>미실시</x:v>
      </x:c>
      <x:c r="N9" s="36" t="str">
        <x:v>미정</x:v>
      </x:c>
      <x:c r="O9" s="36" t="str">
        <x:v>미정</x:v>
      </x:c>
      <x:c r="P9" s="36"/>
      <x:c r="Q9" s="36"/>
      <x:c r="R9" s="44" t="str">
        <x:v>2026-07-10</x:v>
      </x:c>
      <x:c r="S9" s="36"/>
      <x:c r="T9" s="54"/>
      <x:c r="U9" s="54"/>
      <x:c r="V9" s="53" t="str">
        <x:v>착수 전</x:v>
      </x:c>
    </x:row>
    <x:row r="10" ht="42" customHeight="1">
      <x:c r="A10" s="36" t="str">
        <x:v>TC-AUD-005-01</x:v>
      </x:c>
      <x:c r="B10" s="36" t="str">
        <x:v>AUD-005</x:v>
      </x:c>
      <x:c r="C10" s="36" t="str">
        <x:v>오디오·보이스 채팅</x:v>
      </x:c>
      <x:c r="D10" s="36" t="str">
        <x:v>정상 시나리오: 벽·방에 따른 음성 차폐</x:v>
      </x:c>
      <x:c r="E10" s="36" t="str">
        <x:v>벽, 문, 방 경계에서 음량과 필터를 조절하고 맵 밖이나 시야 밖의 대화가 부자연스럽게 새지 않는다.</x:v>
      </x:c>
      <x:c r="F10" s="36" t="str">
        <x:v>대상 기능이 포함된 알파 빌드, 필요한 테스트 계정·룸 설정·로그 접근 권한을 준비한다.</x:v>
      </x:c>
      <x:c r="G10" s="36" t="str">
        <x:v>1. 사전 조건 상태를 구성한다.
2. 표준 설정에서 다음 테스트 대상을 실행한다: 벽·방에 따른 음성 차폐.
3. UI, 서버 상태와 로그·텔레메트리를 확인한다.
4. 필요하면 재입장 또는 재실행하여 재현성을 확인한다.</x:v>
      </x:c>
      <x:c r="H10" s="36" t="str">
        <x:v>벽, 문, 방 경계에서 음량과 필터를 조절하고 맵 밖이나 시야 밖의 대화가 부자연스럽게 새지 않는다.</x:v>
      </x:c>
      <x:c r="I10" s="36" t="str">
        <x:v>기능</x:v>
      </x:c>
      <x:c r="J10" s="36" t="str">
        <x:v>P1</x:v>
      </x:c>
      <x:c r="K10" s="36" t="str">
        <x:v>전체</x:v>
      </x:c>
      <x:c r="L10" s="36" t="str">
        <x:v>부분</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TC-AUD-006-01</x:v>
      </x:c>
      <x:c r="B11" s="36" t="str">
        <x:v>AUD-006</x:v>
      </x:c>
      <x:c r="C11" s="36" t="str">
        <x:v>오디오·보이스 채팅</x:v>
      </x:c>
      <x:c r="D11" s="36" t="str">
        <x:v>정상 시나리오: 밤 관찰·밤 투표 완전 음소거</x:v>
      </x:c>
      <x:c r="E11" s="36" t="str">
        <x:v>밤 시작 이벤트를 서버 기준으로 모든 송신 채널에 적용하고 PTT, 오픈 마이크, 재접속, 장치 전환 상황에서도 송수신할 수 없다.</x:v>
      </x:c>
      <x:c r="F11" s="36" t="str">
        <x:v>대상 기능이 포함된 MVP 빌드, 필요한 테스트 계정·룸 설정·로그 접근 권한을 준비한다.</x:v>
      </x:c>
      <x:c r="G11" s="36" t="str">
        <x:v>1. 사전 조건 상태를 구성한다.
2. 표준 설정에서 다음 테스트 대상을 실행한다: 밤 관찰·밤 투표 완전 음소거.
3. UI, 서버 상태와 로그·텔레메트리를 확인한다.
4. 필요하면 재입장 또는 재실행하여 재현성을 확인한다.</x:v>
      </x:c>
      <x:c r="H11" s="36" t="str">
        <x:v>밤 시작 이벤트를 서버 기준으로 모든 송신 채널에 적용하고 PTT, 오픈 마이크, 재접속, 장치 전환 상황에서도 송수신할 수 없다.</x:v>
      </x:c>
      <x:c r="I11" s="36" t="str">
        <x:v>보안</x:v>
      </x:c>
      <x:c r="J11" s="36" t="str">
        <x:v>P0</x:v>
      </x:c>
      <x:c r="K11" s="36" t="str">
        <x:v>전체</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TC-AUD-006-02</x:v>
      </x:c>
      <x:c r="B12" s="36" t="str">
        <x:v>AUD-006</x:v>
      </x:c>
      <x:c r="C12" s="36" t="str">
        <x:v>오디오·보이스 채팅</x:v>
      </x:c>
      <x:c r="D12" s="36" t="str">
        <x:v>예외·경계 시나리오: 밤 관찰·밤 투표 완전 음소거</x:v>
      </x:c>
      <x:c r="E12" s="36" t="str">
        <x:v>허용되지 않은 상태, 잘못된 값, 중복, 만료, 권한 부족, 연결 끊김 입력으로 데이터 손상·정보 유출·클라이언트 상태 분기가 발생하지 않는지 확인한다.</x:v>
      </x:c>
      <x:c r="F12" s="36" t="str">
        <x:v>대상 기능이 포함된 MVP 빌드와 디버그 입력, 네트워크 열화, 비정상 요청 재현 수단을 준비한다.</x:v>
      </x:c>
      <x:c r="G12" s="36" t="str">
        <x:v>1. 허용되지 않은 페이즈 또는 경계값 조건을 구성한다.
2. 밤 관찰·밤 투표 완전 음소거에 대해 중복·무효·지연·연결 끊김을 포함한 요청을 전송한다.
3. 서버 거부, 롤백, 오류 표시와 감사 로그를 확인한다.
4. 모든 클라이언트의 상태가 일치하는지 확인한다.</x:v>
      </x:c>
      <x:c r="H12" s="36" t="str">
        <x:v>요청은 사양에 따라 거부되거나 안전하게 복구되며, 중복 반영, 데이터 손실, 정보 유출 또는 진행 중단이 발생하지 않는다. 오류와 상관관계 ID가 기록된다.</x:v>
      </x:c>
      <x:c r="I12" s="36" t="str">
        <x:v>보안</x:v>
      </x:c>
      <x:c r="J12" s="36" t="str">
        <x:v>P0</x:v>
      </x:c>
      <x:c r="K12" s="36" t="str">
        <x:v>전체</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TC-AUD-007-01</x:v>
      </x:c>
      <x:c r="B13" s="36" t="str">
        <x:v>AUD-007</x:v>
      </x:c>
      <x:c r="C13" s="36" t="str">
        <x:v>오디오·보이스 채팅</x:v>
      </x:c>
      <x:c r="D13" s="36" t="str">
        <x:v>정상 시나리오: 페이즈별 채널·발언권 제어</x:v>
      </x:c>
      <x:c r="E13" s="36" t="str">
        <x:v>로비, 낮, 밤, 최종 발언, 결과의 채널과 발언권을 상태표로 관리하고 지연 이벤트로 잘못된 채널에 남지 않는다.</x:v>
      </x:c>
      <x:c r="F13" s="36" t="str">
        <x:v>대상 기능이 포함된 MVP 빌드, 필요한 테스트 계정·룸 설정·로그 접근 권한을 준비한다.</x:v>
      </x:c>
      <x:c r="G13" s="36" t="str">
        <x:v>1. 사전 조건 상태를 구성한다.
2. 표준 설정에서 다음 테스트 대상을 실행한다: 페이즈별 채널·발언권 제어.
3. UI, 서버 상태와 로그·텔레메트리를 확인한다.
4. 필요하면 재입장 또는 재실행하여 재현성을 확인한다.</x:v>
      </x:c>
      <x:c r="H13" s="36" t="str">
        <x:v>로비, 낮, 밤, 최종 발언, 결과의 채널과 발언권을 상태표로 관리하고 지연 이벤트로 잘못된 채널에 남지 않는다.</x:v>
      </x:c>
      <x:c r="I13" s="36" t="str">
        <x:v>네트워크</x:v>
      </x:c>
      <x:c r="J13" s="36" t="str">
        <x:v>P0</x:v>
      </x:c>
      <x:c r="K13" s="36" t="str">
        <x:v>전체</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TC-AUD-007-02</x:v>
      </x:c>
      <x:c r="B14" s="36" t="str">
        <x:v>AUD-007</x:v>
      </x:c>
      <x:c r="C14" s="36" t="str">
        <x:v>오디오·보이스 채팅</x:v>
      </x:c>
      <x:c r="D14" s="36" t="str">
        <x:v>예외·경계 시나리오: 페이즈별 채널·발언권 제어</x:v>
      </x:c>
      <x:c r="E14" s="36" t="str">
        <x:v>허용되지 않은 상태, 잘못된 값, 중복, 만료, 권한 부족, 연결 끊김 입력으로 데이터 손상·정보 유출·클라이언트 상태 분기가 발생하지 않는지 확인한다.</x:v>
      </x:c>
      <x:c r="F14" s="36" t="str">
        <x:v>대상 기능이 포함된 MVP 빌드와 디버그 입력, 네트워크 열화, 비정상 요청 재현 수단을 준비한다.</x:v>
      </x:c>
      <x:c r="G14" s="36" t="str">
        <x:v>1. 허용되지 않은 페이즈 또는 경계값 조건을 구성한다.
2. 페이즈별 채널·발언권 제어에 대해 중복·무효·지연·연결 끊김을 포함한 요청을 전송한다.
3. 서버 거부, 롤백, 오류 표시와 감사 로그를 확인한다.
4. 모든 클라이언트의 상태가 일치하는지 확인한다.</x:v>
      </x:c>
      <x:c r="H14" s="36" t="str">
        <x:v>요청은 사양에 따라 거부되거나 안전하게 복구되며, 중복 반영, 데이터 손실, 정보 유출 또는 진행 중단이 발생하지 않는다. 오류와 상관관계 ID가 기록된다.</x:v>
      </x:c>
      <x:c r="I14" s="36" t="str">
        <x:v>네트워크</x:v>
      </x:c>
      <x:c r="J14" s="36" t="str">
        <x:v>P0</x:v>
      </x:c>
      <x:c r="K14" s="36" t="str">
        <x:v>전체</x:v>
      </x:c>
      <x:c r="L14" s="36" t="str">
        <x:v>예</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TC-AUD-008-01</x:v>
      </x:c>
      <x:c r="B15" s="36" t="str">
        <x:v>AUD-008</x:v>
      </x:c>
      <x:c r="C15" s="36" t="str">
        <x:v>오디오·보이스 채팅</x:v>
      </x:c>
      <x:c r="D15" s="36" t="str">
        <x:v>정상 시나리오: 최종 발언자만 송신 허용</x:v>
      </x:c>
      <x:c r="E15" s="36" t="str">
        <x:v>서버가 지정한 플레이어 1명만 송신하고 다른 플레이어는 수신만 한다. 시간 종료, 연결 끊김, 건너뛰기 시 다음 발언자로 안전하게 전환한다.</x:v>
      </x:c>
      <x:c r="F15" s="36" t="str">
        <x:v>대상 기능이 포함된 MVP 빌드, 필요한 테스트 계정·룸 설정·로그 접근 권한을 준비한다.</x:v>
      </x:c>
      <x:c r="G15" s="36" t="str">
        <x:v>1. 사전 조건 상태를 구성한다.
2. 표준 설정에서 다음 테스트 대상을 실행한다: 최종 발언자만 송신 허용.
3. UI, 서버 상태와 로그·텔레메트리를 확인한다.
4. 필요하면 재입장 또는 재실행하여 재현성을 확인한다.</x:v>
      </x:c>
      <x:c r="H15" s="36" t="str">
        <x:v>서버가 지정한 플레이어 1명만 송신하고 다른 플레이어는 수신만 한다. 시간 종료, 연결 끊김, 건너뛰기 시 다음 발언자로 안전하게 전환한다.</x:v>
      </x:c>
      <x:c r="I15" s="36" t="str">
        <x:v>보안</x:v>
      </x:c>
      <x:c r="J15" s="36" t="str">
        <x:v>P0</x:v>
      </x:c>
      <x:c r="K15" s="36" t="str">
        <x:v>전체</x:v>
      </x:c>
      <x:c r="L15" s="36" t="str">
        <x:v>예</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TC-AUD-008-02</x:v>
      </x:c>
      <x:c r="B16" s="36" t="str">
        <x:v>AUD-008</x:v>
      </x:c>
      <x:c r="C16" s="36" t="str">
        <x:v>오디오·보이스 채팅</x:v>
      </x:c>
      <x:c r="D16" s="36" t="str">
        <x:v>예외·경계 시나리오: 최종 발언자만 송신 허용</x:v>
      </x:c>
      <x:c r="E16" s="36" t="str">
        <x:v>허용되지 않은 상태, 잘못된 값, 중복, 만료, 권한 부족, 연결 끊김 입력으로 데이터 손상·정보 유출·클라이언트 상태 분기가 발생하지 않는지 확인한다.</x:v>
      </x:c>
      <x:c r="F16" s="36" t="str">
        <x:v>대상 기능이 포함된 MVP 빌드와 디버그 입력, 네트워크 열화, 비정상 요청 재현 수단을 준비한다.</x:v>
      </x:c>
      <x:c r="G16" s="36" t="str">
        <x:v>1. 허용되지 않은 페이즈 또는 경계값 조건을 구성한다.
2. 최종 발언자만 송신 허용에 대해 중복·무효·지연·연결 끊김을 포함한 요청을 전송한다.
3. 서버 거부, 롤백, 오류 표시와 감사 로그를 확인한다.
4. 모든 클라이언트의 상태가 일치하는지 확인한다.</x:v>
      </x:c>
      <x:c r="H16" s="36" t="str">
        <x:v>요청은 사양에 따라 거부되거나 안전하게 복구되며, 중복 반영, 데이터 손실, 정보 유출 또는 진행 중단이 발생하지 않는다. 오류와 상관관계 ID가 기록된다.</x:v>
      </x:c>
      <x:c r="I16" s="36" t="str">
        <x:v>보안</x:v>
      </x:c>
      <x:c r="J16" s="36" t="str">
        <x:v>P0</x:v>
      </x:c>
      <x:c r="K16" s="36" t="str">
        <x:v>전체</x:v>
      </x:c>
      <x:c r="L16" s="36" t="str">
        <x:v>예</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TC-AUD-009-01</x:v>
      </x:c>
      <x:c r="B17" s="36" t="str">
        <x:v>AUD-009</x:v>
      </x:c>
      <x:c r="C17" s="36" t="str">
        <x:v>오디오·보이스 채팅</x:v>
      </x:c>
      <x:c r="D17" s="36" t="str">
        <x:v>정상 시나리오: 발언자·마이크 상태 표시</x:v>
      </x:c>
      <x:c r="E17" s="36" t="str">
        <x:v>발언 중, 음소거, 연결 불량, 발언 금지를 색상만이 아닌 아이콘과 텍스트로 표시하고 개인 정보 설정을 따른다.</x:v>
      </x:c>
      <x:c r="F17" s="36" t="str">
        <x:v>대상 기능이 포함된 알파 빌드, 필요한 테스트 계정·룸 설정·로그 접근 권한을 준비한다.</x:v>
      </x:c>
      <x:c r="G17" s="36" t="str">
        <x:v>1. 사전 조건 상태를 구성한다.
2. 표준 설정에서 다음 테스트 대상을 실행한다: 발언자·마이크 상태 표시.
3. UI, 서버 상태와 로그·텔레메트리를 확인한다.
4. 필요하면 재입장 또는 재실행하여 재현성을 확인한다.</x:v>
      </x:c>
      <x:c r="H17" s="36" t="str">
        <x:v>발언 중, 음소거, 연결 불량, 발언 금지를 색상만이 아닌 아이콘과 텍스트로 표시하고 개인 정보 설정을 따른다.</x:v>
      </x:c>
      <x:c r="I17" s="36" t="str">
        <x:v>접근성</x:v>
      </x:c>
      <x:c r="J17" s="36" t="str">
        <x:v>P1</x:v>
      </x:c>
      <x:c r="K17" s="36" t="str">
        <x:v>전체</x:v>
      </x:c>
      <x:c r="L17" s="36" t="str">
        <x:v>부분</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TC-AUD-010-01</x:v>
      </x:c>
      <x:c r="B18" s="36" t="str">
        <x:v>AUD-010</x:v>
      </x:c>
      <x:c r="C18" s="36" t="str">
        <x:v>오디오·보이스 채팅</x:v>
      </x:c>
      <x:c r="D18" s="36" t="str">
        <x:v>정상 시나리오: PTT·오픈 마이크·VAD</x:v>
      </x:c>
      <x:c r="E18" s="36" t="str">
        <x:v>입력 방식 전환, 감도, 노이즈 게이트, 키·버튼 충돌을 처리하고 밤 또는 발언권이 없을 때는 로컬 UI에서도 송신 불가 상태를 표시한다.</x:v>
      </x:c>
      <x:c r="F18" s="36" t="str">
        <x:v>대상 기능이 포함된 알파 빌드, 필요한 테스트 계정·룸 설정·로그 접근 권한을 준비한다.</x:v>
      </x:c>
      <x:c r="G18" s="36" t="str">
        <x:v>1. 사전 조건 상태를 구성한다.
2. 표준 설정에서 다음 테스트 대상을 실행한다: PTT·오픈 마이크·VAD.
3. UI, 서버 상태와 로그·텔레메트리를 확인한다.
4. 필요하면 재입장 또는 재실행하여 재현성을 확인한다.</x:v>
      </x:c>
      <x:c r="H18" s="36" t="str">
        <x:v>입력 방식 전환, 감도, 노이즈 게이트, 키·버튼 충돌을 처리하고 밤 또는 발언권이 없을 때는 로컬 UI에서도 송신 불가 상태를 표시한다.</x:v>
      </x:c>
      <x:c r="I18" s="36" t="str">
        <x:v>호환성</x:v>
      </x:c>
      <x:c r="J18" s="36" t="str">
        <x:v>P1</x:v>
      </x:c>
      <x:c r="K18" s="36" t="str">
        <x:v>전체</x:v>
      </x:c>
      <x:c r="L18" s="36" t="str">
        <x:v>부분</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TC-AUD-011-01</x:v>
      </x:c>
      <x:c r="B19" s="36" t="str">
        <x:v>AUD-011</x:v>
      </x:c>
      <x:c r="C19" s="36" t="str">
        <x:v>오디오·보이스 채팅</x:v>
      </x:c>
      <x:c r="D19" s="36" t="str">
        <x:v>정상 시나리오: 개별 음소거·신고 경로</x:v>
      </x:c>
      <x:c r="E19" s="36" t="str">
        <x:v>로비, 매치, 결과 화면에서 대상을 음소거·신고할 수 있고 음소거는 즉시 적용·기기 저장하며 신고에는 매치 ID와 대상 ID를 포함한다.</x:v>
      </x:c>
      <x:c r="F19" s="36" t="str">
        <x:v>대상 기능이 포함된 베타 빌드, 필요한 테스트 계정·룸 설정·로그 접근 권한을 준비한다.</x:v>
      </x:c>
      <x:c r="G19" s="36" t="str">
        <x:v>1. 사전 조건 상태를 구성한다.
2. 표준 설정에서 다음 테스트 대상을 실행한다: 개별 음소거·신고 경로.
3. UI, 서버 상태와 로그·텔레메트리를 확인한다.
4. 필요하면 재입장 또는 재실행하여 재현성을 확인한다.</x:v>
      </x:c>
      <x:c r="H19" s="36" t="str">
        <x:v>로비, 매치, 결과 화면에서 대상을 음소거·신고할 수 있고 음소거는 즉시 적용·기기 저장하며 신고에는 매치 ID와 대상 ID를 포함한다.</x:v>
      </x:c>
      <x:c r="I19" s="36" t="str">
        <x:v>운영</x:v>
      </x:c>
      <x:c r="J19" s="36" t="str">
        <x:v>P0</x:v>
      </x:c>
      <x:c r="K19" s="36" t="str">
        <x:v>전체</x:v>
      </x:c>
      <x:c r="L19" s="36" t="str">
        <x:v>부분</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TC-AUD-011-02</x:v>
      </x:c>
      <x:c r="B20" s="36" t="str">
        <x:v>AUD-011</x:v>
      </x:c>
      <x:c r="C20" s="36" t="str">
        <x:v>오디오·보이스 채팅</x:v>
      </x:c>
      <x:c r="D20" s="36" t="str">
        <x:v>예외·경계 시나리오: 개별 음소거·신고 경로</x:v>
      </x:c>
      <x:c r="E20" s="36" t="str">
        <x:v>허용되지 않은 상태, 잘못된 값, 중복, 만료, 권한 부족, 연결 끊김 입력으로 데이터 손상·정보 유출·클라이언트 상태 분기가 발생하지 않는지 확인한다.</x:v>
      </x:c>
      <x:c r="F20" s="36" t="str">
        <x:v>대상 기능이 포함된 베타 빌드와 디버그 입력, 네트워크 열화, 비정상 요청 재현 수단을 준비한다.</x:v>
      </x:c>
      <x:c r="G20" s="36" t="str">
        <x:v>1. 허용되지 않은 페이즈 또는 경계값 조건을 구성한다.
2. 개별 음소거·신고 경로에 대해 중복·무효·지연·연결 끊김을 포함한 요청을 전송한다.
3. 서버 거부, 롤백, 오류 표시와 감사 로그를 확인한다.
4. 모든 클라이언트의 상태가 일치하는지 확인한다.</x:v>
      </x:c>
      <x:c r="H20" s="36" t="str">
        <x:v>요청은 사양에 따라 거부되거나 안전하게 복구되며, 중복 반영, 데이터 손실, 정보 유출 또는 진행 중단이 발생하지 않는다. 오류와 상관관계 ID가 기록된다.</x:v>
      </x:c>
      <x:c r="I20" s="36" t="str">
        <x:v>운영</x:v>
      </x:c>
      <x:c r="J20" s="36" t="str">
        <x:v>P0</x:v>
      </x:c>
      <x:c r="K20" s="36" t="str">
        <x:v>전체</x:v>
      </x:c>
      <x:c r="L20" s="36" t="str">
        <x:v>부분</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TC-AUD-012-01</x:v>
      </x:c>
      <x:c r="B21" s="36" t="str">
        <x:v>AUD-012</x:v>
      </x:c>
      <x:c r="C21" s="36" t="str">
        <x:v>오디오·보이스 채팅</x:v>
      </x:c>
      <x:c r="D21" s="36" t="str">
        <x:v>정상 시나리오: 음성 동의·녹음·신고 증거 표시</x:v>
      </x:c>
      <x:c r="E21" s="36" t="str">
        <x:v>최초 동의, 녹음 정책, 신고 시 처리, 지역 차이를 안내하고 동의하지 않으면 음성 송수신을 시작하지 않는다.</x:v>
      </x:c>
      <x:c r="F21" s="36" t="str">
        <x:v>대상 기능이 포함된 출시 빌드, 필요한 테스트 계정·룸 설정·로그 접근 권한을 준비한다.</x:v>
      </x:c>
      <x:c r="G21" s="36" t="str">
        <x:v>1. 사전 조건 상태를 구성한다.
2. 표준 설정에서 다음 테스트 대상을 실행한다: 음성 동의·녹음·신고 증거 표시.
3. UI, 서버 상태와 로그·텔레메트리를 확인한다.
4. 필요하면 재입장 또는 재실행하여 재현성을 확인한다.</x:v>
      </x:c>
      <x:c r="H21" s="36" t="str">
        <x:v>최초 동의, 녹음 정책, 신고 시 처리, 지역 차이를 안내하고 동의하지 않으면 음성 송수신을 시작하지 않는다.</x:v>
      </x:c>
      <x:c r="I21" s="36" t="str">
        <x:v>운영</x:v>
      </x:c>
      <x:c r="J21" s="36" t="str">
        <x:v>P0</x:v>
      </x:c>
      <x:c r="K21" s="36" t="str">
        <x:v>전체</x:v>
      </x:c>
      <x:c r="L21" s="36" t="str">
        <x:v>예</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TC-AUD-012-02</x:v>
      </x:c>
      <x:c r="B22" s="36" t="str">
        <x:v>AUD-012</x:v>
      </x:c>
      <x:c r="C22" s="36" t="str">
        <x:v>오디오·보이스 채팅</x:v>
      </x:c>
      <x:c r="D22" s="36" t="str">
        <x:v>예외·경계 시나리오: 음성 동의·녹음·신고 증거 표시</x:v>
      </x:c>
      <x:c r="E22" s="36" t="str">
        <x:v>허용되지 않은 상태, 잘못된 값, 중복, 만료, 권한 부족, 연결 끊김 입력으로 데이터 손상·정보 유출·클라이언트 상태 분기가 발생하지 않는지 확인한다.</x:v>
      </x:c>
      <x:c r="F22" s="36" t="str">
        <x:v>대상 기능이 포함된 출시 빌드와 디버그 입력, 네트워크 열화, 비정상 요청 재현 수단을 준비한다.</x:v>
      </x:c>
      <x:c r="G22" s="36" t="str">
        <x:v>1. 허용되지 않은 페이즈 또는 경계값 조건을 구성한다.
2. 음성 동의·녹음·신고 증거 표시에 대해 중복·무효·지연·연결 끊김을 포함한 요청을 전송한다.
3. 서버 거부, 롤백, 오류 표시와 감사 로그를 확인한다.
4. 모든 클라이언트의 상태가 일치하는지 확인한다.</x:v>
      </x:c>
      <x:c r="H22" s="36" t="str">
        <x:v>요청은 사양에 따라 거부되거나 안전하게 복구되며, 중복 반영, 데이터 손실, 정보 유출 또는 진행 중단이 발생하지 않는다. 오류와 상관관계 ID가 기록된다.</x:v>
      </x:c>
      <x:c r="I22" s="36" t="str">
        <x:v>운영</x:v>
      </x:c>
      <x:c r="J22" s="36" t="str">
        <x:v>P0</x:v>
      </x:c>
      <x:c r="K22" s="36" t="str">
        <x:v>전체</x:v>
      </x:c>
      <x:c r="L22" s="36" t="str">
        <x:v>예</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TC-AUD-013-01</x:v>
      </x:c>
      <x:c r="B23" s="36" t="str">
        <x:v>AUD-013</x:v>
      </x:c>
      <x:c r="C23" s="36" t="str">
        <x:v>오디오·보이스 채팅</x:v>
      </x:c>
      <x:c r="D23" s="36" t="str">
        <x:v>정상 시나리오: 패킷 손실·지터·대역폭 음성 적응</x:v>
      </x:c>
      <x:c r="E23" s="36" t="str">
        <x:v>네트워크 열화 시 음질을 단계적으로 조절하고 게임 동기화 대역폭을 압박하지 않으며 품질 저하 상태는 본인에게만 적절히 표시한다.</x:v>
      </x:c>
      <x:c r="F23" s="36" t="str">
        <x:v>대상 기능이 포함된 알파 빌드, 필요한 테스트 계정·룸 설정·로그 접근 권한을 준비한다.</x:v>
      </x:c>
      <x:c r="G23" s="36" t="str">
        <x:v>1. 사전 조건 상태를 구성한다.
2. 표준 설정에서 다음 테스트 대상을 실행한다: 패킷 손실·지터·대역폭 음성 적응.
3. UI, 서버 상태와 로그·텔레메트리를 확인한다.
4. 필요하면 재입장 또는 재실행하여 재현성을 확인한다.</x:v>
      </x:c>
      <x:c r="H23" s="36" t="str">
        <x:v>네트워크 열화 시 음질을 단계적으로 조절하고 게임 동기화 대역폭을 압박하지 않으며 품질 저하 상태는 본인에게만 적절히 표시한다.</x:v>
      </x:c>
      <x:c r="I23" s="36" t="str">
        <x:v>네트워크</x:v>
      </x:c>
      <x:c r="J23" s="36" t="str">
        <x:v>P0</x:v>
      </x:c>
      <x:c r="K23" s="36" t="str">
        <x:v>전체</x:v>
      </x:c>
      <x:c r="L23" s="36" t="str">
        <x:v>부분</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TC-AUD-013-02</x:v>
      </x:c>
      <x:c r="B24" s="36" t="str">
        <x:v>AUD-013</x:v>
      </x:c>
      <x:c r="C24" s="36" t="str">
        <x:v>오디오·보이스 채팅</x:v>
      </x:c>
      <x:c r="D24" s="36" t="str">
        <x:v>예외·경계 시나리오: 패킷 손실·지터·대역폭 음성 적응</x:v>
      </x:c>
      <x:c r="E24" s="36" t="str">
        <x:v>허용되지 않은 상태, 잘못된 값, 중복, 만료, 권한 부족, 연결 끊김 입력으로 데이터 손상·정보 유출·클라이언트 상태 분기가 발생하지 않는지 확인한다.</x:v>
      </x:c>
      <x:c r="F24" s="36" t="str">
        <x:v>대상 기능이 포함된 알파 빌드와 디버그 입력, 네트워크 열화, 비정상 요청 재현 수단을 준비한다.</x:v>
      </x:c>
      <x:c r="G24" s="36" t="str">
        <x:v>1. 허용되지 않은 페이즈 또는 경계값 조건을 구성한다.
2. 패킷 손실·지터·대역폭 음성 적응에 대해 중복·무효·지연·연결 끊김을 포함한 요청을 전송한다.
3. 서버 거부, 롤백, 오류 표시와 감사 로그를 확인한다.
4. 모든 클라이언트의 상태가 일치하는지 확인한다.</x:v>
      </x:c>
      <x:c r="H24" s="36" t="str">
        <x:v>요청은 사양에 따라 거부되거나 안전하게 복구되며, 중복 반영, 데이터 손실, 정보 유출 또는 진행 중단이 발생하지 않는다. 오류와 상관관계 ID가 기록된다.</x:v>
      </x:c>
      <x:c r="I24" s="36" t="str">
        <x:v>네트워크</x:v>
      </x:c>
      <x:c r="J24" s="36" t="str">
        <x:v>P0</x:v>
      </x:c>
      <x:c r="K24" s="36" t="str">
        <x:v>전체</x:v>
      </x:c>
      <x:c r="L24" s="36" t="str">
        <x:v>부분</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TC-AUD-014-01</x:v>
      </x:c>
      <x:c r="B25" s="36" t="str">
        <x:v>AUD-014</x:v>
      </x:c>
      <x:c r="C25" s="36" t="str">
        <x:v>오디오·보이스 채팅</x:v>
      </x:c>
      <x:c r="D25" s="36" t="str">
        <x:v>정상 시나리오: 저자극 오디오·중요 알림 대체</x:v>
      </x:c>
      <x:c r="E25" s="36" t="str">
        <x:v>갑작스러운 큰 소리, 과도한 저음, 반복 경고를 줄이는 설정을 제공하고 중요한 페이즈 알림은 시각 정보와 자막으로도 전달한다.</x:v>
      </x:c>
      <x:c r="F25" s="36" t="str">
        <x:v>대상 기능이 포함된 베타 빌드, 필요한 테스트 계정·룸 설정·로그 접근 권한을 준비한다.</x:v>
      </x:c>
      <x:c r="G25" s="36" t="str">
        <x:v>1. 사전 조건 상태를 구성한다.
2. 표준 설정에서 다음 테스트 대상을 실행한다: 저자극 오디오·중요 알림 대체.
3. UI, 서버 상태와 로그·텔레메트리를 확인한다.
4. 필요하면 재입장 또는 재실행하여 재현성을 확인한다.</x:v>
      </x:c>
      <x:c r="H25" s="36" t="str">
        <x:v>갑작스러운 큰 소리, 과도한 저음, 반복 경고를 줄이는 설정을 제공하고 중요한 페이즈 알림은 시각 정보와 자막으로도 전달한다.</x:v>
      </x:c>
      <x:c r="I25" s="36" t="str">
        <x:v>접근성</x:v>
      </x:c>
      <x:c r="J25" s="36" t="str">
        <x:v>P1</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TC-AUD-015-01</x:v>
      </x:c>
      <x:c r="B26" s="36" t="str">
        <x:v>AUD-015</x:v>
      </x:c>
      <x:c r="C26" s="36" t="str">
        <x:v>오디오·보이스 채팅</x:v>
      </x:c>
      <x:c r="D26" s="36" t="str">
        <x:v>정상 시나리오: 시스템 소리·방향·중요도 자막</x:v>
      </x:c>
      <x:c r="E26" s="36" t="str">
        <x:v>메모 부착, 투표 시작, 페이즈 변경, 미니게임 성공 등을 짧은 자막과 방향 정보로 표시하고 대화 자동 자막 기능과 분리한다.</x:v>
      </x:c>
      <x:c r="F26" s="36" t="str">
        <x:v>대상 기능이 포함된 베타 빌드, 필요한 테스트 계정·룸 설정·로그 접근 권한을 준비한다.</x:v>
      </x:c>
      <x:c r="G26" s="36" t="str">
        <x:v>1. 사전 조건 상태를 구성한다.
2. 표준 설정에서 다음 테스트 대상을 실행한다: 시스템 소리·방향·중요도 자막.
3. UI, 서버 상태와 로그·텔레메트리를 확인한다.
4. 필요하면 재입장 또는 재실행하여 재현성을 확인한다.</x:v>
      </x:c>
      <x:c r="H26" s="36" t="str">
        <x:v>메모 부착, 투표 시작, 페이즈 변경, 미니게임 성공 등을 짧은 자막과 방향 정보로 표시하고 대화 자동 자막 기능과 분리한다.</x:v>
      </x:c>
      <x:c r="I26" s="36" t="str">
        <x:v>접근성</x:v>
      </x:c>
      <x:c r="J26" s="36" t="str">
        <x:v>P0</x:v>
      </x:c>
      <x:c r="K26" s="36" t="str">
        <x:v>전체</x:v>
      </x:c>
      <x:c r="L26" s="36" t="str">
        <x:v>부분</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TC-AUD-015-02</x:v>
      </x:c>
      <x:c r="B27" s="36" t="str">
        <x:v>AUD-015</x:v>
      </x:c>
      <x:c r="C27" s="36" t="str">
        <x:v>오디오·보이스 채팅</x:v>
      </x:c>
      <x:c r="D27" s="36" t="str">
        <x:v>예외·경계 시나리오: 시스템 소리·방향·중요도 자막</x:v>
      </x:c>
      <x:c r="E27" s="36" t="str">
        <x:v>허용되지 않은 상태, 잘못된 값, 중복, 만료, 권한 부족, 연결 끊김 입력으로 데이터 손상·정보 유출·클라이언트 상태 분기가 발생하지 않는지 확인한다.</x:v>
      </x:c>
      <x:c r="F27" s="36" t="str">
        <x:v>대상 기능이 포함된 베타 빌드와 디버그 입력, 네트워크 열화, 비정상 요청 재현 수단을 준비한다.</x:v>
      </x:c>
      <x:c r="G27" s="36" t="str">
        <x:v>1. 허용되지 않은 페이즈 또는 경계값 조건을 구성한다.
2. 시스템 소리·방향·중요도 자막에 대해 중복·무효·지연·연결 끊김을 포함한 요청을 전송한다.
3. 서버 거부, 롤백, 오류 표시와 감사 로그를 확인한다.
4. 모든 클라이언트의 상태가 일치하는지 확인한다.</x:v>
      </x:c>
      <x:c r="H27" s="36" t="str">
        <x:v>요청은 사양에 따라 거부되거나 안전하게 복구되며, 중복 반영, 데이터 손실, 정보 유출 또는 진행 중단이 발생하지 않는다. 오류와 상관관계 ID가 기록된다.</x:v>
      </x:c>
      <x:c r="I27" s="36" t="str">
        <x:v>접근성</x:v>
      </x:c>
      <x:c r="J27" s="36" t="str">
        <x:v>P0</x:v>
      </x:c>
      <x:c r="K27" s="36" t="str">
        <x:v>전체</x:v>
      </x:c>
      <x:c r="L27" s="36" t="str">
        <x:v>부분</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TC-AUD-016-01</x:v>
      </x:c>
      <x:c r="B28" s="36" t="str">
        <x:v>AUD-016</x:v>
      </x:c>
      <x:c r="C28" s="36" t="str">
        <x:v>오디오·보이스 채팅</x:v>
      </x:c>
      <x:c r="D28" s="36" t="str">
        <x:v>정상 시나리오: 오디오 이벤트 ID·우선순위·자막 키 대장</x:v>
      </x:c>
      <x:c r="E28" s="36" t="str">
        <x:v>모든 효과음, BGM, UI 이벤트에 고유 ID, 발생 조건, 버스, 우선순위, 최대 동시 재생 수, 자막 키, 반복 여부, 담당자를 정의한다.</x:v>
      </x:c>
      <x:c r="F28" s="36" t="str">
        <x:v>대상 기능이 포함된 MVP 빌드, 필요한 테스트 계정·룸 설정·로그 접근 권한을 준비한다.</x:v>
      </x:c>
      <x:c r="G28" s="36" t="str">
        <x:v>1. 사전 조건 상태를 구성한다.
2. 표준 설정에서 다음 테스트 대상을 실행한다: 오디오 이벤트 ID·우선순위·자막 키 대장.
3. UI, 서버 상태와 로그·텔레메트리를 확인한다.
4. 필요하면 재입장 또는 재실행하여 재현성을 확인한다.</x:v>
      </x:c>
      <x:c r="H28" s="36" t="str">
        <x:v>모든 효과음, BGM, UI 이벤트에 고유 ID, 발생 조건, 버스, 우선순위, 최대 동시 재생 수, 자막 키, 반복 여부, 담당자를 정의한다.</x:v>
      </x:c>
      <x:c r="I28" s="36" t="str">
        <x:v>운영</x:v>
      </x:c>
      <x:c r="J28" s="36" t="str">
        <x:v>P0</x:v>
      </x:c>
      <x:c r="K28" s="36" t="str">
        <x:v>도구</x:v>
      </x:c>
      <x:c r="L28" s="36" t="str">
        <x:v>예</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TC-AUD-016-02</x:v>
      </x:c>
      <x:c r="B29" s="36" t="str">
        <x:v>AUD-016</x:v>
      </x:c>
      <x:c r="C29" s="36" t="str">
        <x:v>오디오·보이스 채팅</x:v>
      </x:c>
      <x:c r="D29" s="36" t="str">
        <x:v>예외·경계 시나리오: 오디오 이벤트 ID·우선순위·자막 키 대장</x:v>
      </x:c>
      <x:c r="E29" s="36" t="str">
        <x:v>허용되지 않은 상태, 잘못된 값, 중복, 만료, 권한 부족, 연결 끊김 입력으로 데이터 손상·정보 유출·클라이언트 상태 분기가 발생하지 않는지 확인한다.</x:v>
      </x:c>
      <x:c r="F29" s="36" t="str">
        <x:v>대상 기능이 포함된 MVP 빌드와 디버그 입력, 네트워크 열화, 비정상 요청 재현 수단을 준비한다.</x:v>
      </x:c>
      <x:c r="G29" s="36" t="str">
        <x:v>1. 허용되지 않은 페이즈 또는 경계값 조건을 구성한다.
2. 오디오 이벤트 ID·우선순위·자막 키 대장에 대해 중복·무효·지연·연결 끊김을 포함한 요청을 전송한다.
3. 서버 거부, 롤백, 오류 표시와 감사 로그를 확인한다.
4. 모든 클라이언트의 상태가 일치하는지 확인한다.</x:v>
      </x:c>
      <x:c r="H29" s="36" t="str">
        <x:v>요청은 사양에 따라 거부되거나 안전하게 복구되며, 중복 반영, 데이터 손실, 정보 유출 또는 진행 중단이 발생하지 않는다. 오류와 상관관계 ID가 기록된다.</x:v>
      </x:c>
      <x:c r="I29" s="36" t="str">
        <x:v>운영</x:v>
      </x:c>
      <x:c r="J29" s="36" t="str">
        <x:v>P0</x:v>
      </x:c>
      <x:c r="K29" s="36" t="str">
        <x:v>도구</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TC-AUD-017-01</x:v>
      </x:c>
      <x:c r="B30" s="36" t="str">
        <x:v>AUD-017</x:v>
      </x:c>
      <x:c r="C30" s="36" t="str">
        <x:v>오디오·보이스 채팅</x:v>
      </x:c>
      <x:c r="D30" s="36" t="str">
        <x:v>정상 시나리오: 메모 작성·부착·실패 효과음</x:v>
      </x:c>
      <x:c r="E30" s="36" t="str">
        <x:v>주변 플레이어가 부착 행동을 인지할 수 있지만 원거리에서 색상, 내용, 성공 여부를 확정할 정도의 과도한 소리를 사용하지 않는다. 본인 보유 수 갱신은 별도 UI음으로 구분한다.</x:v>
      </x:c>
      <x:c r="F30" s="36" t="str">
        <x:v>대상 기능이 포함된 MVP 빌드, 필요한 테스트 계정·룸 설정·로그 접근 권한을 준비한다.</x:v>
      </x:c>
      <x:c r="G30" s="36" t="str">
        <x:v>1. 사전 조건 상태를 구성한다.
2. 표준 설정에서 다음 테스트 대상을 실행한다: 메모 작성·부착·실패 효과음.
3. UI, 서버 상태와 로그·텔레메트리를 확인한다.
4. 필요하면 재입장 또는 재실행하여 재현성을 확인한다.</x:v>
      </x:c>
      <x:c r="H30" s="36" t="str">
        <x:v>주변 플레이어가 부착 행동을 인지할 수 있지만 원거리에서 색상, 내용, 성공 여부를 확정할 정도의 과도한 소리를 사용하지 않는다. 본인 보유 수 갱신은 별도 UI음으로 구분한다.</x:v>
      </x:c>
      <x:c r="I30" s="36" t="str">
        <x:v>밸런스</x:v>
      </x:c>
      <x:c r="J30" s="36" t="str">
        <x:v>P1</x:v>
      </x:c>
      <x:c r="K30" s="36" t="str">
        <x:v>전체</x:v>
      </x:c>
      <x:c r="L30" s="36" t="str">
        <x:v>부분</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TC-AUD-018-01</x:v>
      </x:c>
      <x:c r="B31" s="36" t="str">
        <x:v>AUD-018</x:v>
      </x:c>
      <x:c r="C31" s="36" t="str">
        <x:v>오디오·보이스 채팅</x:v>
      </x:c>
      <x:c r="D31" s="36" t="str">
        <x:v>정상 시나리오: 미니게임 공통·개별 효과음</x:v>
      </x:c>
      <x:c r="E31" s="36" t="str">
        <x:v>시작, 입력, 정답, 오답, 성공, 실패에 즉각적인 피드백을 제공하되 음성 대화를 과도하게 가리지 않는 음량과 주파수 대역을 사용한다.</x:v>
      </x:c>
      <x:c r="F31" s="36" t="str">
        <x:v>대상 기능이 포함된 MVP 빌드, 필요한 테스트 계정·룸 설정·로그 접근 권한을 준비한다.</x:v>
      </x:c>
      <x:c r="G31" s="36" t="str">
        <x:v>1. 사전 조건 상태를 구성한다.
2. 표준 설정에서 다음 테스트 대상을 실행한다: 미니게임 공통·개별 효과음.
3. UI, 서버 상태와 로그·텔레메트리를 확인한다.
4. 필요하면 재입장 또는 재실행하여 재현성을 확인한다.</x:v>
      </x:c>
      <x:c r="H31" s="36" t="str">
        <x:v>시작, 입력, 정답, 오답, 성공, 실패에 즉각적인 피드백을 제공하되 음성 대화를 과도하게 가리지 않는 음량과 주파수 대역을 사용한다.</x:v>
      </x:c>
      <x:c r="I31" s="36" t="str">
        <x:v>사용성</x:v>
      </x:c>
      <x:c r="J31" s="36" t="str">
        <x:v>P1</x:v>
      </x:c>
      <x:c r="K31" s="36" t="str">
        <x:v>전체</x:v>
      </x:c>
      <x:c r="L31" s="36" t="str">
        <x:v>부분</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TC-AUD-019-01</x:v>
      </x:c>
      <x:c r="B32" s="36" t="str">
        <x:v>AUD-019</x:v>
      </x:c>
      <x:c r="C32" s="36" t="str">
        <x:v>오디오·보이스 채팅</x:v>
      </x:c>
      <x:c r="D32" s="36" t="str">
        <x:v>정상 시나리오: 낮·밤·최종 재판·결과 음악 전환</x:v>
      </x:c>
      <x:c r="E32" s="36" t="str">
        <x:v>페이즈 변경을 인지할 수 있지만 밤 시작 전에 역할이나 승패를 암시하지 않으며 반복, 교차 페이드, 재접속 복귀 위치를 정의한다.</x:v>
      </x:c>
      <x:c r="F32" s="36" t="str">
        <x:v>대상 기능이 포함된 MVP 빌드, 필요한 테스트 계정·룸 설정·로그 접근 권한을 준비한다.</x:v>
      </x:c>
      <x:c r="G32" s="36" t="str">
        <x:v>1. 사전 조건 상태를 구성한다.
2. 표준 설정에서 다음 테스트 대상을 실행한다: 낮·밤·최종 재판·결과 음악 전환.
3. UI, 서버 상태와 로그·텔레메트리를 확인한다.
4. 필요하면 재입장 또는 재실행하여 재현성을 확인한다.</x:v>
      </x:c>
      <x:c r="H32" s="36" t="str">
        <x:v>페이즈 변경을 인지할 수 있지만 밤 시작 전에 역할이나 승패를 암시하지 않으며 반복, 교차 페이드, 재접속 복귀 위치를 정의한다.</x:v>
      </x:c>
      <x:c r="I32" s="36" t="str">
        <x:v>기능</x:v>
      </x:c>
      <x:c r="J32" s="36" t="str">
        <x:v>P1</x:v>
      </x:c>
      <x:c r="K32" s="36" t="str">
        <x:v>전체</x:v>
      </x:c>
      <x:c r="L32" s="36" t="str">
        <x:v>부분</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TC-AUD-020-01</x:v>
      </x:c>
      <x:c r="B33" s="36" t="str">
        <x:v>AUD-020</x:v>
      </x:c>
      <x:c r="C33" s="36" t="str">
        <x:v>오디오·보이스 채팅</x:v>
      </x:c>
      <x:c r="D33" s="36" t="str">
        <x:v>정상 시나리오: 마피아·조수 비밀 통신 채널</x:v>
      </x:c>
      <x:c r="E33" s="36" t="str">
        <x:v>조수 규칙이 켜졌을 때만 두 대상에게 채널을 열고 마피아 추방 후에도 정책에 따라 유지한다. 다른 플레이어, 관전자, 일반 로그에 내용이 유출되지 않는다.</x:v>
      </x:c>
      <x:c r="F33" s="36" t="str">
        <x:v>대상 기능이 포함된 출시 후 빌드, 필요한 테스트 계정·룸 설정·로그 접근 권한을 준비한다.</x:v>
      </x:c>
      <x:c r="G33" s="36" t="str">
        <x:v>1. 사전 조건 상태를 구성한다.
2. 표준 설정에서 다음 테스트 대상을 실행한다: 마피아·조수 비밀 통신 채널.
3. UI, 서버 상태와 로그·텔레메트리를 확인한다.
4. 필요하면 재입장 또는 재실행하여 재현성을 확인한다.</x:v>
      </x:c>
      <x:c r="H33" s="36" t="str">
        <x:v>조수 규칙이 켜졌을 때만 두 대상에게 채널을 열고 마피아 추방 후에도 정책에 따라 유지한다. 다른 플레이어, 관전자, 일반 로그에 내용이 유출되지 않는다.</x:v>
      </x:c>
      <x:c r="I33" s="36" t="str">
        <x:v>보안</x:v>
      </x:c>
      <x:c r="J33" s="36" t="str">
        <x:v>P3</x:v>
      </x:c>
      <x:c r="K33" s="36" t="str">
        <x:v>전체</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TC-AUD-021-01</x:v>
      </x:c>
      <x:c r="B34" s="36" t="str">
        <x:v>AUD-021</x:v>
      </x:c>
      <x:c r="C34" s="36" t="str">
        <x:v>오디오·보이스 채팅</x:v>
      </x:c>
      <x:c r="D34" s="36" t="str">
        <x:v>정상 시나리오: 음성·자막·UI 문구 현지화</x:v>
      </x:c>
      <x:c r="E34" s="36" t="str">
        <x:v>자막 키, 음성 교체, 언어 대체 처리, 문맥 주석, 길이 제한을 관리하고 언어 변경 시 재시작이 필요한 범위를 명확히 한다.</x:v>
      </x:c>
      <x:c r="F34" s="36" t="str">
        <x:v>대상 기능이 포함된 베타 빌드, 필요한 테스트 계정·룸 설정·로그 접근 권한을 준비한다.</x:v>
      </x:c>
      <x:c r="G34" s="36" t="str">
        <x:v>1. 사전 조건 상태를 구성한다.
2. 표준 설정에서 다음 테스트 대상을 실행한다: 음성·자막·UI 문구 현지화.
3. UI, 서버 상태와 로그·텔레메트리를 확인한다.
4. 필요하면 재입장 또는 재실행하여 재현성을 확인한다.</x:v>
      </x:c>
      <x:c r="H34" s="36" t="str">
        <x:v>자막 키, 음성 교체, 언어 대체 처리, 문맥 주석, 길이 제한을 관리하고 언어 변경 시 재시작이 필요한 범위를 명확히 한다.</x:v>
      </x:c>
      <x:c r="I34" s="36" t="str">
        <x:v>현지화</x:v>
      </x:c>
      <x:c r="J34" s="36" t="str">
        <x:v>P1</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TC-AUD-022-01</x:v>
      </x:c>
      <x:c r="B35" s="36" t="str">
        <x:v>AUD-022</x:v>
      </x:c>
      <x:c r="C35" s="36" t="str">
        <x:v>오디오·보이스 채팅</x:v>
      </x:c>
      <x:c r="D35" s="36" t="str">
        <x:v>정상 시나리오: 6인 음성·효과음 최대 부하·메모리 예산</x:v>
      </x:c>
      <x:c r="E35" s="36" t="str">
        <x:v>전원 발언, 다중 효과음, 미니게임, 최대 메모 표시 조건에서 CPU, 메모리, 대역폭, 음 끊김이 목표 기준 안에 들어온다.</x:v>
      </x:c>
      <x:c r="F35" s="36" t="str">
        <x:v>대상 기능이 포함된 릴리스 후보 빌드, 필요한 테스트 계정·룸 설정·로그 접근 권한을 준비한다.</x:v>
      </x:c>
      <x:c r="G35" s="36" t="str">
        <x:v>1. 사전 조건 상태를 구성한다.
2. 표준 설정에서 다음 테스트 대상을 실행한다: 6인 음성·효과음 최대 부하·메모리 예산.
3. UI, 서버 상태와 로그·텔레메트리를 확인한다.
4. 필요하면 재입장 또는 재실행하여 재현성을 확인한다.</x:v>
      </x:c>
      <x:c r="H35" s="36" t="str">
        <x:v>전원 발언, 다중 효과음, 미니게임, 최대 메모 표시 조건에서 CPU, 메모리, 대역폭, 음 끊김이 목표 기준 안에 들어온다.</x:v>
      </x:c>
      <x:c r="I35" s="36" t="str">
        <x:v>성능</x:v>
      </x:c>
      <x:c r="J35" s="36" t="str">
        <x:v>P0</x:v>
      </x:c>
      <x:c r="K35" s="36" t="str">
        <x:v>전체</x:v>
      </x:c>
      <x:c r="L35" s="36" t="str">
        <x:v>부분</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TC-AUD-022-02</x:v>
      </x:c>
      <x:c r="B36" s="36" t="str">
        <x:v>AUD-022</x:v>
      </x:c>
      <x:c r="C36" s="36" t="str">
        <x:v>오디오·보이스 채팅</x:v>
      </x:c>
      <x:c r="D36" s="36" t="str">
        <x:v>예외·경계 시나리오: 6인 음성·효과음 최대 부하·메모리 예산</x:v>
      </x:c>
      <x:c r="E36" s="36" t="str">
        <x:v>허용되지 않은 상태, 잘못된 값, 중복, 만료, 권한 부족, 연결 끊김 입력으로 데이터 손상·정보 유출·클라이언트 상태 분기가 발생하지 않는지 확인한다.</x:v>
      </x:c>
      <x:c r="F36" s="36" t="str">
        <x:v>대상 기능이 포함된 릴리스 후보 빌드와 디버그 입력, 네트워크 열화, 비정상 요청 재현 수단을 준비한다.</x:v>
      </x:c>
      <x:c r="G36" s="36" t="str">
        <x:v>1. 허용되지 않은 페이즈 또는 경계값 조건을 구성한다.
2. 6인 음성·효과음 최대 부하·메모리 예산에 대해 중복·무효·지연·연결 끊김을 포함한 요청을 전송한다.
3. 서버 거부, 롤백, 오류 표시와 감사 로그를 확인한다.
4. 모든 클라이언트의 상태가 일치하는지 확인한다.</x:v>
      </x:c>
      <x:c r="H36" s="36" t="str">
        <x:v>요청은 사양에 따라 거부되거나 안전하게 복구되며, 중복 반영, 데이터 손실, 정보 유출 또는 진행 중단이 발생하지 않는다. 오류와 상관관계 ID가 기록된다.</x:v>
      </x:c>
      <x:c r="I36" s="36" t="str">
        <x:v>성능</x:v>
      </x:c>
      <x:c r="J36" s="36" t="str">
        <x:v>P0</x:v>
      </x:c>
      <x:c r="K36" s="36" t="str">
        <x:v>전체</x:v>
      </x:c>
      <x:c r="L36" s="36" t="str">
        <x:v>부분</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TC-AUD-023-01</x:v>
      </x:c>
      <x:c r="B37" s="36" t="str">
        <x:v>AUD-023</x:v>
      </x:c>
      <x:c r="C37" s="36" t="str">
        <x:v>오디오·보이스 채팅</x:v>
      </x:c>
      <x:c r="D37" s="36" t="str">
        <x:v>정상 시나리오: 플랫폼별 음성·음소거·차단 요건</x:v>
      </x:c>
      <x:c r="E37" s="36" t="str">
        <x:v>각 플랫폼의 개인정보, 보호자 설정, 시스템 음소거, 차단, 크로스플레이 음성 요건을 충족한다.</x:v>
      </x:c>
      <x:c r="F37" s="36" t="str">
        <x:v>대상 기능이 포함된 출시 빌드, 필요한 테스트 계정·룸 설정·로그 접근 권한을 준비한다.</x:v>
      </x:c>
      <x:c r="G37" s="36" t="str">
        <x:v>1. 사전 조건 상태를 구성한다.
2. 표준 설정에서 다음 테스트 대상을 실행한다: 플랫폼별 음성·음소거·차단 요건.
3. UI, 서버 상태와 로그·텔레메트리를 확인한다.
4. 필요하면 재입장 또는 재실행하여 재현성을 확인한다.</x:v>
      </x:c>
      <x:c r="H37" s="36" t="str">
        <x:v>각 플랫폼의 개인정보, 보호자 설정, 시스템 음소거, 차단, 크로스플레이 음성 요건을 충족한다.</x:v>
      </x:c>
      <x:c r="I37" s="36" t="str">
        <x:v>호환성</x:v>
      </x:c>
      <x:c r="J37" s="36" t="str">
        <x:v>P0</x:v>
      </x:c>
      <x:c r="K37" s="36" t="str">
        <x:v>전체</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TC-AUD-023-02</x:v>
      </x:c>
      <x:c r="B38" s="36" t="str">
        <x:v>AUD-023</x:v>
      </x:c>
      <x:c r="C38" s="36" t="str">
        <x:v>오디오·보이스 채팅</x:v>
      </x:c>
      <x:c r="D38" s="36" t="str">
        <x:v>예외·경계 시나리오: 플랫폼별 음성·음소거·차단 요건</x:v>
      </x:c>
      <x:c r="E38" s="36" t="str">
        <x:v>허용되지 않은 상태, 잘못된 값, 중복, 만료, 권한 부족, 연결 끊김 입력으로 데이터 손상·정보 유출·클라이언트 상태 분기가 발생하지 않는지 확인한다.</x:v>
      </x:c>
      <x:c r="F38" s="36" t="str">
        <x:v>대상 기능이 포함된 출시 빌드와 디버그 입력, 네트워크 열화, 비정상 요청 재현 수단을 준비한다.</x:v>
      </x:c>
      <x:c r="G38" s="36" t="str">
        <x:v>1. 허용되지 않은 페이즈 또는 경계값 조건을 구성한다.
2. 플랫폼별 음성·음소거·차단 요건에 대해 중복·무효·지연·연결 끊김을 포함한 요청을 전송한다.
3. 서버 거부, 롤백, 오류 표시와 감사 로그를 확인한다.
4. 모든 클라이언트의 상태가 일치하는지 확인한다.</x:v>
      </x:c>
      <x:c r="H38" s="36" t="str">
        <x:v>요청은 사양에 따라 거부되거나 안전하게 복구되며, 중복 반영, 데이터 손실, 정보 유출 또는 진행 중단이 발생하지 않는다. 오류와 상관관계 ID가 기록된다.</x:v>
      </x:c>
      <x:c r="I38" s="36" t="str">
        <x:v>호환성</x:v>
      </x:c>
      <x:c r="J38" s="36" t="str">
        <x:v>P0</x:v>
      </x:c>
      <x:c r="K38" s="36" t="str">
        <x:v>전체</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TC-AUD-024-01</x:v>
      </x:c>
      <x:c r="B39" s="36" t="str">
        <x:v>AUD-024</x:v>
      </x:c>
      <x:c r="C39" s="36" t="str">
        <x:v>오디오·보이스 채팅</x:v>
      </x:c>
      <x:c r="D39" s="36" t="str">
        <x:v>정상 시나리오: 맵별 음성 감쇠·차폐 리뷰</x:v>
      </x:c>
      <x:c r="E39" s="36" t="str">
        <x:v>모든 주요 방, 문, 통로, 중앙 관찰 구역에서 거리와 차폐를 측정하고 대화 도달 범위가 게임 디자인 의도와 일치한다.</x:v>
      </x:c>
      <x:c r="F39" s="36" t="str">
        <x:v>대상 기능이 포함된 알파 빌드, 필요한 테스트 계정·룸 설정·로그 접근 권한을 준비한다.</x:v>
      </x:c>
      <x:c r="G39" s="36" t="str">
        <x:v>1. 사전 조건 상태를 구성한다.
2. 표준 설정에서 다음 테스트 대상을 실행한다: 맵별 음성 감쇠·차폐 리뷰.
3. UI, 서버 상태와 로그·텔레메트리를 확인한다.
4. 필요하면 재입장 또는 재실행하여 재현성을 확인한다.</x:v>
      </x:c>
      <x:c r="H39" s="36" t="str">
        <x:v>모든 주요 방, 문, 통로, 중앙 관찰 구역에서 거리와 차폐를 측정하고 대화 도달 범위가 게임 디자인 의도와 일치한다.</x:v>
      </x:c>
      <x:c r="I39" s="36" t="str">
        <x:v>사용성</x:v>
      </x:c>
      <x:c r="J39" s="36" t="str">
        <x:v>P0</x:v>
      </x:c>
      <x:c r="K39" s="36" t="str">
        <x:v>전체</x:v>
      </x:c>
      <x:c r="L39" s="36" t="str">
        <x:v>부분</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TC-AUD-024-02</x:v>
      </x:c>
      <x:c r="B40" s="36" t="str">
        <x:v>AUD-024</x:v>
      </x:c>
      <x:c r="C40" s="36" t="str">
        <x:v>오디오·보이스 채팅</x:v>
      </x:c>
      <x:c r="D40" s="36" t="str">
        <x:v>예외·경계 시나리오: 맵별 음성 감쇠·차폐 리뷰</x:v>
      </x:c>
      <x:c r="E40" s="36" t="str">
        <x:v>허용되지 않은 상태, 잘못된 값, 중복, 만료, 권한 부족, 연결 끊김 입력으로 데이터 손상·정보 유출·클라이언트 상태 분기가 발생하지 않는지 확인한다.</x:v>
      </x:c>
      <x:c r="F40" s="36" t="str">
        <x:v>대상 기능이 포함된 알파 빌드와 디버그 입력, 네트워크 열화, 비정상 요청 재현 수단을 준비한다.</x:v>
      </x:c>
      <x:c r="G40" s="36" t="str">
        <x:v>1. 허용되지 않은 페이즈 또는 경계값 조건을 구성한다.
2. 맵별 음성 감쇠·차폐 리뷰에 대해 중복·무효·지연·연결 끊김을 포함한 요청을 전송한다.
3. 서버 거부, 롤백, 오류 표시와 감사 로그를 확인한다.
4. 모든 클라이언트의 상태가 일치하는지 확인한다.</x:v>
      </x:c>
      <x:c r="H40" s="36" t="str">
        <x:v>요청은 사양에 따라 거부되거나 안전하게 복구되며, 중복 반영, 데이터 손실, 정보 유출 또는 진행 중단이 발생하지 않는다. 오류와 상관관계 ID가 기록된다.</x:v>
      </x:c>
      <x:c r="I40" s="36" t="str">
        <x:v>사용성</x:v>
      </x:c>
      <x:c r="J40" s="36" t="str">
        <x:v>P0</x:v>
      </x:c>
      <x:c r="K40" s="36" t="str">
        <x:v>전체</x:v>
      </x:c>
      <x:c r="L40" s="36" t="str">
        <x:v>부분</x:v>
      </x:c>
      <x:c r="M40" s="36" t="str">
        <x:v>미실시</x:v>
      </x:c>
      <x:c r="N40" s="36" t="str">
        <x:v>미정</x:v>
      </x:c>
      <x:c r="O40" s="36" t="str">
        <x:v>미정</x:v>
      </x:c>
      <x:c r="P40" s="36"/>
      <x:c r="Q40" s="36"/>
      <x:c r="R40" s="44" t="str">
        <x:v>2026-07-10</x:v>
      </x:c>
      <x:c r="S40" s="36"/>
      <x:c r="T40" s="54"/>
      <x:c r="U40" s="54"/>
      <x:c r="V40" s="53" t="str">
        <x:v>착수 전</x:v>
      </x:c>
    </x:row>
  </x:sheetData>
  <x:conditionalFormatting sqref="M2:M40">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40">
    <x:cfRule type="expression" dxfId="16" priority="7">
      <x:formula>J2="P0"</x:formula>
    </x:cfRule>
    <x:cfRule type="expression" dxfId="17" priority="8">
      <x:formula>J2="P1"</x:formula>
    </x:cfRule>
  </x:conditionalFormatting>
  <x:conditionalFormatting sqref="V2:V40">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40">
      <x:formula1>"기능,통합,경계값,네트워크,보안,성능,호환성,사용성,접근성,현지화,밸런스,운영,안전,부하"</x:formula1>
    </x:dataValidation>
    <x:dataValidation type="list" sqref="J2:J40">
      <x:formula1>"P0,P1,P2,P3"</x:formula1>
    </x:dataValidation>
    <x:dataValidation type="list" sqref="L2:L40">
      <x:formula1>"예,아니요,부분"</x:formula1>
    </x:dataValidation>
    <x:dataValidation type="list" sqref="M2:M40">
      <x:formula1>"미실시,진행 중,통과,실패,차단,대상 제외"</x:formula1>
    </x:dataValidation>
    <x:dataValidation type="list" sqref="K2:K40">
      <x:formula1>"전체,PC,콘솔,모바일,서버,백엔드,도구,웹·관리자"</x:formula1>
    </x:dataValidation>
    <x:dataValidation type="list" sqref="V2:V40">
      <x:formula1>"착수 전,작업 중,완료"</x:formula1>
    </x:dataValidation>
  </x:dataValidations>
  <x:pageMargins left="0.7" right="0.7" top="0.75" bottom="0.75" header="0.3" footer="0.3"/>
  <x:tableParts count="1">
    <x:tablePart xmlns:r="http://schemas.openxmlformats.org/officeDocument/2006/relationships" r:id="R42e403a30a4c42c7"/>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R-AUD-01</x:v>
      </x:c>
      <x:c r="B2" s="36" t="str">
        <x:v>오디오·보이스 채팅</x:v>
      </x:c>
      <x:c r="C2" s="36" t="str">
        <x:v>핵심 규칙</x:v>
      </x:c>
      <x:c r="D2" s="36" t="str">
        <x:v>재접속이나 장치 전환으로 밤 음소거가 해제될 수 있다.</x:v>
      </x:c>
      <x:c r="E2" s="36" t="str">
        <x:v>클라이언트에서만 음성 권한을 제어함</x:v>
      </x:c>
      <x:c r="F2" s="36" t="str">
        <x:v>게임 규칙 훼손</x:v>
      </x:c>
      <x:c r="G2" s="36" t="str">
        <x:v>중간</x:v>
      </x:c>
      <x:c r="H2" s="36" t="str">
        <x:v>높음</x:v>
      </x:c>
      <x:c r="I2" s="36" t="n">
        <x:f>IF(G2="높음",3,IF(G2="중간",2,1))*IF(H2="높음",3,IF(H2="중간",2,1))</x:f>
        <x:v>6</x:v>
      </x:c>
      <x:c r="J2" s="36" t="str">
        <x:v>오디오·온라인 리드</x:v>
      </x:c>
      <x:c r="K2" s="36" t="str">
        <x:v>서버 발언권과 페이즈 경계 시험을 적용한다.</x:v>
      </x:c>
      <x:c r="L2" s="36" t="str">
        <x:v>음성 채널을 강제로 재연결한다.</x:v>
      </x:c>
      <x:c r="M2" s="36" t="str">
        <x:v>미대응</x:v>
      </x:c>
      <x:c r="N2" s="36" t="str">
        <x:v>AUD-006,AUD-007</x:v>
      </x:c>
      <x:c r="O2" s="44" t="str">
        <x:v>미정</x:v>
      </x:c>
      <x:c r="P2" s="36"/>
    </x:row>
    <x:row r="3" ht="42" customHeight="1">
      <x:c r="A3" s="36" t="str">
        <x:v>R-AUD-02</x:v>
      </x:c>
      <x:c r="B3" s="36" t="str">
        <x:v>오디오·보이스 채팅</x:v>
      </x:c>
      <x:c r="C3" s="36" t="str">
        <x:v>개인정보</x:v>
      </x:c>
      <x:c r="D3" s="36" t="str">
        <x:v>음성 동의 또는 녹음 표시가 지역 요건을 충족하지 못할 수 있다.</x:v>
      </x:c>
      <x:c r="E3" s="36" t="str">
        <x:v>법무 요구와 구현의 불일치</x:v>
      </x:c>
      <x:c r="F3" s="36" t="str">
        <x:v>출시 중단</x:v>
      </x:c>
      <x:c r="G3" s="36" t="str">
        <x:v>중간</x:v>
      </x:c>
      <x:c r="H3" s="36" t="str">
        <x:v>높음</x:v>
      </x:c>
      <x:c r="I3" s="36" t="n">
        <x:f>IF(G3="높음",3,IF(G3="중간",2,1))*IF(H3="높음",3,IF(H3="중간",2,1))</x:f>
        <x:v>6</x:v>
      </x:c>
      <x:c r="J3" s="36" t="str">
        <x:v>개인정보 담당</x:v>
      </x:c>
      <x:c r="K3" s="36" t="str">
        <x:v>지역별 요건표와 법무 승인을 적용한다.</x:v>
      </x:c>
      <x:c r="L3" s="36" t="str">
        <x:v>문제 지역의 음성 기능을 중지한다.</x:v>
      </x:c>
      <x:c r="M3" s="36" t="str">
        <x:v>미대응</x:v>
      </x:c>
      <x:c r="N3" s="36" t="str">
        <x:v>AUD-012,AUD-023</x:v>
      </x:c>
      <x:c r="O3" s="44" t="str">
        <x:v>미정</x:v>
      </x:c>
      <x:c r="P3" s="36"/>
    </x:row>
    <x:row r="4" ht="42" customHeight="1">
      <x:c r="A4" s="36" t="str">
        <x:v>R-AUD-03</x:v>
      </x:c>
      <x:c r="B4" s="36" t="str">
        <x:v>오디오·보이스 채팅</x:v>
      </x:c>
      <x:c r="C4" s="36" t="str">
        <x:v>품질</x:v>
      </x:c>
      <x:c r="D4" s="36" t="str">
        <x:v>근거리 음성 감쇠가 맵 설계와 맞지 않을 수 있다.</x:v>
      </x:c>
      <x:c r="E4" s="36" t="str">
        <x:v>음향 볼륨 조정 부족</x:v>
      </x:c>
      <x:c r="F4" s="36" t="str">
        <x:v>정보 전달 불균형</x:v>
      </x:c>
      <x:c r="G4" s="36" t="str">
        <x:v>중간</x:v>
      </x:c>
      <x:c r="H4" s="36" t="str">
        <x:v>중간</x:v>
      </x:c>
      <x:c r="I4" s="36" t="n">
        <x:f>IF(G4="높음",3,IF(G4="중간",2,1))*IF(H4="높음",3,IF(H4="중간",2,1))</x:f>
        <x:v>4</x:v>
      </x:c>
      <x:c r="J4" s="36" t="str">
        <x:v>오디오 리드</x:v>
      </x:c>
      <x:c r="K4" s="36" t="str">
        <x:v>맵별 음향 리뷰를 수행한다.</x:v>
      </x:c>
      <x:c r="L4" s="36" t="str">
        <x:v>감쇠 곡선을 원격 조정한다.</x:v>
      </x:c>
      <x:c r="M4" s="36" t="str">
        <x:v>미대응</x:v>
      </x:c>
      <x:c r="N4" s="36" t="str">
        <x:v>AUD-004,AUD-005,AUD-024</x:v>
      </x:c>
      <x:c r="O4" s="44" t="str">
        <x:v>미정</x:v>
      </x:c>
      <x:c r="P4" s="36"/>
    </x:row>
    <x:row r="5" ht="42" customHeight="1">
      <x:c r="A5" s="36" t="str">
        <x:v>R-AUD-04</x:v>
      </x:c>
      <x:c r="B5" s="36" t="str">
        <x:v>오디오·보이스 채팅</x:v>
      </x:c>
      <x:c r="C5" s="36" t="str">
        <x:v>성능</x:v>
      </x:c>
      <x:c r="D5" s="36" t="str">
        <x:v>전원이 발언할 때 음성 대역폭과 CPU가 게임 동기화를 압박할 수 있다.</x:v>
      </x:c>
      <x:c r="E5" s="36" t="str">
        <x:v>고정 음성 품질 설정</x:v>
      </x:c>
      <x:c r="F5" s="36" t="str">
        <x:v>연결 종료·음 끊김</x:v>
      </x:c>
      <x:c r="G5" s="36" t="str">
        <x:v>중간</x:v>
      </x:c>
      <x:c r="H5" s="36" t="str">
        <x:v>높음</x:v>
      </x:c>
      <x:c r="I5" s="36" t="n">
        <x:f>IF(G5="높음",3,IF(G5="중간",2,1))*IF(H5="높음",3,IF(H5="중간",2,1))</x:f>
        <x:v>6</x:v>
      </x:c>
      <x:c r="J5" s="36" t="str">
        <x:v>온라인 리드</x:v>
      </x:c>
      <x:c r="K5" s="36" t="str">
        <x:v>적응형 음질과 부하 시험을 적용한다.</x:v>
      </x:c>
      <x:c r="L5" s="36" t="str">
        <x:v>음질과 비트레이트를 낮춘다.</x:v>
      </x:c>
      <x:c r="M5" s="36" t="str">
        <x:v>미대응</x:v>
      </x:c>
      <x:c r="N5" s="36" t="str">
        <x:v>AUD-013,AUD-022</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8f6917318514428e"/>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D-AUD-01</x:v>
      </x:c>
      <x:c r="B2" s="36" t="str">
        <x:v>오디오·보이스 채팅</x:v>
      </x:c>
      <x:c r="C2" s="36" t="str">
        <x:v>음성 필수 여부</x:v>
      </x:c>
      <x:c r="D2" s="36" t="str">
        <x:v>음성 권한을 허용하지 않은 사용자도 온라인 매치에 참가할 수 있는가?</x:v>
      </x:c>
      <x:c r="E2" s="36" t="str">
        <x:v>A: 참가 가능 / B: 참가 불가</x:v>
      </x:c>
      <x:c r="F2" s="36" t="str">
        <x:v>참가를 허용하되 룸 조건과 경고를 표시한다.</x:v>
      </x:c>
      <x:c r="G2" s="36" t="str">
        <x:v>미정</x:v>
      </x:c>
      <x:c r="H2" s="36" t="str">
        <x:v>미정</x:v>
      </x:c>
      <x:c r="I2" s="36" t="str">
        <x:v>제품 책임자</x:v>
      </x:c>
      <x:c r="J2" s="44" t="str">
        <x:v>2026-07-31</x:v>
      </x:c>
      <x:c r="K2" s="36" t="str">
        <x:v>AUD-002,AUD-003</x:v>
      </x:c>
      <x:c r="L2" s="36" t="str">
        <x:v>접근성과 개인정보 선택권을 고려한다.</x:v>
      </x:c>
      <x:c r="M2" s="44" t="str">
        <x:v>2026-07-10</x:v>
      </x:c>
    </x:row>
    <x:row r="3" ht="42" customHeight="1">
      <x:c r="A3" s="36" t="str">
        <x:v>D-AUD-02</x:v>
      </x:c>
      <x:c r="B3" s="36" t="str">
        <x:v>오디오·보이스 채팅</x:v>
      </x:c>
      <x:c r="C3" s="36" t="str">
        <x:v>밤 음성 수신</x:v>
      </x:c>
      <x:c r="D3" s="36" t="str">
        <x:v>밤에는 송신만 막을지 송수신을 모두 막을지 결정한다.</x:v>
      </x:c>
      <x:c r="E3" s="36" t="str">
        <x:v>A: 송수신 모두 중지 / B: 송신만 중지</x:v>
      </x:c>
      <x:c r="F3" s="36" t="str">
        <x:v>송수신을 모두 중지한다.</x:v>
      </x:c>
      <x:c r="G3" s="36" t="str">
        <x:v>미정</x:v>
      </x:c>
      <x:c r="H3" s="36" t="str">
        <x:v>미정</x:v>
      </x:c>
      <x:c r="I3" s="36" t="str">
        <x:v>게임 디렉터</x:v>
      </x:c>
      <x:c r="J3" s="44" t="str">
        <x:v>2026-07-17</x:v>
      </x:c>
      <x:c r="K3" s="36" t="str">
        <x:v>AUD-006</x:v>
      </x:c>
      <x:c r="L3" s="36" t="str">
        <x:v>호흡과 반응 소리도 게임 정보가 될 수 있다.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7651a01234684b5d"/>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