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321f22dcc841d2" /></Relationships>
</file>

<file path=xl/workbook.xml><?xml version="1.0" encoding="utf-8"?>
<x:workbook xmlns:x="http://schemas.openxmlformats.org/spreadsheetml/2006/main">
  <x:sheets>
    <x:sheet xmlns:r="http://schemas.openxmlformats.org/officeDocument/2006/relationships" name="00_개요" sheetId="1" r:id="R17cacf56e7f14f88"/>
    <x:sheet xmlns:r="http://schemas.openxmlformats.org/officeDocument/2006/relationships" name="01_백로그" sheetId="2" r:id="R9370942190854589"/>
    <x:sheet xmlns:r="http://schemas.openxmlformats.org/officeDocument/2006/relationships" name="02_상태전이" sheetId="3" r:id="R3b773f86ee1141ad"/>
    <x:sheet xmlns:r="http://schemas.openxmlformats.org/officeDocument/2006/relationships" name="03_인원별_규칙" sheetId="4" r:id="R6a420bd47f194467"/>
    <x:sheet xmlns:r="http://schemas.openxmlformats.org/officeDocument/2006/relationships" name="04_승패_매트릭스" sheetId="5" r:id="Rf4f8d73899764429"/>
    <x:sheet xmlns:r="http://schemas.openxmlformats.org/officeDocument/2006/relationships" name="80_QA_케이스" sheetId="6" r:id="R8f7687ebcf2b4f88"/>
    <x:sheet xmlns:r="http://schemas.openxmlformats.org/officeDocument/2006/relationships" name="90_리스크" sheetId="7" r:id="Rdf1ec48ddd5e4728"/>
    <x:sheet xmlns:r="http://schemas.openxmlformats.org/officeDocument/2006/relationships" name="91_의사결정" sheetId="8" r:id="R6de439649a0642fc"/>
    <x:sheet xmlns:r="http://schemas.openxmlformats.org/officeDocument/2006/relationships" name="99_목록" sheetId="9" r:id="R1082a36cecee471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4472C4"/>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5196baa31a4079" /><Relationship Type="http://schemas.openxmlformats.org/officeDocument/2006/relationships/theme" Target="/xl/theme/theme1.xml" Id="R41ce55dfad8c4dea" /><Relationship Type="http://schemas.openxmlformats.org/officeDocument/2006/relationships/sharedStrings" Target="/xl/sharedStrings.xml" Id="Ra4997aca096442bc" /><Relationship Type="http://schemas.openxmlformats.org/officeDocument/2006/relationships/worksheet" Target="/xl/worksheets/sheet1.xml" Id="R17cacf56e7f14f88" /><Relationship Type="http://schemas.openxmlformats.org/officeDocument/2006/relationships/worksheet" Target="/xl/worksheets/sheet2.xml" Id="R9370942190854589" /><Relationship Type="http://schemas.openxmlformats.org/officeDocument/2006/relationships/worksheet" Target="/xl/worksheets/sheet3.xml" Id="R3b773f86ee1141ad" /><Relationship Type="http://schemas.openxmlformats.org/officeDocument/2006/relationships/worksheet" Target="/xl/worksheets/sheet4.xml" Id="R6a420bd47f194467" /><Relationship Type="http://schemas.openxmlformats.org/officeDocument/2006/relationships/worksheet" Target="/xl/worksheets/sheet5.xml" Id="Rf4f8d73899764429" /><Relationship Type="http://schemas.openxmlformats.org/officeDocument/2006/relationships/worksheet" Target="/xl/worksheets/sheet6.xml" Id="R8f7687ebcf2b4f88" /><Relationship Type="http://schemas.openxmlformats.org/officeDocument/2006/relationships/worksheet" Target="/xl/worksheets/sheet7.xml" Id="Rdf1ec48ddd5e4728" /><Relationship Type="http://schemas.openxmlformats.org/officeDocument/2006/relationships/worksheet" Target="/xl/worksheets/sheet8.xml" Id="R6de439649a0642fc" /><Relationship Type="http://schemas.openxmlformats.org/officeDocument/2006/relationships/worksheet" Target="/xl/worksheets/sheet9.xml" Id="R1082a36cecee471f"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f830a53ad547a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f830a53ad547a4"/>
        </a:graphicData>
      </a:graphic>
    </xdr:graphicFrame>
    <xdr:clientData/>
  </xdr:twoCellAnchor>
</xdr:wsDr>
</file>

<file path=xl/tables/table1.xml><?xml version="1.0" encoding="utf-8"?>
<x:table xmlns:x="http://schemas.openxmlformats.org/spreadsheetml/2006/main" id="8" name="BacklogTable" displayName="BacklogTable" ref="A1:AJ39"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IGMSpec1" displayName="IGMSpec1" ref="A1:G11" headerRowCount="1">
  <x:tableColumns count="7">
    <x:tableColumn id="1" name="시작 상태"/>
    <x:tableColumn id="2" name="발동 조건"/>
    <x:tableColumn id="3" name="다음 상태"/>
    <x:tableColumn id="4" name="서버 검증"/>
    <x:tableColumn id="5" name="클라이언트 처리"/>
    <x:tableColumn id="6" name="실패·예외 처리"/>
    <x:tableColumn id="7" name="관련 ID"/>
  </x:tableColumns>
  <x:tableStyleInfo name="TableStyleMedium2" showRowStripes="1"/>
</x:table>
</file>

<file path=xl/tables/table3.xml><?xml version="1.0" encoding="utf-8"?>
<x:table xmlns:x="http://schemas.openxmlformats.org/spreadsheetml/2006/main" id="3" name="IGMSpec2" displayName="IGMSpec2" ref="A1:K7" headerRowCount="1">
  <x:tableColumns count="11">
    <x:tableColumn id="1" name="인원"/>
    <x:tableColumn id="2" name="마피아 수"/>
    <x:tableColumn id="3" name="조수"/>
    <x:tableColumn id="4" name="낮 시간(초)"/>
    <x:tableColumn id="5" name="밤 관찰(초)"/>
    <x:tableColumn id="6" name="투표(초)"/>
    <x:tableColumn id="7" name="필요 미니게임"/>
    <x:tableColumn id="8" name="등 메모 상한"/>
    <x:tableColumn id="9" name="최종 재판 조건"/>
    <x:tableColumn id="10" name="범위"/>
    <x:tableColumn id="11" name="비고"/>
  </x:tableColumns>
  <x:tableStyleInfo name="TableStyleMedium2" showRowStripes="1"/>
</x:table>
</file>

<file path=xl/tables/table4.xml><?xml version="1.0" encoding="utf-8"?>
<x:table xmlns:x="http://schemas.openxmlformats.org/spreadsheetml/2006/main" id="4" name="IGMSpec3" displayName="IGMSpec3" ref="A1:F5" headerRowCount="1">
  <x:tableColumns count="6">
    <x:tableColumn id="1" name="상황"/>
    <x:tableColumn id="2" name="조수 꺼짐"/>
    <x:tableColumn id="3" name="조수 켜짐"/>
    <x:tableColumn id="4" name="판정 시점"/>
    <x:tableColumn id="5" name="관련 ID"/>
    <x:tableColumn id="6" name="비고"/>
  </x:tableColumns>
  <x:tableStyleInfo name="TableStyleMedium2" showRowStripes="1"/>
</x:table>
</file>

<file path=xl/tables/table5.xml><?xml version="1.0" encoding="utf-8"?>
<x:table xmlns:x="http://schemas.openxmlformats.org/spreadsheetml/2006/main" id="9" name="QACasesTable" displayName="QACasesTable" ref="A1:V71"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4"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7f89237e54e4435" /></Relationships>
</file>

<file path=xl/worksheets/_rels/sheet2.xml.rels>&#65279;<?xml version="1.0" encoding="utf-8"?><Relationships xmlns="http://schemas.openxmlformats.org/package/2006/relationships"><Relationship Type="http://schemas.openxmlformats.org/officeDocument/2006/relationships/table" Target="/xl/tables/table1.xml" Id="R16744d6275b84775" /></Relationships>
</file>

<file path=xl/worksheets/_rels/sheet3.xml.rels>&#65279;<?xml version="1.0" encoding="utf-8"?><Relationships xmlns="http://schemas.openxmlformats.org/package/2006/relationships"><Relationship Type="http://schemas.openxmlformats.org/officeDocument/2006/relationships/table" Target="/xl/tables/table2.xml" Id="R2303aeb199af4e8e" /></Relationships>
</file>

<file path=xl/worksheets/_rels/sheet4.xml.rels>&#65279;<?xml version="1.0" encoding="utf-8"?><Relationships xmlns="http://schemas.openxmlformats.org/package/2006/relationships"><Relationship Type="http://schemas.openxmlformats.org/officeDocument/2006/relationships/table" Target="/xl/tables/table3.xml" Id="R3acfab50512b4a80" /></Relationships>
</file>

<file path=xl/worksheets/_rels/sheet5.xml.rels>&#65279;<?xml version="1.0" encoding="utf-8"?><Relationships xmlns="http://schemas.openxmlformats.org/package/2006/relationships"><Relationship Type="http://schemas.openxmlformats.org/officeDocument/2006/relationships/table" Target="/xl/tables/table4.xml" Id="Rf63df4ad383c4e39" /></Relationships>
</file>

<file path=xl/worksheets/_rels/sheet6.xml.rels>&#65279;<?xml version="1.0" encoding="utf-8"?><Relationships xmlns="http://schemas.openxmlformats.org/package/2006/relationships"><Relationship Type="http://schemas.openxmlformats.org/officeDocument/2006/relationships/table" Target="/xl/tables/table5.xml" Id="R8eeba7d036a24bab" /></Relationships>
</file>

<file path=xl/worksheets/_rels/sheet7.xml.rels>&#65279;<?xml version="1.0" encoding="utf-8"?><Relationships xmlns="http://schemas.openxmlformats.org/package/2006/relationships"><Relationship Type="http://schemas.openxmlformats.org/officeDocument/2006/relationships/table" Target="/xl/tables/table6.xml" Id="R8b0f0e25abcc437e" /></Relationships>
</file>

<file path=xl/worksheets/_rels/sheet8.xml.rels>&#65279;<?xml version="1.0" encoding="utf-8"?><Relationships xmlns="http://schemas.openxmlformats.org/package/2006/relationships"><Relationship Type="http://schemas.openxmlformats.org/officeDocument/2006/relationships/table" Target="/xl/tables/table7.xml" Id="Rb52a870b00394a32"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인게임·게임플레이 구현 관리대장</x:v>
      </x:c>
      <x:c r="B1" s="5"/>
      <x:c r="C1" s="5"/>
      <x:c r="D1" s="5"/>
      <x:c r="E1" s="5"/>
      <x:c r="F1" s="5"/>
      <x:c r="G1" s="5"/>
      <x:c r="H1" s="5"/>
    </x:row>
    <x:row r="2" ht="28" customHeight="1">
      <x:c r="A2" s="13" t="str">
        <x:v>버전 2.0-ko / 갱신일 2026-07-10 / 담당 부문: 게임플레이 엔지니어링</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COUNTA('01_백로그'!A2:A39)</x:f>
        <x:v>38</x:v>
      </x:c>
      <x:c r="C5" s="27" t="str">
        <x:v>백로그 전체 수</x:v>
      </x:c>
      <x:c r="D5" s="27"/>
      <x:c r="E5" s="27" t="str">
        <x:v>미착수</x:v>
      </x:c>
      <x:c r="F5" s="27" t="n">
        <x:f>COUNTIF('01_백로그'!U2:U39,E5)</x:f>
        <x:v>38</x:v>
      </x:c>
      <x:c r="G5" s="28" t="n">
        <x:f>IFERROR(F5/$B$5,0)</x:f>
        <x:v>1</x:v>
      </x:c>
      <x:c r="H5" s="27"/>
    </x:row>
    <x:row r="6">
      <x:c r="A6" s="27" t="str">
        <x:v>MVP 작업</x:v>
      </x:c>
      <x:c r="B6" s="27" t="n">
        <x:f>COUNTIF('01_백로그'!I2:I39,"MVP")</x:f>
        <x:v>31</x:v>
      </x:c>
      <x:c r="C6" s="27" t="str">
        <x:v>MVP 범위</x:v>
      </x:c>
      <x:c r="D6" s="27"/>
      <x:c r="E6" s="27" t="str">
        <x:v>사양 확인 중</x:v>
      </x:c>
      <x:c r="F6" s="27" t="n">
        <x:f>COUNTIF('01_백로그'!U2:U39,E6)</x:f>
        <x:v>0</x:v>
      </x:c>
      <x:c r="G6" s="28" t="n">
        <x:f>IFERROR(F6/$B$5,0)</x:f>
        <x:v>0</x:v>
      </x:c>
      <x:c r="H6" s="27"/>
    </x:row>
    <x:row r="7">
      <x:c r="A7" s="27" t="str">
        <x:v>P0 미완료</x:v>
      </x:c>
      <x:c r="B7" s="27" t="n">
        <x:f>COUNTIFS('01_백로그'!J2:J39,"P0",'01_백로그'!U2:U39,"&lt;&gt;완료")</x:f>
        <x:v>32</x:v>
      </x:c>
      <x:c r="C7" s="27" t="str">
        <x:v>P0이며 완료되지 않은 항목</x:v>
      </x:c>
      <x:c r="D7" s="27"/>
      <x:c r="E7" s="27" t="str">
        <x:v>구현 중</x:v>
      </x:c>
      <x:c r="F7" s="27" t="n">
        <x:f>COUNTIF('01_백로그'!U2:U39,E7)</x:f>
        <x:v>0</x:v>
      </x:c>
      <x:c r="G7" s="28" t="n">
        <x:f>IFERROR(F7/$B$5,0)</x:f>
        <x:v>0</x:v>
      </x:c>
      <x:c r="H7" s="27"/>
    </x:row>
    <x:row r="8">
      <x:c r="A8" s="27" t="str">
        <x:v>차단</x:v>
      </x:c>
      <x:c r="B8" s="27" t="n">
        <x:f>COUNTIF('01_백로그'!U2:U39,"차단")</x:f>
        <x:v>0</x:v>
      </x:c>
      <x:c r="C8" s="27" t="str">
        <x:v>현재 진행을 막는 항목</x:v>
      </x:c>
      <x:c r="D8" s="27"/>
      <x:c r="E8" s="27" t="str">
        <x:v>코드 리뷰</x:v>
      </x:c>
      <x:c r="F8" s="27" t="n">
        <x:f>COUNTIF('01_백로그'!U2:U39,E8)</x:f>
        <x:v>0</x:v>
      </x:c>
      <x:c r="G8" s="28" t="n">
        <x:f>IFERROR(F8/$B$5,0)</x:f>
        <x:v>0</x:v>
      </x:c>
      <x:c r="H8" s="27"/>
    </x:row>
    <x:row r="9">
      <x:c r="A9" s="27" t="str">
        <x:v>완료</x:v>
      </x:c>
      <x:c r="B9" s="27" t="n">
        <x:f>COUNTIF('01_백로그'!U2:U39,"완료")</x:f>
        <x:v>0</x:v>
      </x:c>
      <x:c r="C9" s="27" t="str">
        <x:v>완료 정의·QA·증빙 충족</x:v>
      </x:c>
      <x:c r="D9" s="27"/>
      <x:c r="E9" s="27" t="str">
        <x:v>QA 진행 중</x:v>
      </x:c>
      <x:c r="F9" s="27" t="n">
        <x:f>COUNTIF('01_백로그'!U2:U39,E9)</x:f>
        <x:v>0</x:v>
      </x:c>
      <x:c r="G9" s="28" t="n">
        <x:f>IFERROR(F9/$B$5,0)</x:f>
        <x:v>0</x:v>
      </x:c>
      <x:c r="H9" s="27"/>
    </x:row>
    <x:row r="10">
      <x:c r="A10" s="27" t="str">
        <x:v>평균 진행률</x:v>
      </x:c>
      <x:c r="B10" s="28" t="n">
        <x:f>IFERROR(AVERAGE('01_백로그'!V2:V39),0)</x:f>
        <x:v>0</x:v>
      </x:c>
      <x:c r="C10" s="27" t="str">
        <x:v>상태별 진행률 환산 평균</x:v>
      </x:c>
      <x:c r="D10" s="27"/>
      <x:c r="E10" s="27" t="str">
        <x:v>차단</x:v>
      </x:c>
      <x:c r="F10" s="27" t="n">
        <x:f>COUNTIF('01_백로그'!U2:U39,E10)</x:f>
        <x:v>0</x:v>
      </x:c>
      <x:c r="G10" s="28" t="n">
        <x:f>IFERROR(F10/$B$5,0)</x:f>
        <x:v>0</x:v>
      </x:c>
      <x:c r="H10" s="27"/>
    </x:row>
    <x:row r="11">
      <x:c r="A11" s="27" t="str">
        <x:v>QA 합격률</x:v>
      </x:c>
      <x:c r="B11" s="28" t="n">
        <x:f>IFERROR(COUNTIF('80_QA_케이스'!M2:M71,"합격")/COUNTIF('80_QA_케이스'!M2:M71,"&lt;&gt;대상 제외"),0)</x:f>
        <x:v>0</x:v>
      </x:c>
      <x:c r="C11" s="27" t="str">
        <x:v>대상 QA 중 통과 비율</x:v>
      </x:c>
      <x:c r="D11" s="27"/>
      <x:c r="E11" s="27" t="str">
        <x:v>완료</x:v>
      </x:c>
      <x:c r="F11" s="27" t="n">
        <x:f>COUNTIF('01_백로그'!U2:U39,E11)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COUNTIF('01_백로그'!U2:U39,E12)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57f89237e54e4435"/>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IGM-001</x:v>
      </x:c>
      <x:c r="B2" s="36" t="str">
        <x:v>인게임·게임플레이</x:v>
      </x:c>
      <x:c r="C2" s="36" t="str">
        <x:v>게임 세션</x:v>
      </x:c>
      <x:c r="D2" s="36" t="str">
        <x:v>매치 상태</x:v>
      </x:c>
      <x:c r="E2" s="36" t="str">
        <x:v>서버 권한 기반 매치 상태 머신</x:v>
      </x:c>
      <x:c r="F2" s="36" t="str">
        <x:v>게임 규칙, 운영 요구사항과 대상 플랫폼 제약을 충족하도록 서버 권한 기반 매치 상태 머신 기능을 구현하고 검증한다.</x:v>
      </x:c>
      <x:c r="G2" s="36" t="str">
        <x:v>로비→역할 공개→낮→밤 관찰→밤 투표→결과 또는 최종 재판의 상태 전이가 서버에서 단일하게 결정되고, 모든 클라이언트가 동일한 상태와 남은 시간을 표시한다.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핵심 규칙</x:v>
      </x:c>
      <x:c r="M2" s="36" t="str">
        <x:v>MVP</x:v>
      </x:c>
      <x:c r="N2" s="36" t="str">
        <x:v>게임플레이 엔지니어링</x:v>
      </x:c>
      <x:c r="O2" s="36" t="str">
        <x:v>미정</x:v>
      </x:c>
      <x:c r="P2" s="36" t="str">
        <x:v>미정</x:v>
      </x:c>
      <x:c r="Q2" s="36" t="str">
        <x:v>전체</x:v>
      </x:c>
      <x:c r="R2" s="36" t="str">
        <x:v>서버 권한</x:v>
      </x:c>
      <x:c r="S2" s="36" t="str">
        <x:v>세션</x:v>
      </x:c>
      <x:c r="T2" s="36" t="str">
        <x:v>L</x:v>
      </x:c>
      <x:c r="U2" s="36" t="str">
        <x:v>미착수</x:v>
      </x:c>
      <x:c r="V2" s="46" t="n">
        <x:f>IF(U2="완료",1,IF(U2="QA 진행 중",0.8,IF(U2="코드 리뷰",0.65,IF(U2="구현 중",0.4,IF(U2="사양 확인 중",0.1,IF(U2="차단",0.4,0))))))</x:f>
        <x:v>0</x:v>
      </x:c>
      <x:c r="W2" s="36" t="str">
        <x:v>미정</x:v>
      </x:c>
      <x:c r="X2" s="44"/>
      <x:c r="Y2" s="36"/>
      <x:c r="Z2" s="36" t="str">
        <x:v>중간</x:v>
      </x:c>
      <x:c r="AA2" s="36" t="str">
        <x:v>통합</x:v>
      </x:c>
      <x:c r="AB2" s="36" t="str">
        <x:v>TC-IGM-001-01, TC-IGM-001-02</x:v>
      </x:c>
      <x:c r="AC2" s="36"/>
      <x:c r="AD2" s="36" t="str">
        <x:v>게임 기획서</x:v>
      </x:c>
      <x:c r="AE2" s="36"/>
      <x:c r="AF2" s="44" t="str">
        <x:v>2026-07-10</x:v>
      </x:c>
      <x:c r="AG2" s="36"/>
      <x:c r="AH2" s="54"/>
      <x:c r="AI2" s="54"/>
      <x:c r="AJ2" s="53" t="str">
        <x:v>착수 전</x:v>
      </x:c>
    </x:row>
    <x:row r="3" ht="42" customHeight="1">
      <x:c r="A3" s="36" t="str">
        <x:v>IGM-002</x:v>
      </x:c>
      <x:c r="B3" s="36" t="str">
        <x:v>인게임·게임플레이</x:v>
      </x:c>
      <x:c r="C3" s="36" t="str">
        <x:v>역할 시스템</x:v>
      </x:c>
      <x:c r="D3" s="36" t="str">
        <x:v>배정</x:v>
      </x:c>
      <x:c r="E3" s="36" t="str">
        <x:v>시민·마피아 비밀 역할 배정</x:v>
      </x:c>
      <x:c r="F3" s="36" t="str">
        <x:v>게임 규칙, 운영 요구사항과 대상 플랫폼 제약을 충족하도록 시민·마피아 비밀 역할 배정 기능을 구현하고 검증한다.</x:v>
      </x:c>
      <x:c r="G3" s="36" t="str">
        <x:v>기본 구성인 4~6명·마피아 1명에서 역할이 중복 없이 배정되며, 본인을 제외한 클라이언트로 역할 정보가 전송되지 않는다.</x:v>
      </x:c>
      <x:c r="H3" s="36" t="str">
        <x:v>구현, 코드 리뷰, 사양 갱신, 대상 QA 케이스 실행, 로그·텔레메트리 확인과 관련 플랫폼 검증을 완료하고 미해결 P0·P1 결함이 없다.</x:v>
      </x:c>
      <x:c r="I3" s="36" t="str">
        <x:v>MVP</x:v>
      </x:c>
      <x:c r="J3" s="36" t="str">
        <x:v>P0</x:v>
      </x:c>
      <x:c r="K3" s="36" t="str">
        <x:v>필수</x:v>
      </x:c>
      <x:c r="L3" s="36" t="str">
        <x:v>정보 비공개</x:v>
      </x:c>
      <x:c r="M3" s="36" t="str">
        <x:v>MVP</x:v>
      </x:c>
      <x:c r="N3" s="36" t="str">
        <x:v>게임플레이 엔지니어링</x:v>
      </x:c>
      <x:c r="O3" s="36" t="str">
        <x:v>미정</x:v>
      </x:c>
      <x:c r="P3" s="36" t="str">
        <x:v>미정</x:v>
      </x:c>
      <x:c r="Q3" s="36" t="str">
        <x:v>전체</x:v>
      </x:c>
      <x:c r="R3" s="36" t="str">
        <x:v>서버 권한</x:v>
      </x:c>
      <x:c r="S3" s="36" t="str">
        <x:v>세션</x:v>
      </x:c>
      <x:c r="T3" s="36" t="str">
        <x:v>M</x:v>
      </x:c>
      <x:c r="U3" s="36" t="str">
        <x:v>미착수</x:v>
      </x:c>
      <x:c r="V3" s="46" t="n">
        <x:f>IF(U3="완료",1,IF(U3="QA 진행 중",0.8,IF(U3="코드 리뷰",0.65,IF(U3="구현 중",0.4,IF(U3="사양 확인 중",0.1,IF(U3="차단",0.4,0))))))</x:f>
        <x:v>0</x:v>
      </x:c>
      <x:c r="W3" s="36" t="str">
        <x:v>미정</x:v>
      </x:c>
      <x:c r="X3" s="44"/>
      <x:c r="Y3" s="36" t="str">
        <x:v>IGM-001</x:v>
      </x:c>
      <x:c r="Z3" s="36" t="str">
        <x:v>중간</x:v>
      </x:c>
      <x:c r="AA3" s="36" t="str">
        <x:v>보안</x:v>
      </x:c>
      <x:c r="AB3" s="36" t="str">
        <x:v>TC-IGM-002-01, TC-IGM-002-02</x:v>
      </x:c>
      <x:c r="AC3" s="36"/>
      <x:c r="AD3" s="36" t="str">
        <x:v>게임 기획서</x:v>
      </x:c>
      <x:c r="AE3" s="36"/>
      <x:c r="AF3" s="44" t="str">
        <x:v>2026-07-10</x:v>
      </x:c>
      <x:c r="AG3" s="36"/>
      <x:c r="AH3" s="54"/>
      <x:c r="AI3" s="54"/>
      <x:c r="AJ3" s="53" t="str">
        <x:v>착수 전</x:v>
      </x:c>
    </x:row>
    <x:row r="4" ht="42" customHeight="1">
      <x:c r="A4" s="36" t="str">
        <x:v>IGM-003</x:v>
      </x:c>
      <x:c r="B4" s="36" t="str">
        <x:v>인게임·게임플레이</x:v>
      </x:c>
      <x:c r="C4" s="36" t="str">
        <x:v>플레이어 식별</x:v>
      </x:c>
      <x:c r="D4" s="36" t="str">
        <x:v>색상 할당</x:v>
      </x:c>
      <x:c r="E4" s="36" t="str">
        <x:v>플레이어 고유 색상 일관 적용</x:v>
      </x:c>
      <x:c r="F4" s="36" t="str">
        <x:v>게임 규칙, 운영 요구사항과 대상 플랫폼 제약을 충족하도록 플레이어 고유 색상 일관 적용 기능을 구현하고 검증한다.</x:v>
      </x:c>
      <x:c r="G4" s="36" t="str">
        <x:v>각 참가자에게 중복되지 않는 색상을 할당하고 캐릭터, 이름표, LED, 메모 규칙, 투표 UI가 동일한 색상 ID를 참조한다.</x:v>
      </x:c>
      <x:c r="H4" s="36" t="str">
        <x:v>구현, 코드 리뷰, 사양 갱신, 대상 QA 케이스 실행, 로그·텔레메트리 확인과 관련 플랫폼 검증을 완료하고 미해결 P0·P1 결함이 없다.</x:v>
      </x:c>
      <x:c r="I4" s="36" t="str">
        <x:v>MVP</x:v>
      </x:c>
      <x:c r="J4" s="36" t="str">
        <x:v>P0</x:v>
      </x:c>
      <x:c r="K4" s="36" t="str">
        <x:v>필수</x:v>
      </x:c>
      <x:c r="L4" s="36" t="str">
        <x:v>핵심 규칙</x:v>
      </x:c>
      <x:c r="M4" s="36" t="str">
        <x:v>MVP</x:v>
      </x:c>
      <x:c r="N4" s="36" t="str">
        <x:v>게임플레이 엔지니어링</x:v>
      </x:c>
      <x:c r="O4" s="36" t="str">
        <x:v>미정</x:v>
      </x:c>
      <x:c r="P4" s="36" t="str">
        <x:v>미정</x:v>
      </x:c>
      <x:c r="Q4" s="36" t="str">
        <x:v>전체</x:v>
      </x:c>
      <x:c r="R4" s="36" t="str">
        <x:v>서버 권한</x:v>
      </x:c>
      <x:c r="S4" s="36" t="str">
        <x:v>세션</x:v>
      </x:c>
      <x:c r="T4" s="36" t="str">
        <x:v>M</x:v>
      </x:c>
      <x:c r="U4" s="36" t="str">
        <x:v>미착수</x:v>
      </x:c>
      <x:c r="V4" s="46" t="n">
        <x:f>IF(U4="완료",1,IF(U4="QA 진행 중",0.8,IF(U4="코드 리뷰",0.65,IF(U4="구현 중",0.4,IF(U4="사양 확인 중",0.1,IF(U4="차단",0.4,0))))))</x:f>
        <x:v>0</x:v>
      </x:c>
      <x:c r="W4" s="36" t="str">
        <x:v>미정</x:v>
      </x:c>
      <x:c r="X4" s="44"/>
      <x:c r="Y4" s="36" t="str">
        <x:v>ONL-009</x:v>
      </x:c>
      <x:c r="Z4" s="36" t="str">
        <x:v>중간</x:v>
      </x:c>
      <x:c r="AA4" s="36" t="str">
        <x:v>통합</x:v>
      </x:c>
      <x:c r="AB4" s="36" t="str">
        <x:v>TC-IGM-003-01, TC-IGM-003-02</x:v>
      </x:c>
      <x:c r="AC4" s="36"/>
      <x:c r="AD4" s="36" t="str">
        <x:v>게임 기획서 §7 / 캐릭터 사양서 §5</x:v>
      </x:c>
      <x:c r="AE4" s="36"/>
      <x:c r="AF4" s="44" t="str">
        <x:v>2026-07-10</x:v>
      </x:c>
      <x:c r="AG4" s="36"/>
      <x:c r="AH4" s="54"/>
      <x:c r="AI4" s="54"/>
      <x:c r="AJ4" s="53" t="str">
        <x:v>착수 전</x:v>
      </x:c>
    </x:row>
    <x:row r="5" ht="42" customHeight="1">
      <x:c r="A5" s="36" t="str">
        <x:v>IGM-004</x:v>
      </x:c>
      <x:c r="B5" s="36" t="str">
        <x:v>인게임·게임플레이</x:v>
      </x:c>
      <x:c r="C5" s="36" t="str">
        <x:v>페이즈 규칙</x:v>
      </x:c>
      <x:c r="D5" s="36" t="str">
        <x:v>낮 페이즈</x:v>
      </x:c>
      <x:c r="E5" s="36" t="str">
        <x:v>낮 페이즈 시작·종료·타이머</x:v>
      </x:c>
      <x:c r="F5" s="36" t="str">
        <x:v>게임 규칙, 운영 요구사항과 대상 플랫폼 제약을 충족하도록 낮 페이즈 시작·종료·타이머 기능을 구현하고 검증한다.</x:v>
      </x:c>
      <x:c r="G5" s="36" t="str">
        <x:v>낮은 기본 180초로 시작하며 남은 시간이 0초가 되면 신규 메모 부착과 미니게임 시작을 거부한 뒤 안전하게 밤으로 전환한다.</x:v>
      </x:c>
      <x:c r="H5" s="36" t="str">
        <x:v>구현, 코드 리뷰, 사양 갱신, 대상 QA 케이스 실행, 로그·텔레메트리 확인과 관련 플랫폼 검증을 완료하고 미해결 P0·P1 결함이 없다.</x:v>
      </x:c>
      <x:c r="I5" s="36" t="str">
        <x:v>MVP</x:v>
      </x:c>
      <x:c r="J5" s="36" t="str">
        <x:v>P0</x:v>
      </x:c>
      <x:c r="K5" s="36" t="str">
        <x:v>필수</x:v>
      </x:c>
      <x:c r="L5" s="36" t="str">
        <x:v>핵심 규칙</x:v>
      </x:c>
      <x:c r="M5" s="36" t="str">
        <x:v>MVP</x:v>
      </x:c>
      <x:c r="N5" s="36" t="str">
        <x:v>게임플레이 엔지니어링</x:v>
      </x:c>
      <x:c r="O5" s="36" t="str">
        <x:v>미정</x:v>
      </x:c>
      <x:c r="P5" s="36" t="str">
        <x:v>미정</x:v>
      </x:c>
      <x:c r="Q5" s="36" t="str">
        <x:v>전체</x:v>
      </x:c>
      <x:c r="R5" s="36" t="str">
        <x:v>서버 권한</x:v>
      </x:c>
      <x:c r="S5" s="36" t="str">
        <x:v>세션</x:v>
      </x:c>
      <x:c r="T5" s="36" t="str">
        <x:v>M</x:v>
      </x:c>
      <x:c r="U5" s="36" t="str">
        <x:v>미착수</x:v>
      </x:c>
      <x:c r="V5" s="46" t="n">
        <x:f>IF(U5="완료",1,IF(U5="QA 진행 중",0.8,IF(U5="코드 리뷰",0.65,IF(U5="구현 중",0.4,IF(U5="사양 확인 중",0.1,IF(U5="차단",0.4,0))))))</x:f>
        <x:v>0</x:v>
      </x:c>
      <x:c r="W5" s="36" t="str">
        <x:v>미정</x:v>
      </x:c>
      <x:c r="X5" s="44"/>
      <x:c r="Y5" s="36" t="str">
        <x:v>IGM-001</x:v>
      </x:c>
      <x:c r="Z5" s="36" t="str">
        <x:v>중간</x:v>
      </x:c>
      <x:c r="AA5" s="36" t="str">
        <x:v>경계값</x:v>
      </x:c>
      <x:c r="AB5" s="36" t="str">
        <x:v>TC-IGM-004-01, TC-IGM-004-02</x:v>
      </x:c>
      <x:c r="AC5" s="36"/>
      <x:c r="AD5" s="36" t="str">
        <x:v>게임 기획서</x:v>
      </x:c>
      <x:c r="AE5" s="36"/>
      <x:c r="AF5" s="44" t="str">
        <x:v>2026-07-10</x:v>
      </x:c>
      <x:c r="AG5" s="36"/>
      <x:c r="AH5" s="54"/>
      <x:c r="AI5" s="54"/>
      <x:c r="AJ5" s="53" t="str">
        <x:v>착수 전</x:v>
      </x:c>
    </x:row>
    <x:row r="6" ht="42" customHeight="1">
      <x:c r="A6" s="36" t="str">
        <x:v>IGM-005</x:v>
      </x:c>
      <x:c r="B6" s="36" t="str">
        <x:v>인게임·게임플레이</x:v>
      </x:c>
      <x:c r="C6" s="36" t="str">
        <x:v>페이즈 규칙</x:v>
      </x:c>
      <x:c r="D6" s="36" t="str">
        <x:v>낮 페이즈</x:v>
      </x:c>
      <x:c r="E6" s="36" t="str">
        <x:v>낮 페이즈 행동 허용 제어</x:v>
      </x:c>
      <x:c r="F6" s="36" t="str">
        <x:v>게임 규칙, 운영 요구사항과 대상 플랫폼 제약을 충족하도록 낮 페이즈 행동 허용 제어 기능을 구현하고 검증한다.</x:v>
      </x:c>
      <x:c r="G6" s="36" t="str">
        <x:v>이동, 근거리 대화, 미니게임, 메모 작성·부착은 낮에만 사용할 수 있고, 페이즈 전환 중 입력이 중복 실행되지 않는다.</x:v>
      </x:c>
      <x:c r="H6" s="36" t="str">
        <x:v>구현, 코드 리뷰, 사양 갱신, 대상 QA 케이스 실행, 로그·텔레메트리 확인과 관련 플랫폼 검증을 완료하고 미해결 P0·P1 결함이 없다.</x:v>
      </x:c>
      <x:c r="I6" s="36" t="str">
        <x:v>MVP</x:v>
      </x:c>
      <x:c r="J6" s="36" t="str">
        <x:v>P0</x:v>
      </x:c>
      <x:c r="K6" s="36" t="str">
        <x:v>필수</x:v>
      </x:c>
      <x:c r="L6" s="36" t="str">
        <x:v>핵심 규칙</x:v>
      </x:c>
      <x:c r="M6" s="36" t="str">
        <x:v>MVP</x:v>
      </x:c>
      <x:c r="N6" s="36" t="str">
        <x:v>게임플레이 엔지니어링</x:v>
      </x:c>
      <x:c r="O6" s="36" t="str">
        <x:v>미정</x:v>
      </x:c>
      <x:c r="P6" s="36" t="str">
        <x:v>미정</x:v>
      </x:c>
      <x:c r="Q6" s="36" t="str">
        <x:v>전체</x:v>
      </x:c>
      <x:c r="R6" s="36" t="str">
        <x:v>서버 권한</x:v>
      </x:c>
      <x:c r="S6" s="36" t="str">
        <x:v>세션</x:v>
      </x:c>
      <x:c r="T6" s="36" t="str">
        <x:v>M</x:v>
      </x:c>
      <x:c r="U6" s="36" t="str">
        <x:v>미착수</x:v>
      </x:c>
      <x:c r="V6" s="46" t="n">
        <x:f>IF(U6="완료",1,IF(U6="QA 진행 중",0.8,IF(U6="코드 리뷰",0.65,IF(U6="구현 중",0.4,IF(U6="사양 확인 중",0.1,IF(U6="차단",0.4,0))))))</x:f>
        <x:v>0</x:v>
      </x:c>
      <x:c r="W6" s="36" t="str">
        <x:v>미정</x:v>
      </x:c>
      <x:c r="X6" s="44"/>
      <x:c r="Y6" s="36" t="str">
        <x:v>IGM-004</x:v>
      </x:c>
      <x:c r="Z6" s="36" t="str">
        <x:v>중간</x:v>
      </x:c>
      <x:c r="AA6" s="36" t="str">
        <x:v>통합</x:v>
      </x:c>
      <x:c r="AB6" s="36" t="str">
        <x:v>TC-IGM-005-01, TC-IGM-005-02</x:v>
      </x:c>
      <x:c r="AC6" s="36"/>
      <x:c r="AD6" s="36" t="str">
        <x:v>게임 기획서</x:v>
      </x:c>
      <x:c r="AE6" s="36"/>
      <x:c r="AF6" s="44" t="str">
        <x:v>2026-07-10</x:v>
      </x:c>
      <x:c r="AG6" s="36"/>
      <x:c r="AH6" s="54"/>
      <x:c r="AI6" s="54"/>
      <x:c r="AJ6" s="53" t="str">
        <x:v>착수 전</x:v>
      </x:c>
    </x:row>
    <x:row r="7" ht="42" customHeight="1">
      <x:c r="A7" s="36" t="str">
        <x:v>IGM-006</x:v>
      </x:c>
      <x:c r="B7" s="36" t="str">
        <x:v>인게임·게임플레이</x:v>
      </x:c>
      <x:c r="C7" s="36" t="str">
        <x:v>페이즈 규칙</x:v>
      </x:c>
      <x:c r="D7" s="36" t="str">
        <x:v>밤 페이즈</x:v>
      </x:c>
      <x:c r="E7" s="36" t="str">
        <x:v>밤 시작 시 중앙 집결 처리</x:v>
      </x:c>
      <x:c r="F7" s="36" t="str">
        <x:v>게임 규칙, 운영 요구사항과 대상 플랫폼 제약을 충족하도록 밤 시작 시 중앙 집결 처리 기능을 구현하고 검증한다.</x:v>
      </x:c>
      <x:c r="G7" s="36" t="str">
        <x:v>생존자만 중앙 관찰 구역으로 안전하게 이동하며 충돌, 낙하, 카메라 오류가 없고 연결이 끊긴 플레이어는 집결 대상에서 제외한다.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핵심 규칙</x:v>
      </x:c>
      <x:c r="M7" s="36" t="str">
        <x:v>MVP</x:v>
      </x:c>
      <x:c r="N7" s="36" t="str">
        <x:v>게임플레이 엔지니어링</x:v>
      </x:c>
      <x:c r="O7" s="36" t="str">
        <x:v>미정</x:v>
      </x:c>
      <x:c r="P7" s="36" t="str">
        <x:v>미정</x:v>
      </x:c>
      <x:c r="Q7" s="36" t="str">
        <x:v>전체</x:v>
      </x:c>
      <x:c r="R7" s="36" t="str">
        <x:v>서버 권한</x:v>
      </x:c>
      <x:c r="S7" s="36" t="str">
        <x:v>세션</x:v>
      </x:c>
      <x:c r="T7" s="36" t="str">
        <x:v>M</x:v>
      </x:c>
      <x:c r="U7" s="36" t="str">
        <x:v>미착수</x:v>
      </x:c>
      <x:c r="V7" s="46" t="n">
        <x:f>IF(U7="완료",1,IF(U7="QA 진행 중",0.8,IF(U7="코드 리뷰",0.65,IF(U7="구현 중",0.4,IF(U7="사양 확인 중",0.1,IF(U7="차단",0.4,0))))))</x:f>
        <x:v>0</x:v>
      </x:c>
      <x:c r="W7" s="36" t="str">
        <x:v>미정</x:v>
      </x:c>
      <x:c r="X7" s="44"/>
      <x:c r="Y7" s="36" t="str">
        <x:v>IGM-001</x:v>
      </x:c>
      <x:c r="Z7" s="36" t="str">
        <x:v>중간</x:v>
      </x:c>
      <x:c r="AA7" s="36" t="str">
        <x:v>통합</x:v>
      </x:c>
      <x:c r="AB7" s="36" t="str">
        <x:v>TC-IGM-006-01, TC-IGM-006-02</x:v>
      </x:c>
      <x:c r="AC7" s="36"/>
      <x:c r="AD7" s="36" t="str">
        <x:v>게임 기획서</x:v>
      </x:c>
      <x:c r="AE7" s="36"/>
      <x:c r="AF7" s="44" t="str">
        <x:v>2026-07-10</x:v>
      </x:c>
      <x:c r="AG7" s="36"/>
      <x:c r="AH7" s="54"/>
      <x:c r="AI7" s="54"/>
      <x:c r="AJ7" s="53" t="str">
        <x:v>착수 전</x:v>
      </x:c>
    </x:row>
    <x:row r="8" ht="42" customHeight="1">
      <x:c r="A8" s="36" t="str">
        <x:v>IGM-007</x:v>
      </x:c>
      <x:c r="B8" s="36" t="str">
        <x:v>인게임·게임플레이</x:v>
      </x:c>
      <x:c r="C8" s="36" t="str">
        <x:v>페이즈 규칙</x:v>
      </x:c>
      <x:c r="D8" s="36" t="str">
        <x:v>밤 페이즈</x:v>
      </x:c>
      <x:c r="E8" s="36" t="str">
        <x:v>밤 이동·상호작용 잠금</x:v>
      </x:c>
      <x:c r="F8" s="36" t="str">
        <x:v>게임 규칙, 운영 요구사항과 대상 플랫폼 제약을 충족하도록 밤 이동·상호작용 잠금 기능을 구현하고 검증한다.</x:v>
      </x:c>
      <x:c r="G8" s="36" t="str">
        <x:v>밤에는 지정 범위 밖 이동, 메모 조작, 미니게임, 아이템 조작, 이모트를 서버와 클라이언트 양쪽에서 모두 차단한다.</x:v>
      </x:c>
      <x:c r="H8" s="36" t="str">
        <x:v>구현, 코드 리뷰, 사양 갱신, 대상 QA 케이스 실행, 로그·텔레메트리 확인과 관련 플랫폼 검증을 완료하고 미해결 P0·P1 결함이 없다.</x:v>
      </x:c>
      <x:c r="I8" s="36" t="str">
        <x:v>MVP</x:v>
      </x:c>
      <x:c r="J8" s="36" t="str">
        <x:v>P0</x:v>
      </x:c>
      <x:c r="K8" s="36" t="str">
        <x:v>필수</x:v>
      </x:c>
      <x:c r="L8" s="36" t="str">
        <x:v>핵심 규칙</x:v>
      </x:c>
      <x:c r="M8" s="36" t="str">
        <x:v>MVP</x:v>
      </x:c>
      <x:c r="N8" s="36" t="str">
        <x:v>게임플레이 엔지니어링</x:v>
      </x:c>
      <x:c r="O8" s="36" t="str">
        <x:v>미정</x:v>
      </x:c>
      <x:c r="P8" s="36" t="str">
        <x:v>미정</x:v>
      </x:c>
      <x:c r="Q8" s="36" t="str">
        <x:v>전체</x:v>
      </x:c>
      <x:c r="R8" s="36" t="str">
        <x:v>서버 권한</x:v>
      </x:c>
      <x:c r="S8" s="36" t="str">
        <x:v>세션</x:v>
      </x:c>
      <x:c r="T8" s="36" t="str">
        <x:v>M</x:v>
      </x:c>
      <x:c r="U8" s="36" t="str">
        <x:v>미착수</x:v>
      </x:c>
      <x:c r="V8" s="46" t="n">
        <x:f>IF(U8="완료",1,IF(U8="QA 진행 중",0.8,IF(U8="코드 리뷰",0.65,IF(U8="구현 중",0.4,IF(U8="사양 확인 중",0.1,IF(U8="차단",0.4,0))))))</x:f>
        <x:v>0</x:v>
      </x:c>
      <x:c r="W8" s="36" t="str">
        <x:v>미정</x:v>
      </x:c>
      <x:c r="X8" s="44"/>
      <x:c r="Y8" s="36" t="str">
        <x:v>IGM-006</x:v>
      </x:c>
      <x:c r="Z8" s="36" t="str">
        <x:v>중간</x:v>
      </x:c>
      <x:c r="AA8" s="36" t="str">
        <x:v>보안</x:v>
      </x:c>
      <x:c r="AB8" s="36" t="str">
        <x:v>TC-IGM-007-01, TC-IGM-007-02</x:v>
      </x:c>
      <x:c r="AC8" s="36"/>
      <x:c r="AD8" s="36" t="str">
        <x:v>게임 기획서</x:v>
      </x:c>
      <x:c r="AE8" s="36"/>
      <x:c r="AF8" s="44" t="str">
        <x:v>2026-07-10</x:v>
      </x:c>
      <x:c r="AG8" s="36"/>
      <x:c r="AH8" s="54"/>
      <x:c r="AI8" s="54"/>
      <x:c r="AJ8" s="53" t="str">
        <x:v>착수 전</x:v>
      </x:c>
    </x:row>
    <x:row r="9" ht="42" customHeight="1">
      <x:c r="A9" s="36" t="str">
        <x:v>IGM-008</x:v>
      </x:c>
      <x:c r="B9" s="36" t="str">
        <x:v>인게임·게임플레이</x:v>
      </x:c>
      <x:c r="C9" s="36" t="str">
        <x:v>페이즈 규칙</x:v>
      </x:c>
      <x:c r="D9" s="36" t="str">
        <x:v>밤 페이즈</x:v>
      </x:c>
      <x:c r="E9" s="36" t="str">
        <x:v>밤 무언 관찰 시간</x:v>
      </x:c>
      <x:c r="F9" s="36" t="str">
        <x:v>게임 규칙, 운영 요구사항과 대상 플랫폼 제약을 충족하도록 밤 무언 관찰 시간 기능을 구현하고 검증한다.</x:v>
      </x:c>
      <x:c r="G9" s="36" t="str">
        <x:v>기본 25초의 관찰 시간 동안 다른 플레이어의 등 메모만 확인할 수 있으며, 투표 시작 전에는 선택을 확정할 수 없다.</x:v>
      </x:c>
      <x:c r="H9" s="36" t="str">
        <x:v>구현, 코드 리뷰, 사양 갱신, 대상 QA 케이스 실행, 로그·텔레메트리 확인과 관련 플랫폼 검증을 완료하고 미해결 P0·P1 결함이 없다.</x:v>
      </x:c>
      <x:c r="I9" s="36" t="str">
        <x:v>MVP</x:v>
      </x:c>
      <x:c r="J9" s="36" t="str">
        <x:v>P0</x:v>
      </x:c>
      <x:c r="K9" s="36" t="str">
        <x:v>필수</x:v>
      </x:c>
      <x:c r="L9" s="36" t="str">
        <x:v>핵심 규칙</x:v>
      </x:c>
      <x:c r="M9" s="36" t="str">
        <x:v>MVP</x:v>
      </x:c>
      <x:c r="N9" s="36" t="str">
        <x:v>게임플레이 엔지니어링</x:v>
      </x:c>
      <x:c r="O9" s="36" t="str">
        <x:v>미정</x:v>
      </x:c>
      <x:c r="P9" s="36" t="str">
        <x:v>미정</x:v>
      </x:c>
      <x:c r="Q9" s="36" t="str">
        <x:v>전체</x:v>
      </x:c>
      <x:c r="R9" s="36" t="str">
        <x:v>서버 권한</x:v>
      </x:c>
      <x:c r="S9" s="36" t="str">
        <x:v>세션</x:v>
      </x:c>
      <x:c r="T9" s="36" t="str">
        <x:v>M</x:v>
      </x:c>
      <x:c r="U9" s="36" t="str">
        <x:v>미착수</x:v>
      </x:c>
      <x:c r="V9" s="46" t="n">
        <x:f>IF(U9="완료",1,IF(U9="QA 진행 중",0.8,IF(U9="코드 리뷰",0.65,IF(U9="구현 중",0.4,IF(U9="사양 확인 중",0.1,IF(U9="차단",0.4,0))))))</x:f>
        <x:v>0</x:v>
      </x:c>
      <x:c r="W9" s="36" t="str">
        <x:v>미정</x:v>
      </x:c>
      <x:c r="X9" s="44"/>
      <x:c r="Y9" s="36" t="str">
        <x:v>IGM-006,AUD-006,UIX-018</x:v>
      </x:c>
      <x:c r="Z9" s="36" t="str">
        <x:v>중간</x:v>
      </x:c>
      <x:c r="AA9" s="36" t="str">
        <x:v>통합</x:v>
      </x:c>
      <x:c r="AB9" s="36" t="str">
        <x:v>TC-IGM-008-01, TC-IGM-008-02</x:v>
      </x:c>
      <x:c r="AC9" s="36"/>
      <x:c r="AD9" s="36" t="str">
        <x:v>게임 기획서</x:v>
      </x:c>
      <x:c r="AE9" s="36"/>
      <x:c r="AF9" s="44" t="str">
        <x:v>2026-07-10</x:v>
      </x:c>
      <x:c r="AG9" s="36"/>
      <x:c r="AH9" s="54"/>
      <x:c r="AI9" s="54"/>
      <x:c r="AJ9" s="53" t="str">
        <x:v>착수 전</x:v>
      </x:c>
    </x:row>
    <x:row r="10" ht="42" customHeight="1">
      <x:c r="A10" s="36" t="str">
        <x:v>IGM-009</x:v>
      </x:c>
      <x:c r="B10" s="36" t="str">
        <x:v>인게임·게임플레이</x:v>
      </x:c>
      <x:c r="C10" s="36" t="str">
        <x:v>메모 시스템</x:v>
      </x:c>
      <x:c r="D10" s="36" t="str">
        <x:v>인벤토리</x:v>
      </x:c>
      <x:c r="E10" s="36" t="str">
        <x:v>메모 보유 수량·상한 서버 관리</x:v>
      </x:c>
      <x:c r="F10" s="36" t="str">
        <x:v>게임 규칙, 운영 요구사항과 대상 플랫폼 제약을 충족하도록 메모 보유 수량·상한 서버 관리 기능을 구현하고 검증한다.</x:v>
      </x:c>
      <x:c r="G10" s="36" t="str">
        <x:v>서버가 플레이어별 메모 보유 수량을 관리하고 기본 상한 3장을 초과하는 지급·소비·재접속 복원 과정에서 불일치가 발생하지 않는다.</x:v>
      </x:c>
      <x:c r="H10" s="36" t="str">
        <x:v>구현, 코드 리뷰, 사양 갱신, 대상 QA 케이스 실행, 로그·텔레메트리 확인과 관련 플랫폼 검증을 완료하고 미해결 P0·P1 결함이 없다.</x:v>
      </x:c>
      <x:c r="I10" s="36" t="str">
        <x:v>MVP</x:v>
      </x:c>
      <x:c r="J10" s="36" t="str">
        <x:v>P0</x:v>
      </x:c>
      <x:c r="K10" s="36" t="str">
        <x:v>필수</x:v>
      </x:c>
      <x:c r="L10" s="36" t="str">
        <x:v>메모</x:v>
      </x:c>
      <x:c r="M10" s="36" t="str">
        <x:v>MVP</x:v>
      </x:c>
      <x:c r="N10" s="36" t="str">
        <x:v>게임플레이 엔지니어링</x:v>
      </x:c>
      <x:c r="O10" s="36" t="str">
        <x:v>미정</x:v>
      </x:c>
      <x:c r="P10" s="36" t="str">
        <x:v>미정</x:v>
      </x:c>
      <x:c r="Q10" s="36" t="str">
        <x:v>전체</x:v>
      </x:c>
      <x:c r="R10" s="36" t="str">
        <x:v>서버 권한</x:v>
      </x:c>
      <x:c r="S10" s="36" t="str">
        <x:v>세션</x:v>
      </x:c>
      <x:c r="T10" s="36" t="str">
        <x:v>M</x:v>
      </x:c>
      <x:c r="U10" s="36" t="str">
        <x:v>미착수</x:v>
      </x:c>
      <x:c r="V10" s="46" t="n">
        <x:f>IF(U10="완료",1,IF(U10="QA 진행 중",0.8,IF(U10="코드 리뷰",0.65,IF(U10="구현 중",0.4,IF(U10="사양 확인 중",0.1,IF(U10="차단",0.4,0))))))</x:f>
        <x:v>0</x:v>
      </x:c>
      <x:c r="W10" s="36" t="str">
        <x:v>미정</x:v>
      </x:c>
      <x:c r="X10" s="44"/>
      <x:c r="Y10" s="36" t="str">
        <x:v>IGM-001</x:v>
      </x:c>
      <x:c r="Z10" s="36" t="str">
        <x:v>중간</x:v>
      </x:c>
      <x:c r="AA10" s="36" t="str">
        <x:v>경계값</x:v>
      </x:c>
      <x:c r="AB10" s="36" t="str">
        <x:v>TC-IGM-009-01, TC-IGM-009-02</x:v>
      </x:c>
      <x:c r="AC10" s="36"/>
      <x:c r="AD10" s="36" t="str">
        <x:v>게임 기획서</x:v>
      </x:c>
      <x:c r="AE10" s="36"/>
      <x:c r="AF10" s="44" t="str">
        <x:v>2026-07-10</x:v>
      </x:c>
      <x:c r="AG10" s="36"/>
      <x:c r="AH10" s="54"/>
      <x:c r="AI10" s="54"/>
      <x:c r="AJ10" s="53" t="str">
        <x:v>착수 전</x:v>
      </x:c>
    </x:row>
    <x:row r="11" ht="42" customHeight="1">
      <x:c r="A11" s="36" t="str">
        <x:v>IGM-010</x:v>
      </x:c>
      <x:c r="B11" s="36" t="str">
        <x:v>인게임·게임플레이</x:v>
      </x:c>
      <x:c r="C11" s="36" t="str">
        <x:v>메모 시스템</x:v>
      </x:c>
      <x:c r="D11" s="36" t="str">
        <x:v>획득</x:v>
      </x:c>
      <x:c r="E11" s="36" t="str">
        <x:v>미니게임 성공 메모 보상</x:v>
      </x:c>
      <x:c r="F11" s="36" t="str">
        <x:v>게임 규칙, 운영 요구사항과 대상 플랫폼 제약을 충족하도록 미니게임 성공 메모 보상 기능을 구현하고 검증한다.</x:v>
      </x:c>
      <x:c r="G11" s="36" t="str">
        <x:v>유효한 미니게임 완료 이벤트 1회당 메모 1장을 지급하고 재전송, 다중 입력, 재접속에 따른 중복 지급을 방지한다.</x:v>
      </x:c>
      <x:c r="H11" s="36" t="str">
        <x:v>구현, 코드 리뷰, 사양 갱신, 대상 QA 케이스 실행, 로그·텔레메트리 확인과 관련 플랫폼 검증을 완료하고 미해결 P0·P1 결함이 없다.</x:v>
      </x:c>
      <x:c r="I11" s="36" t="str">
        <x:v>MVP</x:v>
      </x:c>
      <x:c r="J11" s="36" t="str">
        <x:v>P0</x:v>
      </x:c>
      <x:c r="K11" s="36" t="str">
        <x:v>필수</x:v>
      </x:c>
      <x:c r="L11" s="36" t="str">
        <x:v>메모</x:v>
      </x:c>
      <x:c r="M11" s="36" t="str">
        <x:v>MVP</x:v>
      </x:c>
      <x:c r="N11" s="36" t="str">
        <x:v>게임플레이 엔지니어링</x:v>
      </x:c>
      <x:c r="O11" s="36" t="str">
        <x:v>미정</x:v>
      </x:c>
      <x:c r="P11" s="36" t="str">
        <x:v>미정</x:v>
      </x:c>
      <x:c r="Q11" s="36" t="str">
        <x:v>전체</x:v>
      </x:c>
      <x:c r="R11" s="36" t="str">
        <x:v>서버 권한</x:v>
      </x:c>
      <x:c r="S11" s="36" t="str">
        <x:v>세션</x:v>
      </x:c>
      <x:c r="T11" s="36" t="str">
        <x:v>M</x:v>
      </x:c>
      <x:c r="U11" s="36" t="str">
        <x:v>미착수</x:v>
      </x:c>
      <x:c r="V11" s="46" t="n">
        <x:f>IF(U11="완료",1,IF(U11="QA 진행 중",0.8,IF(U11="코드 리뷰",0.65,IF(U11="구현 중",0.4,IF(U11="사양 확인 중",0.1,IF(U11="차단",0.4,0))))))</x:f>
        <x:v>0</x:v>
      </x:c>
      <x:c r="W11" s="36" t="str">
        <x:v>미정</x:v>
      </x:c>
      <x:c r="X11" s="44"/>
      <x:c r="Y11" s="36" t="str">
        <x:v>IGM-009,CNT-020,NET-015</x:v>
      </x:c>
      <x:c r="Z11" s="36" t="str">
        <x:v>중간</x:v>
      </x:c>
      <x:c r="AA11" s="36" t="str">
        <x:v>보안</x:v>
      </x:c>
      <x:c r="AB11" s="36" t="str">
        <x:v>TC-IGM-010-01, TC-IGM-010-02</x:v>
      </x:c>
      <x:c r="AC11" s="36"/>
      <x:c r="AD11" s="36" t="str">
        <x:v>게임 기획서</x:v>
      </x:c>
      <x:c r="AE11" s="36"/>
      <x:c r="AF11" s="44" t="str">
        <x:v>2026-07-10</x:v>
      </x:c>
      <x:c r="AG11" s="36"/>
      <x:c r="AH11" s="54"/>
      <x:c r="AI11" s="54"/>
      <x:c r="AJ11" s="53" t="str">
        <x:v>착수 전</x:v>
      </x:c>
    </x:row>
    <x:row r="12" ht="42" customHeight="1">
      <x:c r="A12" s="36" t="str">
        <x:v>IGM-011</x:v>
      </x:c>
      <x:c r="B12" s="36" t="str">
        <x:v>인게임·게임플레이</x:v>
      </x:c>
      <x:c r="C12" s="36" t="str">
        <x:v>메모 시스템</x:v>
      </x:c>
      <x:c r="D12" s="36" t="str">
        <x:v>획득</x:v>
      </x:c>
      <x:c r="E12" s="36" t="str">
        <x:v>마피아 아침 무료 메모</x:v>
      </x:c>
      <x:c r="F12" s="36" t="str">
        <x:v>게임 규칙, 운영 요구사항과 대상 플랫폼 제약을 충족하도록 마피아 아침 무료 메모 기능을 구현하고 검증한다.</x:v>
      </x:c>
      <x:c r="G12" s="36" t="str">
        <x:v>각 낮 시작 시 생존 중인 마피아에게 기본 메모 1장을 한 번만 지급하며, 보유 상한 도달 시 처리 방식이 설정 사양과 일치한다.</x:v>
      </x:c>
      <x:c r="H12" s="36" t="str">
        <x:v>구현, 코드 리뷰, 사양 갱신, 대상 QA 케이스 실행, 로그·텔레메트리 확인과 관련 플랫폼 검증을 완료하고 미해결 P0·P1 결함이 없다.</x:v>
      </x:c>
      <x:c r="I12" s="36" t="str">
        <x:v>MVP</x:v>
      </x:c>
      <x:c r="J12" s="36" t="str">
        <x:v>P0</x:v>
      </x:c>
      <x:c r="K12" s="36" t="str">
        <x:v>필수</x:v>
      </x:c>
      <x:c r="L12" s="36" t="str">
        <x:v>메모</x:v>
      </x:c>
      <x:c r="M12" s="36" t="str">
        <x:v>MVP</x:v>
      </x:c>
      <x:c r="N12" s="36" t="str">
        <x:v>게임플레이 엔지니어링</x:v>
      </x:c>
      <x:c r="O12" s="36" t="str">
        <x:v>미정</x:v>
      </x:c>
      <x:c r="P12" s="36" t="str">
        <x:v>미정</x:v>
      </x:c>
      <x:c r="Q12" s="36" t="str">
        <x:v>전체</x:v>
      </x:c>
      <x:c r="R12" s="36" t="str">
        <x:v>서버 권한</x:v>
      </x:c>
      <x:c r="S12" s="36" t="str">
        <x:v>세션</x:v>
      </x:c>
      <x:c r="T12" s="36" t="str">
        <x:v>S</x:v>
      </x:c>
      <x:c r="U12" s="36" t="str">
        <x:v>미착수</x:v>
      </x:c>
      <x:c r="V12" s="46" t="n">
        <x:f>IF(U12="완료",1,IF(U12="QA 진행 중",0.8,IF(U12="코드 리뷰",0.65,IF(U12="구현 중",0.4,IF(U12="사양 확인 중",0.1,IF(U12="차단",0.4,0))))))</x:f>
        <x:v>0</x:v>
      </x:c>
      <x:c r="W12" s="36" t="str">
        <x:v>미정</x:v>
      </x:c>
      <x:c r="X12" s="44"/>
      <x:c r="Y12" s="36" t="str">
        <x:v>IGM-009,IGM-004</x:v>
      </x:c>
      <x:c r="Z12" s="36" t="str">
        <x:v>중간</x:v>
      </x:c>
      <x:c r="AA12" s="36" t="str">
        <x:v>경계값</x:v>
      </x:c>
      <x:c r="AB12" s="36" t="str">
        <x:v>TC-IGM-011-01, TC-IGM-011-02</x:v>
      </x:c>
      <x:c r="AC12" s="36"/>
      <x:c r="AD12" s="36" t="str">
        <x:v>게임 기획서</x:v>
      </x:c>
      <x:c r="AE12" s="36"/>
      <x:c r="AF12" s="44" t="str">
        <x:v>2026-07-10</x:v>
      </x:c>
      <x:c r="AG12" s="36"/>
      <x:c r="AH12" s="54"/>
      <x:c r="AI12" s="54"/>
      <x:c r="AJ12" s="53" t="str">
        <x:v>착수 전</x:v>
      </x:c>
    </x:row>
    <x:row r="13" ht="42" customHeight="1">
      <x:c r="A13" s="36" t="str">
        <x:v>IGM-012</x:v>
      </x:c>
      <x:c r="B13" s="36" t="str">
        <x:v>인게임·게임플레이</x:v>
      </x:c>
      <x:c r="C13" s="36" t="str">
        <x:v>메모 시스템</x:v>
      </x:c>
      <x:c r="D13" s="36" t="str">
        <x:v>제작</x:v>
      </x:c>
      <x:c r="E13" s="36" t="str">
        <x:v>프리셋 문구 기반 메모 작성</x:v>
      </x:c>
      <x:c r="F13" s="36" t="str">
        <x:v>게임 규칙, 운영 요구사항과 대상 플랫폼 제약을 충족하도록 프리셋 문구 기반 메모 작성 기능을 구현하고 검증한다.</x:v>
      </x:c>
      <x:c r="G13" s="36" t="str">
        <x:v>MVP에서는 승인된 프리셋만 선택할 수 있고 문구 ID, 현지화 키, 선택 색상을 서버로 전송한다. 자유 입력 기능은 노출하지 않는다.</x:v>
      </x:c>
      <x:c r="H13" s="36" t="str">
        <x:v>구현, 코드 리뷰, 사양 갱신, 대상 QA 케이스 실행, 로그·텔레메트리 확인과 관련 플랫폼 검증을 완료하고 미해결 P0·P1 결함이 없다.</x:v>
      </x:c>
      <x:c r="I13" s="36" t="str">
        <x:v>MVP</x:v>
      </x:c>
      <x:c r="J13" s="36" t="str">
        <x:v>P0</x:v>
      </x:c>
      <x:c r="K13" s="36" t="str">
        <x:v>필수</x:v>
      </x:c>
      <x:c r="L13" s="36" t="str">
        <x:v>메모</x:v>
      </x:c>
      <x:c r="M13" s="36" t="str">
        <x:v>MVP</x:v>
      </x:c>
      <x:c r="N13" s="36" t="str">
        <x:v>게임플레이 엔지니어링</x:v>
      </x:c>
      <x:c r="O13" s="36" t="str">
        <x:v>미정</x:v>
      </x:c>
      <x:c r="P13" s="36" t="str">
        <x:v>미정</x:v>
      </x:c>
      <x:c r="Q13" s="36" t="str">
        <x:v>전체</x:v>
      </x:c>
      <x:c r="R13" s="36" t="str">
        <x:v>클라이언트 예측·서버 검증</x:v>
      </x:c>
      <x:c r="S13" s="36" t="str">
        <x:v>세션</x:v>
      </x:c>
      <x:c r="T13" s="36" t="str">
        <x:v>M</x:v>
      </x:c>
      <x:c r="U13" s="36" t="str">
        <x:v>미착수</x:v>
      </x:c>
      <x:c r="V13" s="46" t="n">
        <x:f>IF(U13="완료",1,IF(U13="QA 진행 중",0.8,IF(U13="코드 리뷰",0.65,IF(U13="구현 중",0.4,IF(U13="사양 확인 중",0.1,IF(U13="차단",0.4,0))))))</x:f>
        <x:v>0</x:v>
      </x:c>
      <x:c r="W13" s="36" t="str">
        <x:v>미정</x:v>
      </x:c>
      <x:c r="X13" s="44"/>
      <x:c r="Y13" s="36" t="str">
        <x:v>IGM-009,UIX-012</x:v>
      </x:c>
      <x:c r="Z13" s="36" t="str">
        <x:v>중간</x:v>
      </x:c>
      <x:c r="AA13" s="36" t="str">
        <x:v>기능</x:v>
      </x:c>
      <x:c r="AB13" s="36" t="str">
        <x:v>TC-IGM-012-01, TC-IGM-012-02</x:v>
      </x:c>
      <x:c r="AC13" s="36"/>
      <x:c r="AD13" s="36" t="str">
        <x:v>게임 기획서</x:v>
      </x:c>
      <x:c r="AE13" s="36"/>
      <x:c r="AF13" s="44" t="str">
        <x:v>2026-07-10</x:v>
      </x:c>
      <x:c r="AG13" s="36"/>
      <x:c r="AH13" s="54"/>
      <x:c r="AI13" s="54"/>
      <x:c r="AJ13" s="53" t="str">
        <x:v>착수 전</x:v>
      </x:c>
    </x:row>
    <x:row r="14" ht="42" customHeight="1">
      <x:c r="A14" s="36" t="str">
        <x:v>IGM-013</x:v>
      </x:c>
      <x:c r="B14" s="36" t="str">
        <x:v>인게임·게임플레이</x:v>
      </x:c>
      <x:c r="C14" s="36" t="str">
        <x:v>메모 시스템</x:v>
      </x:c>
      <x:c r="D14" s="36" t="str">
        <x:v>색상 규칙</x:v>
      </x:c>
      <x:c r="E14" s="36" t="str">
        <x:v>시민 메모 본인 색상 고정</x:v>
      </x:c>
      <x:c r="F14" s="36" t="str">
        <x:v>게임 규칙, 운영 요구사항과 대상 플랫폼 제약을 충족하도록 시민 메모 본인 색상 고정 기능을 구현하고 검증한다.</x:v>
      </x:c>
      <x:c r="G14" s="36" t="str">
        <x:v>시민의 메모 작성 요청은 클라이언트 지정값과 무관하게 서버가 본인의 색상 ID로 강제하며, 다른 색상 요청은 감사 로그에 기록한다.</x:v>
      </x:c>
      <x:c r="H14" s="36" t="str">
        <x:v>구현, 코드 리뷰, 사양 갱신, 대상 QA 케이스 실행, 로그·텔레메트리 확인과 관련 플랫폼 검증을 완료하고 미해결 P0·P1 결함이 없다.</x:v>
      </x:c>
      <x:c r="I14" s="36" t="str">
        <x:v>MVP</x:v>
      </x:c>
      <x:c r="J14" s="36" t="str">
        <x:v>P0</x:v>
      </x:c>
      <x:c r="K14" s="36" t="str">
        <x:v>필수</x:v>
      </x:c>
      <x:c r="L14" s="36" t="str">
        <x:v>정보 비공개</x:v>
      </x:c>
      <x:c r="M14" s="36" t="str">
        <x:v>MVP</x:v>
      </x:c>
      <x:c r="N14" s="36" t="str">
        <x:v>게임플레이 엔지니어링</x:v>
      </x:c>
      <x:c r="O14" s="36" t="str">
        <x:v>미정</x:v>
      </x:c>
      <x:c r="P14" s="36" t="str">
        <x:v>미정</x:v>
      </x:c>
      <x:c r="Q14" s="36" t="str">
        <x:v>전체</x:v>
      </x:c>
      <x:c r="R14" s="36" t="str">
        <x:v>서버 권한</x:v>
      </x:c>
      <x:c r="S14" s="36" t="str">
        <x:v>세션</x:v>
      </x:c>
      <x:c r="T14" s="36" t="str">
        <x:v>S</x:v>
      </x:c>
      <x:c r="U14" s="36" t="str">
        <x:v>미착수</x:v>
      </x:c>
      <x:c r="V14" s="46" t="n">
        <x:f>IF(U14="완료",1,IF(U14="QA 진행 중",0.8,IF(U14="코드 리뷰",0.65,IF(U14="구현 중",0.4,IF(U14="사양 확인 중",0.1,IF(U14="차단",0.4,0))))))</x:f>
        <x:v>0</x:v>
      </x:c>
      <x:c r="W14" s="36" t="str">
        <x:v>미정</x:v>
      </x:c>
      <x:c r="X14" s="44"/>
      <x:c r="Y14" s="36" t="str">
        <x:v>IGM-012,IGM-003</x:v>
      </x:c>
      <x:c r="Z14" s="36" t="str">
        <x:v>중간</x:v>
      </x:c>
      <x:c r="AA14" s="36" t="str">
        <x:v>보안</x:v>
      </x:c>
      <x:c r="AB14" s="36" t="str">
        <x:v>TC-IGM-013-01, TC-IGM-013-02</x:v>
      </x:c>
      <x:c r="AC14" s="36"/>
      <x:c r="AD14" s="36" t="str">
        <x:v>게임 기획서</x:v>
      </x:c>
      <x:c r="AE14" s="36"/>
      <x:c r="AF14" s="44" t="str">
        <x:v>2026-07-10</x:v>
      </x:c>
      <x:c r="AG14" s="36"/>
      <x:c r="AH14" s="54"/>
      <x:c r="AI14" s="54"/>
      <x:c r="AJ14" s="53" t="str">
        <x:v>착수 전</x:v>
      </x:c>
    </x:row>
    <x:row r="15" ht="42" customHeight="1">
      <x:c r="A15" s="36" t="str">
        <x:v>IGM-014</x:v>
      </x:c>
      <x:c r="B15" s="36" t="str">
        <x:v>인게임·게임플레이</x:v>
      </x:c>
      <x:c r="C15" s="36" t="str">
        <x:v>메모 시스템</x:v>
      </x:c>
      <x:c r="D15" s="36" t="str">
        <x:v>색상 위조</x:v>
      </x:c>
      <x:c r="E15" s="36" t="str">
        <x:v>마피아 색상 위조</x:v>
      </x:c>
      <x:c r="F15" s="36" t="str">
        <x:v>게임 규칙, 운영 요구사항과 대상 플랫폼 제약을 충족하도록 마피아 색상 위조 기능을 구현하고 검증한다.</x:v>
      </x:c>
      <x:c r="G15" s="36" t="str">
        <x:v>마피아는 생존 플레이어의 색상 중 하나를 선택해 위조 메모를 작성할 수 있다. 공개 데이터에는 실제 작성자와 위조 여부를 포함하지 않는다.</x:v>
      </x:c>
      <x:c r="H15" s="36" t="str">
        <x:v>구현, 코드 리뷰, 사양 갱신, 대상 QA 케이스 실행, 로그·텔레메트리 확인과 관련 플랫폼 검증을 완료하고 미해결 P0·P1 결함이 없다.</x:v>
      </x:c>
      <x:c r="I15" s="36" t="str">
        <x:v>MVP</x:v>
      </x:c>
      <x:c r="J15" s="36" t="str">
        <x:v>P0</x:v>
      </x:c>
      <x:c r="K15" s="36" t="str">
        <x:v>필수</x:v>
      </x:c>
      <x:c r="L15" s="36" t="str">
        <x:v>핵심 규칙</x:v>
      </x:c>
      <x:c r="M15" s="36" t="str">
        <x:v>MVP</x:v>
      </x:c>
      <x:c r="N15" s="36" t="str">
        <x:v>게임플레이 엔지니어링</x:v>
      </x:c>
      <x:c r="O15" s="36" t="str">
        <x:v>미정</x:v>
      </x:c>
      <x:c r="P15" s="36" t="str">
        <x:v>미정</x:v>
      </x:c>
      <x:c r="Q15" s="36" t="str">
        <x:v>전체</x:v>
      </x:c>
      <x:c r="R15" s="36" t="str">
        <x:v>서버 권한</x:v>
      </x:c>
      <x:c r="S15" s="36" t="str">
        <x:v>세션</x:v>
      </x:c>
      <x:c r="T15" s="36" t="str">
        <x:v>L</x:v>
      </x:c>
      <x:c r="U15" s="36" t="str">
        <x:v>미착수</x:v>
      </x:c>
      <x:c r="V15" s="46" t="n">
        <x:f>IF(U15="완료",1,IF(U15="QA 진행 중",0.8,IF(U15="코드 리뷰",0.65,IF(U15="구현 중",0.4,IF(U15="사양 확인 중",0.1,IF(U15="차단",0.4,0))))))</x:f>
        <x:v>0</x:v>
      </x:c>
      <x:c r="W15" s="36" t="str">
        <x:v>미정</x:v>
      </x:c>
      <x:c r="X15" s="44"/>
      <x:c r="Y15" s="36" t="str">
        <x:v>IGM-012,IGM-003</x:v>
      </x:c>
      <x:c r="Z15" s="36" t="str">
        <x:v>중간</x:v>
      </x:c>
      <x:c r="AA15" s="36" t="str">
        <x:v>보안</x:v>
      </x:c>
      <x:c r="AB15" s="36" t="str">
        <x:v>TC-IGM-014-01, TC-IGM-014-02</x:v>
      </x:c>
      <x:c r="AC15" s="36"/>
      <x:c r="AD15" s="36" t="str">
        <x:v>게임 기획서</x:v>
      </x:c>
      <x:c r="AE15" s="36"/>
      <x:c r="AF15" s="44" t="str">
        <x:v>2026-07-10</x:v>
      </x:c>
      <x:c r="AG15" s="36"/>
      <x:c r="AH15" s="54"/>
      <x:c r="AI15" s="54"/>
      <x:c r="AJ15" s="53" t="str">
        <x:v>착수 전</x:v>
      </x:c>
    </x:row>
    <x:row r="16" ht="42" customHeight="1">
      <x:c r="A16" s="36" t="str">
        <x:v>IGM-015</x:v>
      </x:c>
      <x:c r="B16" s="36" t="str">
        <x:v>인게임·게임플레이</x:v>
      </x:c>
      <x:c r="C16" s="36" t="str">
        <x:v>메모 시스템</x:v>
      </x:c>
      <x:c r="D16" s="36" t="str">
        <x:v>색상 위조</x:v>
      </x:c>
      <x:c r="E16" s="36" t="str">
        <x:v>색상 위조 일일 횟수 제한</x:v>
      </x:c>
      <x:c r="F16" s="36" t="str">
        <x:v>게임 규칙, 운영 요구사항과 대상 플랫폼 제약을 충족하도록 색상 위조 일일 횟수 제한 기능을 구현하고 검증한다.</x:v>
      </x:c>
      <x:c r="G16" s="36" t="str">
        <x:v>서버가 기본 하루 1회의 위조 제한을 검증하고 낮 시작 시에만 횟수를 초기화한다. 연속 입력, 지연, 재접속으로 횟수가 증가하지 않는다.</x:v>
      </x:c>
      <x:c r="H16" s="36" t="str">
        <x:v>구현, 코드 리뷰, 사양 갱신, 대상 QA 케이스 실행, 로그·텔레메트리 확인과 관련 플랫폼 검증을 완료하고 미해결 P0·P1 결함이 없다.</x:v>
      </x:c>
      <x:c r="I16" s="36" t="str">
        <x:v>MVP</x:v>
      </x:c>
      <x:c r="J16" s="36" t="str">
        <x:v>P0</x:v>
      </x:c>
      <x:c r="K16" s="36" t="str">
        <x:v>필수</x:v>
      </x:c>
      <x:c r="L16" s="36" t="str">
        <x:v>핵심 규칙</x:v>
      </x:c>
      <x:c r="M16" s="36" t="str">
        <x:v>MVP</x:v>
      </x:c>
      <x:c r="N16" s="36" t="str">
        <x:v>게임플레이 엔지니어링</x:v>
      </x:c>
      <x:c r="O16" s="36" t="str">
        <x:v>미정</x:v>
      </x:c>
      <x:c r="P16" s="36" t="str">
        <x:v>미정</x:v>
      </x:c>
      <x:c r="Q16" s="36" t="str">
        <x:v>전체</x:v>
      </x:c>
      <x:c r="R16" s="36" t="str">
        <x:v>서버 권한</x:v>
      </x:c>
      <x:c r="S16" s="36" t="str">
        <x:v>세션</x:v>
      </x:c>
      <x:c r="T16" s="36" t="str">
        <x:v>M</x:v>
      </x:c>
      <x:c r="U16" s="36" t="str">
        <x:v>미착수</x:v>
      </x:c>
      <x:c r="V16" s="46" t="n">
        <x:f>IF(U16="완료",1,IF(U16="QA 진행 중",0.8,IF(U16="코드 리뷰",0.65,IF(U16="구현 중",0.4,IF(U16="사양 확인 중",0.1,IF(U16="차단",0.4,0))))))</x:f>
        <x:v>0</x:v>
      </x:c>
      <x:c r="W16" s="36" t="str">
        <x:v>미정</x:v>
      </x:c>
      <x:c r="X16" s="44"/>
      <x:c r="Y16" s="36" t="str">
        <x:v>IGM-014,IGM-004</x:v>
      </x:c>
      <x:c r="Z16" s="36" t="str">
        <x:v>중간</x:v>
      </x:c>
      <x:c r="AA16" s="36" t="str">
        <x:v>경계값</x:v>
      </x:c>
      <x:c r="AB16" s="36" t="str">
        <x:v>TC-IGM-015-01, TC-IGM-015-02</x:v>
      </x:c>
      <x:c r="AC16" s="36"/>
      <x:c r="AD16" s="36" t="str">
        <x:v>게임 기획서</x:v>
      </x:c>
      <x:c r="AE16" s="36"/>
      <x:c r="AF16" s="44" t="str">
        <x:v>2026-07-10</x:v>
      </x:c>
      <x:c r="AG16" s="36"/>
      <x:c r="AH16" s="54"/>
      <x:c r="AI16" s="54"/>
      <x:c r="AJ16" s="53" t="str">
        <x:v>착수 전</x:v>
      </x:c>
    </x:row>
    <x:row r="17" ht="42" customHeight="1">
      <x:c r="A17" s="36" t="str">
        <x:v>IGM-016</x:v>
      </x:c>
      <x:c r="B17" s="36" t="str">
        <x:v>인게임·게임플레이</x:v>
      </x:c>
      <x:c r="C17" s="36" t="str">
        <x:v>메모 시스템</x:v>
      </x:c>
      <x:c r="D17" s="36" t="str">
        <x:v>부착</x:v>
      </x:c>
      <x:c r="E17" s="36" t="str">
        <x:v>메모 부착 각도·거리·대상 검증</x:v>
      </x:c>
      <x:c r="F17" s="36" t="str">
        <x:v>게임 규칙, 운영 요구사항과 대상 플랫폼 제약을 충족하도록 메모 부착 각도·거리·대상 검증 기능을 구현하고 검증한다.</x:v>
      </x:c>
      <x:c r="G17" s="36" t="str">
        <x:v>생존 대상의 등 뒤, 허용 거리, 시야 조건을 모두 충족할 때만 부착을 시작하며 본인, 탈락자, 밤, 범위 밖 대상 요청은 거부한다.</x:v>
      </x:c>
      <x:c r="H17" s="36" t="str">
        <x:v>구현, 코드 리뷰, 사양 갱신, 대상 QA 케이스 실행, 로그·텔레메트리 확인과 관련 플랫폼 검증을 완료하고 미해결 P0·P1 결함이 없다.</x:v>
      </x:c>
      <x:c r="I17" s="36" t="str">
        <x:v>MVP</x:v>
      </x:c>
      <x:c r="J17" s="36" t="str">
        <x:v>P0</x:v>
      </x:c>
      <x:c r="K17" s="36" t="str">
        <x:v>필수</x:v>
      </x:c>
      <x:c r="L17" s="36" t="str">
        <x:v>메모</x:v>
      </x:c>
      <x:c r="M17" s="36" t="str">
        <x:v>MVP</x:v>
      </x:c>
      <x:c r="N17" s="36" t="str">
        <x:v>게임플레이 엔지니어링</x:v>
      </x:c>
      <x:c r="O17" s="36" t="str">
        <x:v>미정</x:v>
      </x:c>
      <x:c r="P17" s="36" t="str">
        <x:v>미정</x:v>
      </x:c>
      <x:c r="Q17" s="36" t="str">
        <x:v>전체</x:v>
      </x:c>
      <x:c r="R17" s="36" t="str">
        <x:v>클라이언트 예측·서버 검증</x:v>
      </x:c>
      <x:c r="S17" s="36" t="str">
        <x:v>세션</x:v>
      </x:c>
      <x:c r="T17" s="36" t="str">
        <x:v>L</x:v>
      </x:c>
      <x:c r="U17" s="36" t="str">
        <x:v>미착수</x:v>
      </x:c>
      <x:c r="V17" s="46" t="n">
        <x:f>IF(U17="완료",1,IF(U17="QA 진행 중",0.8,IF(U17="코드 리뷰",0.65,IF(U17="구현 중",0.4,IF(U17="사양 확인 중",0.1,IF(U17="차단",0.4,0))))))</x:f>
        <x:v>0</x:v>
      </x:c>
      <x:c r="W17" s="36" t="str">
        <x:v>미정</x:v>
      </x:c>
      <x:c r="X17" s="44"/>
      <x:c r="Y17" s="36" t="str">
        <x:v>IGM-009,NET-013</x:v>
      </x:c>
      <x:c r="Z17" s="36" t="str">
        <x:v>중간</x:v>
      </x:c>
      <x:c r="AA17" s="36" t="str">
        <x:v>보안</x:v>
      </x:c>
      <x:c r="AB17" s="36" t="str">
        <x:v>TC-IGM-016-01, TC-IGM-016-02</x:v>
      </x:c>
      <x:c r="AC17" s="36"/>
      <x:c r="AD17" s="36" t="str">
        <x:v>게임 기획서</x:v>
      </x:c>
      <x:c r="AE17" s="36"/>
      <x:c r="AF17" s="44" t="str">
        <x:v>2026-07-10</x:v>
      </x:c>
      <x:c r="AG17" s="36"/>
      <x:c r="AH17" s="54"/>
      <x:c r="AI17" s="54"/>
      <x:c r="AJ17" s="53" t="str">
        <x:v>착수 전</x:v>
      </x:c>
    </x:row>
    <x:row r="18" ht="42" customHeight="1">
      <x:c r="A18" s="36" t="str">
        <x:v>IGM-017</x:v>
      </x:c>
      <x:c r="B18" s="36" t="str">
        <x:v>인게임·게임플레이</x:v>
      </x:c>
      <x:c r="C18" s="36" t="str">
        <x:v>메모 시스템</x:v>
      </x:c>
      <x:c r="D18" s="36" t="str">
        <x:v>부착</x:v>
      </x:c>
      <x:c r="E18" s="36" t="str">
        <x:v>메모 부착 채널링·취소</x:v>
      </x:c>
      <x:c r="F18" s="36" t="str">
        <x:v>게임 규칙, 운영 요구사항과 대상 플랫폼 제약을 충족하도록 메모 부착 채널링·취소 기능을 구현하고 검증한다.</x:v>
      </x:c>
      <x:c r="G18" s="36" t="str">
        <x:v>기본 1.5초의 채널링 완료 후에만 부착을 확정하며 대상 또는 부착자의 이동, 상태 변경, 페이즈 종료 시 취소한다.</x:v>
      </x:c>
      <x:c r="H18" s="36" t="str">
        <x:v>구현, 코드 리뷰, 사양 갱신, 대상 QA 케이스 실행, 로그·텔레메트리 확인과 관련 플랫폼 검증을 완료하고 미해결 P0·P1 결함이 없다.</x:v>
      </x:c>
      <x:c r="I18" s="36" t="str">
        <x:v>MVP</x:v>
      </x:c>
      <x:c r="J18" s="36" t="str">
        <x:v>P0</x:v>
      </x:c>
      <x:c r="K18" s="36" t="str">
        <x:v>필수</x:v>
      </x:c>
      <x:c r="L18" s="36" t="str">
        <x:v>메모</x:v>
      </x:c>
      <x:c r="M18" s="36" t="str">
        <x:v>MVP</x:v>
      </x:c>
      <x:c r="N18" s="36" t="str">
        <x:v>게임플레이 엔지니어링</x:v>
      </x:c>
      <x:c r="O18" s="36" t="str">
        <x:v>미정</x:v>
      </x:c>
      <x:c r="P18" s="36" t="str">
        <x:v>미정</x:v>
      </x:c>
      <x:c r="Q18" s="36" t="str">
        <x:v>전체</x:v>
      </x:c>
      <x:c r="R18" s="36" t="str">
        <x:v>서버 권한</x:v>
      </x:c>
      <x:c r="S18" s="36" t="str">
        <x:v>세션</x:v>
      </x:c>
      <x:c r="T18" s="36" t="str">
        <x:v>M</x:v>
      </x:c>
      <x:c r="U18" s="36" t="str">
        <x:v>미착수</x:v>
      </x:c>
      <x:c r="V18" s="46" t="n">
        <x:f>IF(U18="완료",1,IF(U18="QA 진행 중",0.8,IF(U18="코드 리뷰",0.65,IF(U18="구현 중",0.4,IF(U18="사양 확인 중",0.1,IF(U18="차단",0.4,0))))))</x:f>
        <x:v>0</x:v>
      </x:c>
      <x:c r="W18" s="36" t="str">
        <x:v>미정</x:v>
      </x:c>
      <x:c r="X18" s="44"/>
      <x:c r="Y18" s="36" t="str">
        <x:v>IGM-016</x:v>
      </x:c>
      <x:c r="Z18" s="36" t="str">
        <x:v>중간</x:v>
      </x:c>
      <x:c r="AA18" s="36" t="str">
        <x:v>경계값</x:v>
      </x:c>
      <x:c r="AB18" s="36" t="str">
        <x:v>TC-IGM-017-01, TC-IGM-017-02</x:v>
      </x:c>
      <x:c r="AC18" s="36"/>
      <x:c r="AD18" s="36" t="str">
        <x:v>게임 기획서</x:v>
      </x:c>
      <x:c r="AE18" s="36"/>
      <x:c r="AF18" s="44" t="str">
        <x:v>2026-07-10</x:v>
      </x:c>
      <x:c r="AG18" s="36"/>
      <x:c r="AH18" s="54"/>
      <x:c r="AI18" s="54"/>
      <x:c r="AJ18" s="53" t="str">
        <x:v>착수 전</x:v>
      </x:c>
    </x:row>
    <x:row r="19" ht="42" customHeight="1">
      <x:c r="A19" s="36" t="str">
        <x:v>IGM-018</x:v>
      </x:c>
      <x:c r="B19" s="36" t="str">
        <x:v>인게임·게임플레이</x:v>
      </x:c>
      <x:c r="C19" s="36" t="str">
        <x:v>메모 시스템</x:v>
      </x:c>
      <x:c r="D19" s="36" t="str">
        <x:v>부착</x:v>
      </x:c>
      <x:c r="E19" s="36" t="str">
        <x:v>메모 부착 확정·소비 원자 처리</x:v>
      </x:c>
      <x:c r="F19" s="36" t="str">
        <x:v>게임 규칙, 운영 요구사항과 대상 플랫폼 제약을 충족하도록 메모 부착 확정·소비 원자 처리 기능을 구현하고 검증한다.</x:v>
      </x:c>
      <x:c r="G19" s="36" t="str">
        <x:v>서버에서 메모 소비, 부착 이력 추가, 표시 갱신을 단일 트랜잭션으로 처리하고 실패 시 모든 변경을 롤백한다.</x:v>
      </x:c>
      <x:c r="H19" s="36" t="str">
        <x:v>구현, 코드 리뷰, 사양 갱신, 대상 QA 케이스 실행, 로그·텔레메트리 확인과 관련 플랫폼 검증을 완료하고 미해결 P0·P1 결함이 없다.</x:v>
      </x:c>
      <x:c r="I19" s="36" t="str">
        <x:v>MVP</x:v>
      </x:c>
      <x:c r="J19" s="36" t="str">
        <x:v>P0</x:v>
      </x:c>
      <x:c r="K19" s="36" t="str">
        <x:v>필수</x:v>
      </x:c>
      <x:c r="L19" s="36" t="str">
        <x:v>데이터 무결성</x:v>
      </x:c>
      <x:c r="M19" s="36" t="str">
        <x:v>MVP</x:v>
      </x:c>
      <x:c r="N19" s="36" t="str">
        <x:v>게임플레이 엔지니어링</x:v>
      </x:c>
      <x:c r="O19" s="36" t="str">
        <x:v>미정</x:v>
      </x:c>
      <x:c r="P19" s="36" t="str">
        <x:v>미정</x:v>
      </x:c>
      <x:c r="Q19" s="36" t="str">
        <x:v>전체</x:v>
      </x:c>
      <x:c r="R19" s="36" t="str">
        <x:v>서버 권한</x:v>
      </x:c>
      <x:c r="S19" s="36" t="str">
        <x:v>세션</x:v>
      </x:c>
      <x:c r="T19" s="36" t="str">
        <x:v>L</x:v>
      </x:c>
      <x:c r="U19" s="36" t="str">
        <x:v>미착수</x:v>
      </x:c>
      <x:c r="V19" s="46" t="n">
        <x:f>IF(U19="완료",1,IF(U19="QA 진행 중",0.8,IF(U19="코드 리뷰",0.65,IF(U19="구현 중",0.4,IF(U19="사양 확인 중",0.1,IF(U19="차단",0.4,0))))))</x:f>
        <x:v>0</x:v>
      </x:c>
      <x:c r="W19" s="36" t="str">
        <x:v>미정</x:v>
      </x:c>
      <x:c r="X19" s="44"/>
      <x:c r="Y19" s="36" t="str">
        <x:v>IGM-017,NET-014</x:v>
      </x:c>
      <x:c r="Z19" s="36" t="str">
        <x:v>중간</x:v>
      </x:c>
      <x:c r="AA19" s="36" t="str">
        <x:v>통합</x:v>
      </x:c>
      <x:c r="AB19" s="36" t="str">
        <x:v>TC-IGM-018-01, TC-IGM-018-02</x:v>
      </x:c>
      <x:c r="AC19" s="36"/>
      <x:c r="AD19" s="36" t="str">
        <x:v>게임 기획서</x:v>
      </x:c>
      <x:c r="AE19" s="36"/>
      <x:c r="AF19" s="44" t="str">
        <x:v>2026-07-10</x:v>
      </x:c>
      <x:c r="AG19" s="36"/>
      <x:c r="AH19" s="54"/>
      <x:c r="AI19" s="54"/>
      <x:c r="AJ19" s="53" t="str">
        <x:v>착수 전</x:v>
      </x:c>
    </x:row>
    <x:row r="20" ht="42" customHeight="1">
      <x:c r="A20" s="36" t="str">
        <x:v>IGM-019</x:v>
      </x:c>
      <x:c r="B20" s="36" t="str">
        <x:v>인게임·게임플레이</x:v>
      </x:c>
      <x:c r="C20" s="36" t="str">
        <x:v>메모 시스템</x:v>
      </x:c>
      <x:c r="D20" s="36" t="str">
        <x:v>가시성</x:v>
      </x:c>
      <x:c r="E20" s="36" t="str">
        <x:v>본인 등 메모 완전 비공개</x:v>
      </x:c>
      <x:c r="F20" s="36" t="str">
        <x:v>게임 규칙, 운영 요구사항과 대상 플랫폼 제약을 충족하도록 본인 등 메모 완전 비공개 기능을 구현하고 검증한다.</x:v>
      </x:c>
      <x:c r="G20" s="36" t="str">
        <x:v>본인의 카메라, HUD, 공개 리플레이 스트림 및 클라이언트 공개 모델에서 자신의 등 메모 색상, 내용, 수량을 조회할 수 없다.</x:v>
      </x:c>
      <x:c r="H20" s="36" t="str">
        <x:v>구현, 코드 리뷰, 사양 갱신, 대상 QA 케이스 실행, 로그·텔레메트리 확인과 관련 플랫폼 검증을 완료하고 미해결 P0·P1 결함이 없다.</x:v>
      </x:c>
      <x:c r="I20" s="36" t="str">
        <x:v>MVP</x:v>
      </x:c>
      <x:c r="J20" s="36" t="str">
        <x:v>P0</x:v>
      </x:c>
      <x:c r="K20" s="36" t="str">
        <x:v>필수</x:v>
      </x:c>
      <x:c r="L20" s="36" t="str">
        <x:v>정보 비공개</x:v>
      </x:c>
      <x:c r="M20" s="36" t="str">
        <x:v>MVP</x:v>
      </x:c>
      <x:c r="N20" s="36" t="str">
        <x:v>게임플레이 엔지니어링</x:v>
      </x:c>
      <x:c r="O20" s="36" t="str">
        <x:v>미정</x:v>
      </x:c>
      <x:c r="P20" s="36" t="str">
        <x:v>미정</x:v>
      </x:c>
      <x:c r="Q20" s="36" t="str">
        <x:v>전체</x:v>
      </x:c>
      <x:c r="R20" s="36" t="str">
        <x:v>서버 권한</x:v>
      </x:c>
      <x:c r="S20" s="36" t="str">
        <x:v>세션</x:v>
      </x:c>
      <x:c r="T20" s="36" t="str">
        <x:v>L</x:v>
      </x:c>
      <x:c r="U20" s="36" t="str">
        <x:v>미착수</x:v>
      </x:c>
      <x:c r="V20" s="46" t="n">
        <x:f>IF(U20="완료",1,IF(U20="QA 진행 중",0.8,IF(U20="코드 리뷰",0.65,IF(U20="구현 중",0.4,IF(U20="사양 확인 중",0.1,IF(U20="차단",0.4,0))))))</x:f>
        <x:v>0</x:v>
      </x:c>
      <x:c r="W20" s="36" t="str">
        <x:v>미정</x:v>
      </x:c>
      <x:c r="X20" s="44"/>
      <x:c r="Y20" s="36" t="str">
        <x:v>IGM-018,NET-018</x:v>
      </x:c>
      <x:c r="Z20" s="36" t="str">
        <x:v>중간</x:v>
      </x:c>
      <x:c r="AA20" s="36" t="str">
        <x:v>보안</x:v>
      </x:c>
      <x:c r="AB20" s="36" t="str">
        <x:v>TC-IGM-019-01, TC-IGM-019-02</x:v>
      </x:c>
      <x:c r="AC20" s="36"/>
      <x:c r="AD20" s="36" t="str">
        <x:v>게임 기획서</x:v>
      </x:c>
      <x:c r="AE20" s="36"/>
      <x:c r="AF20" s="44" t="str">
        <x:v>2026-07-10</x:v>
      </x:c>
      <x:c r="AG20" s="36"/>
      <x:c r="AH20" s="54"/>
      <x:c r="AI20" s="54"/>
      <x:c r="AJ20" s="53" t="str">
        <x:v>착수 전</x:v>
      </x:c>
    </x:row>
    <x:row r="21" ht="42" customHeight="1">
      <x:c r="A21" s="36" t="str">
        <x:v>IGM-020</x:v>
      </x:c>
      <x:c r="B21" s="36" t="str">
        <x:v>인게임·게임플레이</x:v>
      </x:c>
      <x:c r="C21" s="36" t="str">
        <x:v>메모 시스템</x:v>
      </x:c>
      <x:c r="D21" s="36" t="str">
        <x:v>가시성</x:v>
      </x:c>
      <x:c r="E21" s="36" t="str">
        <x:v>타인 등 메모 거리별 표시</x:v>
      </x:c>
      <x:c r="F21" s="36" t="str">
        <x:v>게임 규칙, 운영 요구사항과 대상 플랫폼 제약을 충족하도록 타인 등 메모 거리별 표시 기능을 구현하고 검증한다.</x:v>
      </x:c>
      <x:c r="G21" s="36" t="str">
        <x:v>중거리에서는 색상, 근거리에서는 문구를 판독할 수 있고 차폐, LOD, 시야각, 커스터마이징 때문에 의도하지 않은 정보 누락이 발생하지 않는다.</x:v>
      </x:c>
      <x:c r="H21" s="36" t="str">
        <x:v>구현, 코드 리뷰, 사양 갱신, 대상 QA 케이스 실행, 로그·텔레메트리 확인과 관련 플랫폼 검증을 완료하고 미해결 P0·P1 결함이 없다.</x:v>
      </x:c>
      <x:c r="I21" s="36" t="str">
        <x:v>MVP</x:v>
      </x:c>
      <x:c r="J21" s="36" t="str">
        <x:v>P0</x:v>
      </x:c>
      <x:c r="K21" s="36" t="str">
        <x:v>필수</x:v>
      </x:c>
      <x:c r="L21" s="36" t="str">
        <x:v>판독성</x:v>
      </x:c>
      <x:c r="M21" s="36" t="str">
        <x:v>MVP</x:v>
      </x:c>
      <x:c r="N21" s="36" t="str">
        <x:v>게임플레이 엔지니어링</x:v>
      </x:c>
      <x:c r="O21" s="36" t="str">
        <x:v>미정</x:v>
      </x:c>
      <x:c r="P21" s="36" t="str">
        <x:v>미정</x:v>
      </x:c>
      <x:c r="Q21" s="36" t="str">
        <x:v>전체</x:v>
      </x:c>
      <x:c r="R21" s="36" t="str">
        <x:v>클라이언트 로컬</x:v>
      </x:c>
      <x:c r="S21" s="36" t="str">
        <x:v>세션</x:v>
      </x:c>
      <x:c r="T21" s="36" t="str">
        <x:v>L</x:v>
      </x:c>
      <x:c r="U21" s="36" t="str">
        <x:v>미착수</x:v>
      </x:c>
      <x:c r="V21" s="46" t="n">
        <x:f>IF(U21="완료",1,IF(U21="QA 진행 중",0.8,IF(U21="코드 리뷰",0.65,IF(U21="구현 중",0.4,IF(U21="사양 확인 중",0.1,IF(U21="차단",0.4,0))))))</x:f>
        <x:v>0</x:v>
      </x:c>
      <x:c r="W21" s="36" t="str">
        <x:v>미정</x:v>
      </x:c>
      <x:c r="X21" s="44"/>
      <x:c r="Y21" s="36" t="str">
        <x:v>IGM-018,CHR-012,UIX-014</x:v>
      </x:c>
      <x:c r="Z21" s="36" t="str">
        <x:v>중간</x:v>
      </x:c>
      <x:c r="AA21" s="36" t="str">
        <x:v>사용성</x:v>
      </x:c>
      <x:c r="AB21" s="36" t="str">
        <x:v>TC-IGM-020-01, TC-IGM-020-02</x:v>
      </x:c>
      <x:c r="AC21" s="36"/>
      <x:c r="AD21" s="36" t="str">
        <x:v>게임 기획서 §7 / 캐릭터 사양서 §7</x:v>
      </x:c>
      <x:c r="AE21" s="36"/>
      <x:c r="AF21" s="44" t="str">
        <x:v>2026-07-10</x:v>
      </x:c>
      <x:c r="AG21" s="36"/>
      <x:c r="AH21" s="54"/>
      <x:c r="AI21" s="54"/>
      <x:c r="AJ21" s="53" t="str">
        <x:v>착수 전</x:v>
      </x:c>
    </x:row>
    <x:row r="22" ht="42" customHeight="1">
      <x:c r="A22" s="36" t="str">
        <x:v>IGM-021</x:v>
      </x:c>
      <x:c r="B22" s="36" t="str">
        <x:v>인게임·게임플레이</x:v>
      </x:c>
      <x:c r="C22" s="36" t="str">
        <x:v>메모 시스템</x:v>
      </x:c>
      <x:c r="D22" s="36" t="str">
        <x:v>이력</x:v>
      </x:c>
      <x:c r="E22" s="36" t="str">
        <x:v>메모 부착 순서 결정론적 관리</x:v>
      </x:c>
      <x:c r="F22" s="36" t="str">
        <x:v>게임 규칙, 운영 요구사항과 대상 플랫폼 제약을 충족하도록 메모 부착 순서 결정론적 관리 기능을 구현하고 검증한다.</x:v>
      </x:c>
      <x:c r="G22" s="36" t="str">
        <x:v>같은 대상에 동시에 부착된 메모도 서버 순번으로 고유하게 정렬하며 오래된 메모는 왼쪽 위, 새 메모는 오른쪽 아래에 배치한다. 정확한 시각은 공개하지 않는다.</x:v>
      </x:c>
      <x:c r="H22" s="36" t="str">
        <x:v>구현, 코드 리뷰, 사양 갱신, 대상 QA 케이스 실행, 로그·텔레메트리 확인과 관련 플랫폼 검증을 완료하고 미해결 P0·P1 결함이 없다.</x:v>
      </x:c>
      <x:c r="I22" s="36" t="str">
        <x:v>MVP</x:v>
      </x:c>
      <x:c r="J22" s="36" t="str">
        <x:v>P0</x:v>
      </x:c>
      <x:c r="K22" s="36" t="str">
        <x:v>필수</x:v>
      </x:c>
      <x:c r="L22" s="36" t="str">
        <x:v>데이터 무결성</x:v>
      </x:c>
      <x:c r="M22" s="36" t="str">
        <x:v>MVP</x:v>
      </x:c>
      <x:c r="N22" s="36" t="str">
        <x:v>게임플레이 엔지니어링</x:v>
      </x:c>
      <x:c r="O22" s="36" t="str">
        <x:v>미정</x:v>
      </x:c>
      <x:c r="P22" s="36" t="str">
        <x:v>미정</x:v>
      </x:c>
      <x:c r="Q22" s="36" t="str">
        <x:v>전체</x:v>
      </x:c>
      <x:c r="R22" s="36" t="str">
        <x:v>서버 권한</x:v>
      </x:c>
      <x:c r="S22" s="36" t="str">
        <x:v>세션</x:v>
      </x:c>
      <x:c r="T22" s="36" t="str">
        <x:v>M</x:v>
      </x:c>
      <x:c r="U22" s="36" t="str">
        <x:v>미착수</x:v>
      </x:c>
      <x:c r="V22" s="46" t="n">
        <x:f>IF(U22="완료",1,IF(U22="QA 진행 중",0.8,IF(U22="코드 리뷰",0.65,IF(U22="구현 중",0.4,IF(U22="사양 확인 중",0.1,IF(U22="차단",0.4,0))))))</x:f>
        <x:v>0</x:v>
      </x:c>
      <x:c r="W22" s="36" t="str">
        <x:v>미정</x:v>
      </x:c>
      <x:c r="X22" s="44"/>
      <x:c r="Y22" s="36" t="str">
        <x:v>IGM-018,NET-014</x:v>
      </x:c>
      <x:c r="Z22" s="36" t="str">
        <x:v>중간</x:v>
      </x:c>
      <x:c r="AA22" s="36" t="str">
        <x:v>경계값</x:v>
      </x:c>
      <x:c r="AB22" s="36" t="str">
        <x:v>TC-IGM-021-01, TC-IGM-021-02</x:v>
      </x:c>
      <x:c r="AC22" s="36"/>
      <x:c r="AD22" s="36" t="str">
        <x:v>게임 기획서</x:v>
      </x:c>
      <x:c r="AE22" s="36"/>
      <x:c r="AF22" s="44" t="str">
        <x:v>2026-07-10</x:v>
      </x:c>
      <x:c r="AG22" s="36"/>
      <x:c r="AH22" s="54"/>
      <x:c r="AI22" s="54"/>
      <x:c r="AJ22" s="53" t="str">
        <x:v>착수 전</x:v>
      </x:c>
    </x:row>
    <x:row r="23" ht="42" customHeight="1">
      <x:c r="A23" s="36" t="str">
        <x:v>IGM-022</x:v>
      </x:c>
      <x:c r="B23" s="36" t="str">
        <x:v>인게임·게임플레이</x:v>
      </x:c>
      <x:c r="C23" s="36" t="str">
        <x:v>메모 시스템</x:v>
      </x:c>
      <x:c r="D23" s="36" t="str">
        <x:v>이력</x:v>
      </x:c>
      <x:c r="E23" s="36" t="str">
        <x:v>등 메모 최대 표시 수·초과 처리</x:v>
      </x:c>
      <x:c r="F23" s="36" t="str">
        <x:v>게임 규칙, 운영 요구사항과 대상 플랫폼 제약을 충족하도록 등 메모 최대 표시 수·초과 처리 기능을 구현하고 검증한다.</x:v>
      </x:c>
      <x:c r="G23" s="36" t="str">
        <x:v>기본 6장까지 판독 가능하게 표시하고 7장째부터는 설정된 거부 또는 보관 규칙으로 처리하며 모든 클라이언트의 결과가 일치한다.</x:v>
      </x:c>
      <x:c r="H23" s="36" t="str">
        <x:v>구현, 코드 리뷰, 사양 갱신, 대상 QA 케이스 실행, 로그·텔레메트리 확인과 관련 플랫폼 검증을 완료하고 미해결 P0·P1 결함이 없다.</x:v>
      </x:c>
      <x:c r="I23" s="36" t="str">
        <x:v>MVP</x:v>
      </x:c>
      <x:c r="J23" s="36" t="str">
        <x:v>P1</x:v>
      </x:c>
      <x:c r="K23" s="36" t="str">
        <x:v>필수</x:v>
      </x:c>
      <x:c r="L23" s="36" t="str">
        <x:v>판독성</x:v>
      </x:c>
      <x:c r="M23" s="36" t="str">
        <x:v>MVP</x:v>
      </x:c>
      <x:c r="N23" s="36" t="str">
        <x:v>게임플레이 엔지니어링</x:v>
      </x:c>
      <x:c r="O23" s="36" t="str">
        <x:v>미정</x:v>
      </x:c>
      <x:c r="P23" s="36" t="str">
        <x:v>미정</x:v>
      </x:c>
      <x:c r="Q23" s="36" t="str">
        <x:v>전체</x:v>
      </x:c>
      <x:c r="R23" s="36" t="str">
        <x:v>서버 권한</x:v>
      </x:c>
      <x:c r="S23" s="36" t="str">
        <x:v>세션</x:v>
      </x:c>
      <x:c r="T23" s="36" t="str">
        <x:v>M</x:v>
      </x:c>
      <x:c r="U23" s="36" t="str">
        <x:v>미착수</x:v>
      </x:c>
      <x:c r="V23" s="46" t="n">
        <x:f>IF(U23="완료",1,IF(U23="QA 진행 중",0.8,IF(U23="코드 리뷰",0.65,IF(U23="구현 중",0.4,IF(U23="사양 확인 중",0.1,IF(U23="차단",0.4,0))))))</x:f>
        <x:v>0</x:v>
      </x:c>
      <x:c r="W23" s="36" t="str">
        <x:v>미정</x:v>
      </x:c>
      <x:c r="X23" s="44"/>
      <x:c r="Y23" s="36" t="str">
        <x:v>IGM-021,CHR-012</x:v>
      </x:c>
      <x:c r="Z23" s="36" t="str">
        <x:v>중간</x:v>
      </x:c>
      <x:c r="AA23" s="36" t="str">
        <x:v>경계값</x:v>
      </x:c>
      <x:c r="AB23" s="36" t="str">
        <x:v>TC-IGM-022-01</x:v>
      </x:c>
      <x:c r="AC23" s="36"/>
      <x:c r="AD23" s="36" t="str">
        <x:v>게임 기획서</x:v>
      </x:c>
      <x:c r="AE23" s="36"/>
      <x:c r="AF23" s="44" t="str">
        <x:v>2026-07-10</x:v>
      </x:c>
      <x:c r="AG23" s="36"/>
      <x:c r="AH23" s="54"/>
      <x:c r="AI23" s="54"/>
      <x:c r="AJ23" s="53" t="str">
        <x:v>착수 전</x:v>
      </x:c>
    </x:row>
    <x:row r="24" ht="42" customHeight="1">
      <x:c r="A24" s="36" t="str">
        <x:v>IGM-023</x:v>
      </x:c>
      <x:c r="B24" s="36" t="str">
        <x:v>인게임·게임플레이</x:v>
      </x:c>
      <x:c r="C24" s="36" t="str">
        <x:v>투표</x:v>
      </x:c>
      <x:c r="D24" s="36" t="str">
        <x:v>밤 투표</x:v>
      </x:c>
      <x:c r="E24" s="36" t="str">
        <x:v>스킵 없는 강제 단일 투표</x:v>
      </x:c>
      <x:c r="F24" s="36" t="str">
        <x:v>게임 규칙, 운영 요구사항과 대상 플랫폼 제약을 충족하도록 스킵 없는 강제 단일 투표 기능을 구현하고 검증한다.</x:v>
      </x:c>
      <x:c r="G24" s="36" t="str">
        <x:v>모든 생존자는 투표 시간 안에 생존자 1명을 선택하고 확정 이후의 중복 전송과 변경은 무효로 처리한다. 미투표 시 서버 규칙을 명문화한다.</x:v>
      </x:c>
      <x:c r="H24" s="36" t="str">
        <x:v>구현, 코드 리뷰, 사양 갱신, 대상 QA 케이스 실행, 로그·텔레메트리 확인과 관련 플랫폼 검증을 완료하고 미해결 P0·P1 결함이 없다.</x:v>
      </x:c>
      <x:c r="I24" s="36" t="str">
        <x:v>MVP</x:v>
      </x:c>
      <x:c r="J24" s="36" t="str">
        <x:v>P0</x:v>
      </x:c>
      <x:c r="K24" s="36" t="str">
        <x:v>필수</x:v>
      </x:c>
      <x:c r="L24" s="36" t="str">
        <x:v>핵심 규칙</x:v>
      </x:c>
      <x:c r="M24" s="36" t="str">
        <x:v>MVP</x:v>
      </x:c>
      <x:c r="N24" s="36" t="str">
        <x:v>게임플레이 엔지니어링</x:v>
      </x:c>
      <x:c r="O24" s="36" t="str">
        <x:v>미정</x:v>
      </x:c>
      <x:c r="P24" s="36" t="str">
        <x:v>미정</x:v>
      </x:c>
      <x:c r="Q24" s="36" t="str">
        <x:v>전체</x:v>
      </x:c>
      <x:c r="R24" s="36" t="str">
        <x:v>서버 권한</x:v>
      </x:c>
      <x:c r="S24" s="36" t="str">
        <x:v>세션</x:v>
      </x:c>
      <x:c r="T24" s="36" t="str">
        <x:v>L</x:v>
      </x:c>
      <x:c r="U24" s="36" t="str">
        <x:v>미착수</x:v>
      </x:c>
      <x:c r="V24" s="46" t="n">
        <x:f>IF(U24="완료",1,IF(U24="QA 진행 중",0.8,IF(U24="코드 리뷰",0.65,IF(U24="구현 중",0.4,IF(U24="사양 확인 중",0.1,IF(U24="차단",0.4,0))))))</x:f>
        <x:v>0</x:v>
      </x:c>
      <x:c r="W24" s="36" t="str">
        <x:v>미정</x:v>
      </x:c>
      <x:c r="X24" s="44"/>
      <x:c r="Y24" s="36" t="str">
        <x:v>IGM-008,UIX-019,NET-016</x:v>
      </x:c>
      <x:c r="Z24" s="36" t="str">
        <x:v>중간</x:v>
      </x:c>
      <x:c r="AA24" s="36" t="str">
        <x:v>보안</x:v>
      </x:c>
      <x:c r="AB24" s="36" t="str">
        <x:v>TC-IGM-023-01, TC-IGM-023-02</x:v>
      </x:c>
      <x:c r="AC24" s="36"/>
      <x:c r="AD24" s="36" t="str">
        <x:v>게임 기획서</x:v>
      </x:c>
      <x:c r="AE24" s="36"/>
      <x:c r="AF24" s="44" t="str">
        <x:v>2026-07-10</x:v>
      </x:c>
      <x:c r="AG24" s="36"/>
      <x:c r="AH24" s="54"/>
      <x:c r="AI24" s="54"/>
      <x:c r="AJ24" s="53" t="str">
        <x:v>착수 전</x:v>
      </x:c>
    </x:row>
    <x:row r="25" ht="42" customHeight="1">
      <x:c r="A25" s="36" t="str">
        <x:v>IGM-024</x:v>
      </x:c>
      <x:c r="B25" s="36" t="str">
        <x:v>인게임·게임플레이</x:v>
      </x:c>
      <x:c r="C25" s="36" t="str">
        <x:v>투표</x:v>
      </x:c>
      <x:c r="D25" s="36" t="str">
        <x:v>밤 투표</x:v>
      </x:c>
      <x:c r="E25" s="36" t="str">
        <x:v>밤 투표 동률 처리</x:v>
      </x:c>
      <x:c r="F25" s="36" t="str">
        <x:v>게임 규칙, 운영 요구사항과 대상 플랫폼 제약을 충족하도록 밤 투표 동률 처리 기능을 구현하고 검증한다.</x:v>
      </x:c>
      <x:c r="G25" s="36" t="str">
        <x:v>동률 시 재투표 또는 결정 규칙이 설정, 서버, UI, 튜토리얼에서 동일하고 무한 반복이 발생하지 않는다.</x:v>
      </x:c>
      <x:c r="H25" s="36" t="str">
        <x:v>구현, 코드 리뷰, 사양 갱신, 대상 QA 케이스 실행, 로그·텔레메트리 확인과 관련 플랫폼 검증을 완료하고 미해결 P0·P1 결함이 없다.</x:v>
      </x:c>
      <x:c r="I25" s="36" t="str">
        <x:v>MVP</x:v>
      </x:c>
      <x:c r="J25" s="36" t="str">
        <x:v>P0</x:v>
      </x:c>
      <x:c r="K25" s="36" t="str">
        <x:v>필수</x:v>
      </x:c>
      <x:c r="L25" s="36" t="str">
        <x:v>규칙 결정</x:v>
      </x:c>
      <x:c r="M25" s="36" t="str">
        <x:v>MVP</x:v>
      </x:c>
      <x:c r="N25" s="36" t="str">
        <x:v>게임플레이 엔지니어링</x:v>
      </x:c>
      <x:c r="O25" s="36" t="str">
        <x:v>미정</x:v>
      </x:c>
      <x:c r="P25" s="36" t="str">
        <x:v>미정</x:v>
      </x:c>
      <x:c r="Q25" s="36" t="str">
        <x:v>전체</x:v>
      </x:c>
      <x:c r="R25" s="36" t="str">
        <x:v>서버 권한</x:v>
      </x:c>
      <x:c r="S25" s="36" t="str">
        <x:v>세션</x:v>
      </x:c>
      <x:c r="T25" s="36" t="str">
        <x:v>M</x:v>
      </x:c>
      <x:c r="U25" s="36" t="str">
        <x:v>미착수</x:v>
      </x:c>
      <x:c r="V25" s="46" t="n">
        <x:f>IF(U25="완료",1,IF(U25="QA 진행 중",0.8,IF(U25="코드 리뷰",0.65,IF(U25="구현 중",0.4,IF(U25="사양 확인 중",0.1,IF(U25="차단",0.4,0))))))</x:f>
        <x:v>0</x:v>
      </x:c>
      <x:c r="W25" s="36" t="str">
        <x:v>미정</x:v>
      </x:c>
      <x:c r="X25" s="44"/>
      <x:c r="Y25" s="36" t="str">
        <x:v>IGM-023,SET-011</x:v>
      </x:c>
      <x:c r="Z25" s="36" t="str">
        <x:v>중간</x:v>
      </x:c>
      <x:c r="AA25" s="36" t="str">
        <x:v>경계값</x:v>
      </x:c>
      <x:c r="AB25" s="36" t="str">
        <x:v>TC-IGM-024-01, TC-IGM-024-02</x:v>
      </x:c>
      <x:c r="AC25" s="36"/>
      <x:c r="AD25" s="36" t="str">
        <x:v>게임 기획서</x:v>
      </x:c>
      <x:c r="AE25" s="36"/>
      <x:c r="AF25" s="44" t="str">
        <x:v>2026-07-10</x:v>
      </x:c>
      <x:c r="AG25" s="36" t="str">
        <x:v>제품 판단이 필요하다. 의사결정 기록을 참조한다.</x:v>
      </x:c>
      <x:c r="AH25" s="54"/>
      <x:c r="AI25" s="54"/>
      <x:c r="AJ25" s="53" t="str">
        <x:v>착수 전</x:v>
      </x:c>
    </x:row>
    <x:row r="26" ht="42" customHeight="1">
      <x:c r="A26" s="36" t="str">
        <x:v>IGM-025</x:v>
      </x:c>
      <x:c r="B26" s="36" t="str">
        <x:v>인게임·게임플레이</x:v>
      </x:c>
      <x:c r="C26" s="36" t="str">
        <x:v>투표</x:v>
      </x:c>
      <x:c r="D26" s="36" t="str">
        <x:v>추방</x:v>
      </x:c>
      <x:c r="E26" s="36" t="str">
        <x:v>추방·탈락 상태 적용</x:v>
      </x:c>
      <x:c r="F26" s="36" t="str">
        <x:v>게임 규칙, 운영 요구사항과 대상 플랫폼 제약을 충족하도록 추방·탈락 상태 적용 기능을 구현하고 검증한다.</x:v>
      </x:c>
      <x:c r="G26" s="36" t="str">
        <x:v>최다 득표자를 탈락 처리해 이동, 상호작용, 투표, 보상 대상에서 제외하고 관전 가능 여부와 역할 공개 정책을 적용한다.</x:v>
      </x:c>
      <x:c r="H26" s="36" t="str">
        <x:v>구현, 코드 리뷰, 사양 갱신, 대상 QA 케이스 실행, 로그·텔레메트리 확인과 관련 플랫폼 검증을 완료하고 미해결 P0·P1 결함이 없다.</x:v>
      </x:c>
      <x:c r="I26" s="36" t="str">
        <x:v>MVP</x:v>
      </x:c>
      <x:c r="J26" s="36" t="str">
        <x:v>P0</x:v>
      </x:c>
      <x:c r="K26" s="36" t="str">
        <x:v>필수</x:v>
      </x:c>
      <x:c r="L26" s="36" t="str">
        <x:v>핵심 규칙</x:v>
      </x:c>
      <x:c r="M26" s="36" t="str">
        <x:v>MVP</x:v>
      </x:c>
      <x:c r="N26" s="36" t="str">
        <x:v>게임플레이 엔지니어링</x:v>
      </x:c>
      <x:c r="O26" s="36" t="str">
        <x:v>미정</x:v>
      </x:c>
      <x:c r="P26" s="36" t="str">
        <x:v>미정</x:v>
      </x:c>
      <x:c r="Q26" s="36" t="str">
        <x:v>전체</x:v>
      </x:c>
      <x:c r="R26" s="36" t="str">
        <x:v>서버 권한</x:v>
      </x:c>
      <x:c r="S26" s="36" t="str">
        <x:v>세션</x:v>
      </x:c>
      <x:c r="T26" s="36" t="str">
        <x:v>M</x:v>
      </x:c>
      <x:c r="U26" s="36" t="str">
        <x:v>미착수</x:v>
      </x:c>
      <x:c r="V26" s="46" t="n">
        <x:f>IF(U26="완료",1,IF(U26="QA 진행 중",0.8,IF(U26="코드 리뷰",0.65,IF(U26="구현 중",0.4,IF(U26="사양 확인 중",0.1,IF(U26="차단",0.4,0))))))</x:f>
        <x:v>0</x:v>
      </x:c>
      <x:c r="W26" s="36" t="str">
        <x:v>미정</x:v>
      </x:c>
      <x:c r="X26" s="44"/>
      <x:c r="Y26" s="36" t="str">
        <x:v>IGM-023,IGM-024</x:v>
      </x:c>
      <x:c r="Z26" s="36" t="str">
        <x:v>중간</x:v>
      </x:c>
      <x:c r="AA26" s="36" t="str">
        <x:v>통합</x:v>
      </x:c>
      <x:c r="AB26" s="36" t="str">
        <x:v>TC-IGM-025-01, TC-IGM-025-02</x:v>
      </x:c>
      <x:c r="AC26" s="36"/>
      <x:c r="AD26" s="36" t="str">
        <x:v>게임 기획서</x:v>
      </x:c>
      <x:c r="AE26" s="36"/>
      <x:c r="AF26" s="44" t="str">
        <x:v>2026-07-10</x:v>
      </x:c>
      <x:c r="AG26" s="36"/>
      <x:c r="AH26" s="54"/>
      <x:c r="AI26" s="54"/>
      <x:c r="AJ26" s="53" t="str">
        <x:v>착수 전</x:v>
      </x:c>
    </x:row>
    <x:row r="27" ht="42" customHeight="1">
      <x:c r="A27" s="36" t="str">
        <x:v>IGM-026</x:v>
      </x:c>
      <x:c r="B27" s="36" t="str">
        <x:v>인게임·게임플레이</x:v>
      </x:c>
      <x:c r="C27" s="36" t="str">
        <x:v>승패</x:v>
      </x:c>
      <x:c r="D27" s="36" t="str">
        <x:v>기본 승리</x:v>
      </x:c>
      <x:c r="E27" s="36" t="str">
        <x:v>마피아 추방 시 시민 승리</x:v>
      </x:c>
      <x:c r="F27" s="36" t="str">
        <x:v>게임 규칙, 운영 요구사항과 대상 플랫폼 제약을 충족하도록 마피아 추방 시 시민 승리 기능을 구현하고 검증한다.</x:v>
      </x:c>
      <x:c r="G27" s="36" t="str">
        <x:v>조수 규칙이 꺼진 MVP에서 마피아가 추방되면 다른 상태 전이보다 우선하여 시민 승리를 확정하고 결과 화면으로 이동한다.</x:v>
      </x:c>
      <x:c r="H27" s="36" t="str">
        <x:v>구현, 코드 리뷰, 사양 갱신, 대상 QA 케이스 실행, 로그·텔레메트리 확인과 관련 플랫폼 검증을 완료하고 미해결 P0·P1 결함이 없다.</x:v>
      </x:c>
      <x:c r="I27" s="36" t="str">
        <x:v>MVP</x:v>
      </x:c>
      <x:c r="J27" s="36" t="str">
        <x:v>P0</x:v>
      </x:c>
      <x:c r="K27" s="36" t="str">
        <x:v>필수</x:v>
      </x:c>
      <x:c r="L27" s="36" t="str">
        <x:v>승패</x:v>
      </x:c>
      <x:c r="M27" s="36" t="str">
        <x:v>MVP</x:v>
      </x:c>
      <x:c r="N27" s="36" t="str">
        <x:v>게임플레이 엔지니어링</x:v>
      </x:c>
      <x:c r="O27" s="36" t="str">
        <x:v>미정</x:v>
      </x:c>
      <x:c r="P27" s="36" t="str">
        <x:v>미정</x:v>
      </x:c>
      <x:c r="Q27" s="36" t="str">
        <x:v>전체</x:v>
      </x:c>
      <x:c r="R27" s="36" t="str">
        <x:v>서버 권한</x:v>
      </x:c>
      <x:c r="S27" s="36" t="str">
        <x:v>세션</x:v>
      </x:c>
      <x:c r="T27" s="36" t="str">
        <x:v>S</x:v>
      </x:c>
      <x:c r="U27" s="36" t="str">
        <x:v>미착수</x:v>
      </x:c>
      <x:c r="V27" s="46" t="n">
        <x:f>IF(U27="완료",1,IF(U27="QA 진행 중",0.8,IF(U27="코드 리뷰",0.65,IF(U27="구현 중",0.4,IF(U27="사양 확인 중",0.1,IF(U27="차단",0.4,0))))))</x:f>
        <x:v>0</x:v>
      </x:c>
      <x:c r="W27" s="36" t="str">
        <x:v>미정</x:v>
      </x:c>
      <x:c r="X27" s="44"/>
      <x:c r="Y27" s="36" t="str">
        <x:v>IGM-025,IGM-002</x:v>
      </x:c>
      <x:c r="Z27" s="36" t="str">
        <x:v>중간</x:v>
      </x:c>
      <x:c r="AA27" s="36" t="str">
        <x:v>경계값</x:v>
      </x:c>
      <x:c r="AB27" s="36" t="str">
        <x:v>TC-IGM-026-01, TC-IGM-026-02</x:v>
      </x:c>
      <x:c r="AC27" s="36"/>
      <x:c r="AD27" s="36" t="str">
        <x:v>게임 기획서</x:v>
      </x:c>
      <x:c r="AE27" s="36"/>
      <x:c r="AF27" s="44" t="str">
        <x:v>2026-07-10</x:v>
      </x:c>
      <x:c r="AG27" s="36"/>
      <x:c r="AH27" s="54"/>
      <x:c r="AI27" s="54"/>
      <x:c r="AJ27" s="53" t="str">
        <x:v>착수 전</x:v>
      </x:c>
    </x:row>
    <x:row r="28" ht="42" customHeight="1">
      <x:c r="A28" s="36" t="str">
        <x:v>IGM-027</x:v>
      </x:c>
      <x:c r="B28" s="36" t="str">
        <x:v>인게임·게임플레이</x:v>
      </x:c>
      <x:c r="C28" s="36" t="str">
        <x:v>승패</x:v>
      </x:c>
      <x:c r="D28" s="36" t="str">
        <x:v>기본 승리</x:v>
      </x:c>
      <x:c r="E28" s="36" t="str">
        <x:v>생존 인원 동수 조건 마피아 승리</x:v>
      </x:c>
      <x:c r="F28" s="36" t="str">
        <x:v>게임 규칙, 운영 요구사항과 대상 플랫폼 제약을 충족하도록 생존 인원 동수 조건 마피아 승리 기능을 구현하고 검증한다.</x:v>
      </x:c>
      <x:c r="G28" s="36" t="str">
        <x:v>생존 시민 수가 생존 마피아 수 이하가 되는 안전한 판정 시점에 마피아 승리를 확정하고 중복 승패 판정을 방지한다.</x:v>
      </x:c>
      <x:c r="H28" s="36" t="str">
        <x:v>구현, 코드 리뷰, 사양 갱신, 대상 QA 케이스 실행, 로그·텔레메트리 확인과 관련 플랫폼 검증을 완료하고 미해결 P0·P1 결함이 없다.</x:v>
      </x:c>
      <x:c r="I28" s="36" t="str">
        <x:v>MVP</x:v>
      </x:c>
      <x:c r="J28" s="36" t="str">
        <x:v>P0</x:v>
      </x:c>
      <x:c r="K28" s="36" t="str">
        <x:v>필수</x:v>
      </x:c>
      <x:c r="L28" s="36" t="str">
        <x:v>승패</x:v>
      </x:c>
      <x:c r="M28" s="36" t="str">
        <x:v>MVP</x:v>
      </x:c>
      <x:c r="N28" s="36" t="str">
        <x:v>게임플레이 엔지니어링</x:v>
      </x:c>
      <x:c r="O28" s="36" t="str">
        <x:v>미정</x:v>
      </x:c>
      <x:c r="P28" s="36" t="str">
        <x:v>미정</x:v>
      </x:c>
      <x:c r="Q28" s="36" t="str">
        <x:v>전체</x:v>
      </x:c>
      <x:c r="R28" s="36" t="str">
        <x:v>서버 권한</x:v>
      </x:c>
      <x:c r="S28" s="36" t="str">
        <x:v>세션</x:v>
      </x:c>
      <x:c r="T28" s="36" t="str">
        <x:v>S</x:v>
      </x:c>
      <x:c r="U28" s="36" t="str">
        <x:v>미착수</x:v>
      </x:c>
      <x:c r="V28" s="46" t="n">
        <x:f>IF(U28="완료",1,IF(U28="QA 진행 중",0.8,IF(U28="코드 리뷰",0.65,IF(U28="구현 중",0.4,IF(U28="사양 확인 중",0.1,IF(U28="차단",0.4,0))))))</x:f>
        <x:v>0</x:v>
      </x:c>
      <x:c r="W28" s="36" t="str">
        <x:v>미정</x:v>
      </x:c>
      <x:c r="X28" s="44"/>
      <x:c r="Y28" s="36" t="str">
        <x:v>IGM-025,IGM-002</x:v>
      </x:c>
      <x:c r="Z28" s="36" t="str">
        <x:v>중간</x:v>
      </x:c>
      <x:c r="AA28" s="36" t="str">
        <x:v>경계값</x:v>
      </x:c>
      <x:c r="AB28" s="36" t="str">
        <x:v>TC-IGM-027-01, TC-IGM-027-02</x:v>
      </x:c>
      <x:c r="AC28" s="36"/>
      <x:c r="AD28" s="36" t="str">
        <x:v>게임 기획서</x:v>
      </x:c>
      <x:c r="AE28" s="36"/>
      <x:c r="AF28" s="44" t="str">
        <x:v>2026-07-10</x:v>
      </x:c>
      <x:c r="AG28" s="36"/>
      <x:c r="AH28" s="54"/>
      <x:c r="AI28" s="54"/>
      <x:c r="AJ28" s="53" t="str">
        <x:v>착수 전</x:v>
      </x:c>
    </x:row>
    <x:row r="29" ht="42" customHeight="1">
      <x:c r="A29" s="36" t="str">
        <x:v>IGM-028</x:v>
      </x:c>
      <x:c r="B29" s="36" t="str">
        <x:v>인게임·게임플레이</x:v>
      </x:c>
      <x:c r="C29" s="36" t="str">
        <x:v>최종 재판</x:v>
      </x:c>
      <x:c r="D29" s="36" t="str">
        <x:v>발동 조건</x:v>
      </x:c>
      <x:c r="E29" s="36" t="str">
        <x:v>최종 재판 3개 조건 발동</x:v>
      </x:c>
      <x:c r="F29" s="36" t="str">
        <x:v>게임 규칙, 운영 요구사항과 대상 플랫폼 제약을 충족하도록 최종 재판 3개 조건 발동 기능을 구현하고 검증한다.</x:v>
      </x:c>
      <x:c r="G29" s="36" t="str">
        <x:v>모든 미니게임 완료, 생존자 3명 이하, 5일째 낮 종료 중 하나를 충족하면 최종 재판을 한 번만 시작하며 일반 밤 투표와 충돌하지 않는다.</x:v>
      </x:c>
      <x:c r="H29" s="36" t="str">
        <x:v>구현, 코드 리뷰, 사양 갱신, 대상 QA 케이스 실행, 로그·텔레메트리 확인과 관련 플랫폼 검증을 완료하고 미해결 P0·P1 결함이 없다.</x:v>
      </x:c>
      <x:c r="I29" s="36" t="str">
        <x:v>MVP</x:v>
      </x:c>
      <x:c r="J29" s="36" t="str">
        <x:v>P0</x:v>
      </x:c>
      <x:c r="K29" s="36" t="str">
        <x:v>필수</x:v>
      </x:c>
      <x:c r="L29" s="36" t="str">
        <x:v>승패</x:v>
      </x:c>
      <x:c r="M29" s="36" t="str">
        <x:v>MVP</x:v>
      </x:c>
      <x:c r="N29" s="36" t="str">
        <x:v>게임플레이 엔지니어링</x:v>
      </x:c>
      <x:c r="O29" s="36" t="str">
        <x:v>미정</x:v>
      </x:c>
      <x:c r="P29" s="36" t="str">
        <x:v>미정</x:v>
      </x:c>
      <x:c r="Q29" s="36" t="str">
        <x:v>전체</x:v>
      </x:c>
      <x:c r="R29" s="36" t="str">
        <x:v>서버 권한</x:v>
      </x:c>
      <x:c r="S29" s="36" t="str">
        <x:v>세션</x:v>
      </x:c>
      <x:c r="T29" s="36" t="str">
        <x:v>L</x:v>
      </x:c>
      <x:c r="U29" s="36" t="str">
        <x:v>미착수</x:v>
      </x:c>
      <x:c r="V29" s="46" t="n">
        <x:f>IF(U29="완료",1,IF(U29="QA 진행 중",0.8,IF(U29="코드 리뷰",0.65,IF(U29="구현 중",0.4,IF(U29="사양 확인 중",0.1,IF(U29="차단",0.4,0))))))</x:f>
        <x:v>0</x:v>
      </x:c>
      <x:c r="W29" s="36" t="str">
        <x:v>미정</x:v>
      </x:c>
      <x:c r="X29" s="44"/>
      <x:c r="Y29" s="36" t="str">
        <x:v>IGM-001,CNT-022,SET-013</x:v>
      </x:c>
      <x:c r="Z29" s="36" t="str">
        <x:v>중간</x:v>
      </x:c>
      <x:c r="AA29" s="36" t="str">
        <x:v>경계값</x:v>
      </x:c>
      <x:c r="AB29" s="36" t="str">
        <x:v>TC-IGM-028-01, TC-IGM-028-02</x:v>
      </x:c>
      <x:c r="AC29" s="36"/>
      <x:c r="AD29" s="36" t="str">
        <x:v>게임 기획서</x:v>
      </x:c>
      <x:c r="AE29" s="36"/>
      <x:c r="AF29" s="44" t="str">
        <x:v>2026-07-10</x:v>
      </x:c>
      <x:c r="AG29" s="36"/>
      <x:c r="AH29" s="54"/>
      <x:c r="AI29" s="54"/>
      <x:c r="AJ29" s="53" t="str">
        <x:v>착수 전</x:v>
      </x:c>
    </x:row>
    <x:row r="30" ht="42" customHeight="1">
      <x:c r="A30" s="36" t="str">
        <x:v>IGM-029</x:v>
      </x:c>
      <x:c r="B30" s="36" t="str">
        <x:v>인게임·게임플레이</x:v>
      </x:c>
      <x:c r="C30" s="36" t="str">
        <x:v>최종 재판</x:v>
      </x:c>
      <x:c r="D30" s="36" t="str">
        <x:v>증빙</x:v>
      </x:c>
      <x:c r="E30" s="36" t="str">
        <x:v>최종 재판 메모 이력 제한 공개</x:v>
      </x:c>
      <x:c r="F30" s="36" t="str">
        <x:v>게임 규칙, 운영 요구사항과 대상 플랫폼 제약을 충족하도록 최종 재판 메모 이력 제한 공개 기능을 구현하고 검증한다.</x:v>
      </x:c>
      <x:c r="G30" s="36" t="str">
        <x:v>메모 내용, 표시 색상, 대상, 부착 순서만 공개하고 실제 작성자, 실제 부착자, 위조 여부, 내부 타임스탬프는 공개 페이로드에 포함하지 않는다.</x:v>
      </x:c>
      <x:c r="H30" s="36" t="str">
        <x:v>구현, 코드 리뷰, 사양 갱신, 대상 QA 케이스 실행, 로그·텔레메트리 확인과 관련 플랫폼 검증을 완료하고 미해결 P0·P1 결함이 없다.</x:v>
      </x:c>
      <x:c r="I30" s="36" t="str">
        <x:v>MVP</x:v>
      </x:c>
      <x:c r="J30" s="36" t="str">
        <x:v>P0</x:v>
      </x:c>
      <x:c r="K30" s="36" t="str">
        <x:v>필수</x:v>
      </x:c>
      <x:c r="L30" s="36" t="str">
        <x:v>정보 비공개</x:v>
      </x:c>
      <x:c r="M30" s="36" t="str">
        <x:v>MVP</x:v>
      </x:c>
      <x:c r="N30" s="36" t="str">
        <x:v>게임플레이 엔지니어링</x:v>
      </x:c>
      <x:c r="O30" s="36" t="str">
        <x:v>미정</x:v>
      </x:c>
      <x:c r="P30" s="36" t="str">
        <x:v>미정</x:v>
      </x:c>
      <x:c r="Q30" s="36" t="str">
        <x:v>전체</x:v>
      </x:c>
      <x:c r="R30" s="36" t="str">
        <x:v>서버 권한</x:v>
      </x:c>
      <x:c r="S30" s="36" t="str">
        <x:v>세션</x:v>
      </x:c>
      <x:c r="T30" s="36" t="str">
        <x:v>L</x:v>
      </x:c>
      <x:c r="U30" s="36" t="str">
        <x:v>미착수</x:v>
      </x:c>
      <x:c r="V30" s="46" t="n">
        <x:f>IF(U30="완료",1,IF(U30="QA 진행 중",0.8,IF(U30="코드 리뷰",0.65,IF(U30="구현 중",0.4,IF(U30="사양 확인 중",0.1,IF(U30="차단",0.4,0))))))</x:f>
        <x:v>0</x:v>
      </x:c>
      <x:c r="W30" s="36" t="str">
        <x:v>미정</x:v>
      </x:c>
      <x:c r="X30" s="44"/>
      <x:c r="Y30" s="36" t="str">
        <x:v>IGM-021,IGM-028,NET-018</x:v>
      </x:c>
      <x:c r="Z30" s="36" t="str">
        <x:v>중간</x:v>
      </x:c>
      <x:c r="AA30" s="36" t="str">
        <x:v>보안</x:v>
      </x:c>
      <x:c r="AB30" s="36" t="str">
        <x:v>TC-IGM-029-01, TC-IGM-029-02</x:v>
      </x:c>
      <x:c r="AC30" s="36"/>
      <x:c r="AD30" s="36" t="str">
        <x:v>게임 기획서</x:v>
      </x:c>
      <x:c r="AE30" s="36"/>
      <x:c r="AF30" s="44" t="str">
        <x:v>2026-07-10</x:v>
      </x:c>
      <x:c r="AG30" s="36"/>
      <x:c r="AH30" s="54"/>
      <x:c r="AI30" s="54"/>
      <x:c r="AJ30" s="53" t="str">
        <x:v>착수 전</x:v>
      </x:c>
    </x:row>
    <x:row r="31" ht="42" customHeight="1">
      <x:c r="A31" s="36" t="str">
        <x:v>IGM-030</x:v>
      </x:c>
      <x:c r="B31" s="36" t="str">
        <x:v>인게임·게임플레이</x:v>
      </x:c>
      <x:c r="C31" s="36" t="str">
        <x:v>최종 재판</x:v>
      </x:c>
      <x:c r="D31" s="36" t="str">
        <x:v>최종 발언</x:v>
      </x:c>
      <x:c r="E31" s="36" t="str">
        <x:v>1인 1회 최종 발언 제어</x:v>
      </x:c>
      <x:c r="F31" s="36" t="str">
        <x:v>게임 규칙, 운영 요구사항과 대상 플랫폼 제약을 충족하도록 1인 1회 최종 발언 제어 기능을 구현하고 검증한다.</x:v>
      </x:c>
      <x:c r="G31" s="36" t="str">
        <x:v>생존자에게 정해진 시간의 발언권을 한 번씩 순서대로 부여하며, 발언 대상이 아닌 플레이어의 음성, 텍스트, 이모트를 차단한다.</x:v>
      </x:c>
      <x:c r="H31" s="36" t="str">
        <x:v>구현, 코드 리뷰, 사양 갱신, 대상 QA 케이스 실행, 로그·텔레메트리 확인과 관련 플랫폼 검증을 완료하고 미해결 P0·P1 결함이 없다.</x:v>
      </x:c>
      <x:c r="I31" s="36" t="str">
        <x:v>MVP</x:v>
      </x:c>
      <x:c r="J31" s="36" t="str">
        <x:v>P0</x:v>
      </x:c>
      <x:c r="K31" s="36" t="str">
        <x:v>필수</x:v>
      </x:c>
      <x:c r="L31" s="36" t="str">
        <x:v>핵심 규칙</x:v>
      </x:c>
      <x:c r="M31" s="36" t="str">
        <x:v>MVP</x:v>
      </x:c>
      <x:c r="N31" s="36" t="str">
        <x:v>게임플레이 엔지니어링</x:v>
      </x:c>
      <x:c r="O31" s="36" t="str">
        <x:v>미정</x:v>
      </x:c>
      <x:c r="P31" s="36" t="str">
        <x:v>미정</x:v>
      </x:c>
      <x:c r="Q31" s="36" t="str">
        <x:v>전체</x:v>
      </x:c>
      <x:c r="R31" s="36" t="str">
        <x:v>서버 권한</x:v>
      </x:c>
      <x:c r="S31" s="36" t="str">
        <x:v>세션</x:v>
      </x:c>
      <x:c r="T31" s="36" t="str">
        <x:v>L</x:v>
      </x:c>
      <x:c r="U31" s="36" t="str">
        <x:v>미착수</x:v>
      </x:c>
      <x:c r="V31" s="46" t="n">
        <x:f>IF(U31="완료",1,IF(U31="QA 진행 중",0.8,IF(U31="코드 리뷰",0.65,IF(U31="구현 중",0.4,IF(U31="사양 확인 중",0.1,IF(U31="차단",0.4,0))))))</x:f>
        <x:v>0</x:v>
      </x:c>
      <x:c r="W31" s="36" t="str">
        <x:v>미정</x:v>
      </x:c>
      <x:c r="X31" s="44"/>
      <x:c r="Y31" s="36" t="str">
        <x:v>IGM-028,AUD-008,UIX-022</x:v>
      </x:c>
      <x:c r="Z31" s="36" t="str">
        <x:v>중간</x:v>
      </x:c>
      <x:c r="AA31" s="36" t="str">
        <x:v>통합</x:v>
      </x:c>
      <x:c r="AB31" s="36" t="str">
        <x:v>TC-IGM-030-01, TC-IGM-030-02</x:v>
      </x:c>
      <x:c r="AC31" s="36"/>
      <x:c r="AD31" s="36" t="str">
        <x:v>게임 기획서</x:v>
      </x:c>
      <x:c r="AE31" s="36"/>
      <x:c r="AF31" s="44" t="str">
        <x:v>2026-07-10</x:v>
      </x:c>
      <x:c r="AG31" s="36"/>
      <x:c r="AH31" s="54"/>
      <x:c r="AI31" s="54"/>
      <x:c r="AJ31" s="53" t="str">
        <x:v>착수 전</x:v>
      </x:c>
    </x:row>
    <x:row r="32" ht="42" customHeight="1">
      <x:c r="A32" s="36" t="str">
        <x:v>IGM-031</x:v>
      </x:c>
      <x:c r="B32" s="36" t="str">
        <x:v>인게임·게임플레이</x:v>
      </x:c>
      <x:c r="C32" s="36" t="str">
        <x:v>최종 재판</x:v>
      </x:c>
      <x:c r="D32" s="36" t="str">
        <x:v>투표</x:v>
      </x:c>
      <x:c r="E32" s="36" t="str">
        <x:v>최종 투표·최종 승패 판정</x:v>
      </x:c>
      <x:c r="F32" s="36" t="str">
        <x:v>게임 규칙, 운영 요구사항과 대상 플랫폼 제약을 충족하도록 최종 투표·최종 승패 판정 기능을 구현하고 검증한다.</x:v>
      </x:c>
      <x:c r="G32" s="36" t="str">
        <x:v>발언 종료 후 대화를 차단하고 1표를 접수한다. 마피아가 단독 최다 득표면 시민 승리, 이를 피하면 마피아 승리로 판정하며 동률 규칙을 적용한다.</x:v>
      </x:c>
      <x:c r="H32" s="36" t="str">
        <x:v>구현, 코드 리뷰, 사양 갱신, 대상 QA 케이스 실행, 로그·텔레메트리 확인과 관련 플랫폼 검증을 완료하고 미해결 P0·P1 결함이 없다.</x:v>
      </x:c>
      <x:c r="I32" s="36" t="str">
        <x:v>MVP</x:v>
      </x:c>
      <x:c r="J32" s="36" t="str">
        <x:v>P0</x:v>
      </x:c>
      <x:c r="K32" s="36" t="str">
        <x:v>필수</x:v>
      </x:c>
      <x:c r="L32" s="36" t="str">
        <x:v>승패</x:v>
      </x:c>
      <x:c r="M32" s="36" t="str">
        <x:v>MVP</x:v>
      </x:c>
      <x:c r="N32" s="36" t="str">
        <x:v>게임플레이 엔지니어링</x:v>
      </x:c>
      <x:c r="O32" s="36" t="str">
        <x:v>미정</x:v>
      </x:c>
      <x:c r="P32" s="36" t="str">
        <x:v>미정</x:v>
      </x:c>
      <x:c r="Q32" s="36" t="str">
        <x:v>전체</x:v>
      </x:c>
      <x:c r="R32" s="36" t="str">
        <x:v>서버 권한</x:v>
      </x:c>
      <x:c r="S32" s="36" t="str">
        <x:v>세션</x:v>
      </x:c>
      <x:c r="T32" s="36" t="str">
        <x:v>L</x:v>
      </x:c>
      <x:c r="U32" s="36" t="str">
        <x:v>미착수</x:v>
      </x:c>
      <x:c r="V32" s="46" t="n">
        <x:f>IF(U32="완료",1,IF(U32="QA 진행 중",0.8,IF(U32="코드 리뷰",0.65,IF(U32="구현 중",0.4,IF(U32="사양 확인 중",0.1,IF(U32="차단",0.4,0))))))</x:f>
        <x:v>0</x:v>
      </x:c>
      <x:c r="W32" s="36" t="str">
        <x:v>미정</x:v>
      </x:c>
      <x:c r="X32" s="44"/>
      <x:c r="Y32" s="36" t="str">
        <x:v>IGM-030,IGM-029,IGM-024</x:v>
      </x:c>
      <x:c r="Z32" s="36" t="str">
        <x:v>중간</x:v>
      </x:c>
      <x:c r="AA32" s="36" t="str">
        <x:v>경계값</x:v>
      </x:c>
      <x:c r="AB32" s="36" t="str">
        <x:v>TC-IGM-031-01, TC-IGM-031-02</x:v>
      </x:c>
      <x:c r="AC32" s="36"/>
      <x:c r="AD32" s="36" t="str">
        <x:v>게임 기획서</x:v>
      </x:c>
      <x:c r="AE32" s="36"/>
      <x:c r="AF32" s="44" t="str">
        <x:v>2026-07-10</x:v>
      </x:c>
      <x:c r="AG32" s="36"/>
      <x:c r="AH32" s="54"/>
      <x:c r="AI32" s="54"/>
      <x:c r="AJ32" s="53" t="str">
        <x:v>착수 전</x:v>
      </x:c>
    </x:row>
    <x:row r="33" ht="42" customHeight="1">
      <x:c r="A33" s="36" t="str">
        <x:v>IGM-032</x:v>
      </x:c>
      <x:c r="B33" s="36" t="str">
        <x:v>인게임·게임플레이</x:v>
      </x:c>
      <x:c r="C33" s="36" t="str">
        <x:v>복원력</x:v>
      </x:c>
      <x:c r="D33" s="36" t="str">
        <x:v>연결 끊김</x:v>
      </x:c>
      <x:c r="E33" s="36" t="str">
        <x:v>연결 끊김 플레이어 진행 처리</x:v>
      </x:c>
      <x:c r="F33" s="36" t="str">
        <x:v>게임 규칙, 운영 요구사항과 대상 플랫폼 제약을 충족하도록 연결 끊김 플레이어 진행 처리 기능을 구현하고 검증한다.</x:v>
      </x:c>
      <x:c r="G33" s="36" t="str">
        <x:v>연결이 끊긴 플레이어를 투표 모수, 승패 판정, 최종 발언 순서에서 규칙대로 처리해 매치가 중단되지 않도록 하고 재접속 유예 중 처리도 설정을 따른다.</x:v>
      </x:c>
      <x:c r="H33" s="36" t="str">
        <x:v>구현, 코드 리뷰, 사양 갱신, 대상 QA 케이스 실행, 로그·텔레메트리 확인과 관련 플랫폼 검증을 완료하고 미해결 P0·P1 결함이 없다.</x:v>
      </x:c>
      <x:c r="I33" s="36" t="str">
        <x:v>알파</x:v>
      </x:c>
      <x:c r="J33" s="36" t="str">
        <x:v>P0</x:v>
      </x:c>
      <x:c r="K33" s="36" t="str">
        <x:v>필수</x:v>
      </x:c>
      <x:c r="L33" s="36" t="str">
        <x:v>안정성</x:v>
      </x:c>
      <x:c r="M33" s="36" t="str">
        <x:v>알파</x:v>
      </x:c>
      <x:c r="N33" s="36" t="str">
        <x:v>게임플레이 엔지니어링</x:v>
      </x:c>
      <x:c r="O33" s="36" t="str">
        <x:v>미정</x:v>
      </x:c>
      <x:c r="P33" s="36" t="str">
        <x:v>미정</x:v>
      </x:c>
      <x:c r="Q33" s="36" t="str">
        <x:v>전체</x:v>
      </x:c>
      <x:c r="R33" s="36" t="str">
        <x:v>서버 권한</x:v>
      </x:c>
      <x:c r="S33" s="36" t="str">
        <x:v>세션</x:v>
      </x:c>
      <x:c r="T33" s="36" t="str">
        <x:v>L</x:v>
      </x:c>
      <x:c r="U33" s="36" t="str">
        <x:v>미착수</x:v>
      </x:c>
      <x:c r="V33" s="46" t="n">
        <x:f>IF(U33="완료",1,IF(U33="QA 진행 중",0.8,IF(U33="코드 리뷰",0.65,IF(U33="구현 중",0.4,IF(U33="사양 확인 중",0.1,IF(U33="차단",0.4,0))))))</x:f>
        <x:v>0</x:v>
      </x:c>
      <x:c r="W33" s="36" t="str">
        <x:v>미정</x:v>
      </x:c>
      <x:c r="X33" s="44"/>
      <x:c r="Y33" s="36" t="str">
        <x:v>IGM-001,ONL-017</x:v>
      </x:c>
      <x:c r="Z33" s="36" t="str">
        <x:v>중간</x:v>
      </x:c>
      <x:c r="AA33" s="36" t="str">
        <x:v>네트워크</x:v>
      </x:c>
      <x:c r="AB33" s="36" t="str">
        <x:v>TC-IGM-032-01, TC-IGM-032-02</x:v>
      </x:c>
      <x:c r="AC33" s="36"/>
      <x:c r="AD33" s="36" t="str">
        <x:v>게임 기획서</x:v>
      </x:c>
      <x:c r="AE33" s="36"/>
      <x:c r="AF33" s="44" t="str">
        <x:v>2026-07-10</x:v>
      </x:c>
      <x:c r="AG33" s="36"/>
      <x:c r="AH33" s="54"/>
      <x:c r="AI33" s="54"/>
      <x:c r="AJ33" s="53" t="str">
        <x:v>착수 전</x:v>
      </x:c>
    </x:row>
    <x:row r="34" ht="42" customHeight="1">
      <x:c r="A34" s="36" t="str">
        <x:v>IGM-033</x:v>
      </x:c>
      <x:c r="B34" s="36" t="str">
        <x:v>인게임·게임플레이</x:v>
      </x:c>
      <x:c r="C34" s="36" t="str">
        <x:v>복원력</x:v>
      </x:c>
      <x:c r="D34" s="36" t="str">
        <x:v>재접속</x:v>
      </x:c>
      <x:c r="E34" s="36" t="str">
        <x:v>재접속 시 전체 상태 복원</x:v>
      </x:c>
      <x:c r="F34" s="36" t="str">
        <x:v>게임 규칙, 운영 요구사항과 대상 플랫폼 제약을 충족하도록 재접속 시 전체 상태 복원 기능을 구현하고 검증한다.</x:v>
      </x:c>
      <x:c r="G34" s="36" t="str">
        <x:v>역할, 색상, 보유 메모, 부착 이력, 생존 상태, 페이즈, 남은 시간, 투표 여부를 복원하고 수신자별 비공개 정보를 정확하게 재전송한다.</x:v>
      </x:c>
      <x:c r="H34" s="36" t="str">
        <x:v>구현, 코드 리뷰, 사양 갱신, 대상 QA 케이스 실행, 로그·텔레메트리 확인과 관련 플랫폼 검증을 완료하고 미해결 P0·P1 결함이 없다.</x:v>
      </x:c>
      <x:c r="I34" s="36" t="str">
        <x:v>알파</x:v>
      </x:c>
      <x:c r="J34" s="36" t="str">
        <x:v>P0</x:v>
      </x:c>
      <x:c r="K34" s="36" t="str">
        <x:v>필수</x:v>
      </x:c>
      <x:c r="L34" s="36" t="str">
        <x:v>안정성</x:v>
      </x:c>
      <x:c r="M34" s="36" t="str">
        <x:v>알파</x:v>
      </x:c>
      <x:c r="N34" s="36" t="str">
        <x:v>게임플레이 엔지니어링</x:v>
      </x:c>
      <x:c r="O34" s="36" t="str">
        <x:v>미정</x:v>
      </x:c>
      <x:c r="P34" s="36" t="str">
        <x:v>미정</x:v>
      </x:c>
      <x:c r="Q34" s="36" t="str">
        <x:v>전체</x:v>
      </x:c>
      <x:c r="R34" s="36" t="str">
        <x:v>서버 권한</x:v>
      </x:c>
      <x:c r="S34" s="36" t="str">
        <x:v>세션</x:v>
      </x:c>
      <x:c r="T34" s="36" t="str">
        <x:v>XL</x:v>
      </x:c>
      <x:c r="U34" s="36" t="str">
        <x:v>미착수</x:v>
      </x:c>
      <x:c r="V34" s="46" t="n">
        <x:f>IF(U34="완료",1,IF(U34="QA 진행 중",0.8,IF(U34="코드 리뷰",0.65,IF(U34="구현 중",0.4,IF(U34="사양 확인 중",0.1,IF(U34="차단",0.4,0))))))</x:f>
        <x:v>0</x:v>
      </x:c>
      <x:c r="W34" s="36" t="str">
        <x:v>미정</x:v>
      </x:c>
      <x:c r="X34" s="44"/>
      <x:c r="Y34" s="36" t="str">
        <x:v>IGM-032,NET-019</x:v>
      </x:c>
      <x:c r="Z34" s="36" t="str">
        <x:v>중간</x:v>
      </x:c>
      <x:c r="AA34" s="36" t="str">
        <x:v>네트워크</x:v>
      </x:c>
      <x:c r="AB34" s="36" t="str">
        <x:v>TC-IGM-033-01, TC-IGM-033-02</x:v>
      </x:c>
      <x:c r="AC34" s="36"/>
      <x:c r="AD34" s="36" t="str">
        <x:v>게임 기획서</x:v>
      </x:c>
      <x:c r="AE34" s="36"/>
      <x:c r="AF34" s="44" t="str">
        <x:v>2026-07-10</x:v>
      </x:c>
      <x:c r="AG34" s="36"/>
      <x:c r="AH34" s="54"/>
      <x:c r="AI34" s="54"/>
      <x:c r="AJ34" s="53" t="str">
        <x:v>착수 전</x:v>
      </x:c>
    </x:row>
    <x:row r="35" ht="42" customHeight="1">
      <x:c r="A35" s="36" t="str">
        <x:v>IGM-034</x:v>
      </x:c>
      <x:c r="B35" s="36" t="str">
        <x:v>인게임·게임플레이</x:v>
      </x:c>
      <x:c r="C35" s="36" t="str">
        <x:v>확장</x:v>
      </x:c>
      <x:c r="D35" s="36" t="str">
        <x:v>사진 메모</x:v>
      </x:c>
      <x:c r="E35" s="36" t="str">
        <x:v>사진 메모 기록·부착</x:v>
      </x:c>
      <x:c r="F35" s="36" t="str">
        <x:v>게임 규칙, 운영 요구사항과 대상 플랫폼 제약을 충족하도록 사진 메모 기록·부착 기능을 구현하고 검증한다.</x:v>
      </x:c>
      <x:c r="G35" s="36" t="str">
        <x:v>카메라 2회 사용, 좁은 화각, 약한 흐림, 정확한 시각 비공개 규칙으로 사진 메모를 생성해 확정 증거가 지나치게 강해지지 않도록 한다.</x:v>
      </x:c>
      <x:c r="H35" s="36" t="str">
        <x:v>구현, 코드 리뷰, 사양 갱신, 대상 QA 케이스 실행, 로그·텔레메트리 확인과 관련 플랫폼 검증을 완료하고 미해결 P0·P1 결함이 없다.</x:v>
      </x:c>
      <x:c r="I35" s="36" t="str">
        <x:v>출시 후</x:v>
      </x:c>
      <x:c r="J35" s="36" t="str">
        <x:v>P2</x:v>
      </x:c>
      <x:c r="K35" s="36" t="str">
        <x:v>조건부</x:v>
      </x:c>
      <x:c r="L35" s="36" t="str">
        <x:v>확장</x:v>
      </x:c>
      <x:c r="M35" s="36" t="str">
        <x:v>출시 후</x:v>
      </x:c>
      <x:c r="N35" s="36" t="str">
        <x:v>게임플레이 엔지니어링</x:v>
      </x:c>
      <x:c r="O35" s="36" t="str">
        <x:v>미정</x:v>
      </x:c>
      <x:c r="P35" s="36" t="str">
        <x:v>미정</x:v>
      </x:c>
      <x:c r="Q35" s="36" t="str">
        <x:v>전체</x:v>
      </x:c>
      <x:c r="R35" s="36" t="str">
        <x:v>서버 권한</x:v>
      </x:c>
      <x:c r="S35" s="36" t="str">
        <x:v>매치</x:v>
      </x:c>
      <x:c r="T35" s="36" t="str">
        <x:v>XL</x:v>
      </x:c>
      <x:c r="U35" s="36" t="str">
        <x:v>미착수</x:v>
      </x:c>
      <x:c r="V35" s="46" t="n">
        <x:f>IF(U35="완료",1,IF(U35="QA 진행 중",0.8,IF(U35="코드 리뷰",0.65,IF(U35="구현 중",0.4,IF(U35="사양 확인 중",0.1,IF(U35="차단",0.4,0))))))</x:f>
        <x:v>0</x:v>
      </x:c>
      <x:c r="W35" s="36" t="str">
        <x:v>미정</x:v>
      </x:c>
      <x:c r="X35" s="44"/>
      <x:c r="Y35" s="36" t="str">
        <x:v>CNT-029,UIX-030</x:v>
      </x:c>
      <x:c r="Z35" s="36" t="str">
        <x:v>높음</x:v>
      </x:c>
      <x:c r="AA35" s="36" t="str">
        <x:v>밸런스</x:v>
      </x:c>
      <x:c r="AB35" s="36" t="str">
        <x:v>TC-IGM-034-01</x:v>
      </x:c>
      <x:c r="AC35" s="36"/>
      <x:c r="AD35" s="36" t="str">
        <x:v>게임 기획서</x:v>
      </x:c>
      <x:c r="AE35" s="36"/>
      <x:c r="AF35" s="44" t="str">
        <x:v>2026-07-10</x:v>
      </x:c>
      <x:c r="AG35" s="36"/>
      <x:c r="AH35" s="54"/>
      <x:c r="AI35" s="54"/>
      <x:c r="AJ35" s="53" t="str">
        <x:v>착수 전</x:v>
      </x:c>
    </x:row>
    <x:row r="36" ht="42" customHeight="1">
      <x:c r="A36" s="36" t="str">
        <x:v>IGM-035</x:v>
      </x:c>
      <x:c r="B36" s="36" t="str">
        <x:v>인게임·게임플레이</x:v>
      </x:c>
      <x:c r="C36" s="36" t="str">
        <x:v>확장</x:v>
      </x:c>
      <x:c r="D36" s="36" t="str">
        <x:v>메모 전달</x:v>
      </x:c>
      <x:c r="E36" s="36" t="str">
        <x:v>플레이어 간 메모 전달</x:v>
      </x:c>
      <x:c r="F36" s="36" t="str">
        <x:v>게임 규칙, 운영 요구사항과 대상 플랫폼 제약을 충족하도록 플레이어 간 메모 전달 기능을 구현하고 검증한다.</x:v>
      </x:c>
      <x:c r="G36" s="36" t="str">
        <x:v>전송, 수령, 거부, 소유권 이전을 서버에서 원자적으로 처리하고 부착자와 작성자 개념을 분리해 이력을 유지한다.</x:v>
      </x:c>
      <x:c r="H36" s="36" t="str">
        <x:v>구현, 코드 리뷰, 사양 갱신, 대상 QA 케이스 실행, 로그·텔레메트리 확인과 관련 플랫폼 검증을 완료하고 미해결 P0·P1 결함이 없다.</x:v>
      </x:c>
      <x:c r="I36" s="36" t="str">
        <x:v>출시 후</x:v>
      </x:c>
      <x:c r="J36" s="36" t="str">
        <x:v>P2</x:v>
      </x:c>
      <x:c r="K36" s="36" t="str">
        <x:v>조건부</x:v>
      </x:c>
      <x:c r="L36" s="36" t="str">
        <x:v>확장</x:v>
      </x:c>
      <x:c r="M36" s="36" t="str">
        <x:v>출시 후</x:v>
      </x:c>
      <x:c r="N36" s="36" t="str">
        <x:v>게임플레이 엔지니어링</x:v>
      </x:c>
      <x:c r="O36" s="36" t="str">
        <x:v>미정</x:v>
      </x:c>
      <x:c r="P36" s="36" t="str">
        <x:v>미정</x:v>
      </x:c>
      <x:c r="Q36" s="36" t="str">
        <x:v>전체</x:v>
      </x:c>
      <x:c r="R36" s="36" t="str">
        <x:v>서버 권한</x:v>
      </x:c>
      <x:c r="S36" s="36" t="str">
        <x:v>세션</x:v>
      </x:c>
      <x:c r="T36" s="36" t="str">
        <x:v>L</x:v>
      </x:c>
      <x:c r="U36" s="36" t="str">
        <x:v>미착수</x:v>
      </x:c>
      <x:c r="V36" s="46" t="n">
        <x:f>IF(U36="완료",1,IF(U36="QA 진행 중",0.8,IF(U36="코드 리뷰",0.65,IF(U36="구현 중",0.4,IF(U36="사양 확인 중",0.1,IF(U36="차단",0.4,0))))))</x:f>
        <x:v>0</x:v>
      </x:c>
      <x:c r="W36" s="36" t="str">
        <x:v>미정</x:v>
      </x:c>
      <x:c r="X36" s="44"/>
      <x:c r="Y36" s="36" t="str">
        <x:v>IGM-009</x:v>
      </x:c>
      <x:c r="Z36" s="36" t="str">
        <x:v>높음</x:v>
      </x:c>
      <x:c r="AA36" s="36" t="str">
        <x:v>통합</x:v>
      </x:c>
      <x:c r="AB36" s="36" t="str">
        <x:v>TC-IGM-035-01</x:v>
      </x:c>
      <x:c r="AC36" s="36"/>
      <x:c r="AD36" s="36" t="str">
        <x:v>게임 기획서</x:v>
      </x:c>
      <x:c r="AE36" s="36"/>
      <x:c r="AF36" s="44" t="str">
        <x:v>2026-07-10</x:v>
      </x:c>
      <x:c r="AG36" s="36"/>
      <x:c r="AH36" s="54"/>
      <x:c r="AI36" s="54"/>
      <x:c r="AJ36" s="53" t="str">
        <x:v>착수 전</x:v>
      </x:c>
    </x:row>
    <x:row r="37" ht="42" customHeight="1">
      <x:c r="A37" s="36" t="str">
        <x:v>IGM-036</x:v>
      </x:c>
      <x:c r="B37" s="36" t="str">
        <x:v>인게임·게임플레이</x:v>
      </x:c>
      <x:c r="C37" s="36" t="str">
        <x:v>확장</x:v>
      </x:c>
      <x:c r="D37" s="36" t="str">
        <x:v>2인 미니게임</x:v>
      </x:c>
      <x:c r="E37" s="36" t="str">
        <x:v>2인 협동 미니게임 공통 흐름</x:v>
      </x:c>
      <x:c r="F37" s="36" t="str">
        <x:v>게임 규칙, 운영 요구사항과 대상 플랫폼 제약을 충족하도록 2인 협동 미니게임 공통 흐름 기능을 구현하고 검증한다.</x:v>
      </x:c>
      <x:c r="G37" s="36" t="str">
        <x:v>두 플레이어의 참가, 동시 시작, 성공, 이탈을 동기화하며 성공 시 양쪽에 메모 1장씩 중복 없이 지급한다.</x:v>
      </x:c>
      <x:c r="H37" s="36" t="str">
        <x:v>구현, 코드 리뷰, 사양 갱신, 대상 QA 케이스 실행, 로그·텔레메트리 확인과 관련 플랫폼 검증을 완료하고 미해결 P0·P1 결함이 없다.</x:v>
      </x:c>
      <x:c r="I37" s="36" t="str">
        <x:v>출시 후</x:v>
      </x:c>
      <x:c r="J37" s="36" t="str">
        <x:v>P2</x:v>
      </x:c>
      <x:c r="K37" s="36" t="str">
        <x:v>조건부</x:v>
      </x:c>
      <x:c r="L37" s="36" t="str">
        <x:v>확장</x:v>
      </x:c>
      <x:c r="M37" s="36" t="str">
        <x:v>출시 후</x:v>
      </x:c>
      <x:c r="N37" s="36" t="str">
        <x:v>게임플레이 엔지니어링</x:v>
      </x:c>
      <x:c r="O37" s="36" t="str">
        <x:v>미정</x:v>
      </x:c>
      <x:c r="P37" s="36" t="str">
        <x:v>미정</x:v>
      </x:c>
      <x:c r="Q37" s="36" t="str">
        <x:v>전체</x:v>
      </x:c>
      <x:c r="R37" s="36" t="str">
        <x:v>서버 권한</x:v>
      </x:c>
      <x:c r="S37" s="36" t="str">
        <x:v>세션</x:v>
      </x:c>
      <x:c r="T37" s="36" t="str">
        <x:v>XL</x:v>
      </x:c>
      <x:c r="U37" s="36" t="str">
        <x:v>미착수</x:v>
      </x:c>
      <x:c r="V37" s="46" t="n">
        <x:f>IF(U37="완료",1,IF(U37="QA 진행 중",0.8,IF(U37="코드 리뷰",0.65,IF(U37="구현 중",0.4,IF(U37="사양 확인 중",0.1,IF(U37="차단",0.4,0))))))</x:f>
        <x:v>0</x:v>
      </x:c>
      <x:c r="W37" s="36" t="str">
        <x:v>미정</x:v>
      </x:c>
      <x:c r="X37" s="44"/>
      <x:c r="Y37" s="36" t="str">
        <x:v>IGM-010,CNT-030</x:v>
      </x:c>
      <x:c r="Z37" s="36" t="str">
        <x:v>중간</x:v>
      </x:c>
      <x:c r="AA37" s="36" t="str">
        <x:v>네트워크</x:v>
      </x:c>
      <x:c r="AB37" s="36" t="str">
        <x:v>TC-IGM-036-01</x:v>
      </x:c>
      <x:c r="AC37" s="36"/>
      <x:c r="AD37" s="36" t="str">
        <x:v>게임 기획서</x:v>
      </x:c>
      <x:c r="AE37" s="36"/>
      <x:c r="AF37" s="44" t="str">
        <x:v>2026-07-10</x:v>
      </x:c>
      <x:c r="AG37" s="36"/>
      <x:c r="AH37" s="54"/>
      <x:c r="AI37" s="54"/>
      <x:c r="AJ37" s="53" t="str">
        <x:v>착수 전</x:v>
      </x:c>
    </x:row>
    <x:row r="38" ht="42" customHeight="1">
      <x:c r="A38" s="36" t="str">
        <x:v>IGM-037</x:v>
      </x:c>
      <x:c r="B38" s="36" t="str">
        <x:v>인게임·게임플레이</x:v>
      </x:c>
      <x:c r="C38" s="36" t="str">
        <x:v>확장</x:v>
      </x:c>
      <x:c r="D38" s="36" t="str">
        <x:v>고독한 마피아</x:v>
      </x:c>
      <x:c r="E38" s="36" t="str">
        <x:v>고독한 마피아 자기 부착 능력</x:v>
      </x:c>
      <x:c r="F38" s="36" t="str">
        <x:v>게임 규칙, 운영 요구사항과 대상 플랫폼 제약을 충족하도록 고독한 마피아 자기 부착 능력 기능을 구현하고 검증한다.</x:v>
      </x:c>
      <x:c r="G38" s="36" t="str">
        <x:v>복수 마피아 모드에서 마지막 마피아 1명이 된 경우에만 하루 1회 선택한 색상의 메모를 자신의 등에 부착할 수 있다.</x:v>
      </x:c>
      <x:c r="H38" s="36" t="str">
        <x:v>구현, 코드 리뷰, 사양 갱신, 대상 QA 케이스 실행, 로그·텔레메트리 확인과 관련 플랫폼 검증을 완료하고 미해결 P0·P1 결함이 없다.</x:v>
      </x:c>
      <x:c r="I38" s="36" t="str">
        <x:v>출시 후</x:v>
      </x:c>
      <x:c r="J38" s="36" t="str">
        <x:v>P3</x:v>
      </x:c>
      <x:c r="K38" s="36" t="str">
        <x:v>조건부</x:v>
      </x:c>
      <x:c r="L38" s="36" t="str">
        <x:v>확장</x:v>
      </x:c>
      <x:c r="M38" s="36" t="str">
        <x:v>출시 후</x:v>
      </x:c>
      <x:c r="N38" s="36" t="str">
        <x:v>게임플레이 엔지니어링</x:v>
      </x:c>
      <x:c r="O38" s="36" t="str">
        <x:v>미정</x:v>
      </x:c>
      <x:c r="P38" s="36" t="str">
        <x:v>미정</x:v>
      </x:c>
      <x:c r="Q38" s="36" t="str">
        <x:v>전체</x:v>
      </x:c>
      <x:c r="R38" s="36" t="str">
        <x:v>서버 권한</x:v>
      </x:c>
      <x:c r="S38" s="36" t="str">
        <x:v>세션</x:v>
      </x:c>
      <x:c r="T38" s="36" t="str">
        <x:v>L</x:v>
      </x:c>
      <x:c r="U38" s="36" t="str">
        <x:v>미착수</x:v>
      </x:c>
      <x:c r="V38" s="46" t="n">
        <x:f>IF(U38="완료",1,IF(U38="QA 진행 중",0.8,IF(U38="코드 리뷰",0.65,IF(U38="구현 중",0.4,IF(U38="사양 확인 중",0.1,IF(U38="차단",0.4,0))))))</x:f>
        <x:v>0</x:v>
      </x:c>
      <x:c r="W38" s="36" t="str">
        <x:v>미정</x:v>
      </x:c>
      <x:c r="X38" s="44"/>
      <x:c r="Y38" s="36" t="str">
        <x:v>IGM-014,SET-018</x:v>
      </x:c>
      <x:c r="Z38" s="36" t="str">
        <x:v>높음</x:v>
      </x:c>
      <x:c r="AA38" s="36" t="str">
        <x:v>경계값</x:v>
      </x:c>
      <x:c r="AB38" s="36" t="str">
        <x:v>TC-IGM-037-01</x:v>
      </x:c>
      <x:c r="AC38" s="36"/>
      <x:c r="AD38" s="36" t="str">
        <x:v>게임 기획서</x:v>
      </x:c>
      <x:c r="AE38" s="36"/>
      <x:c r="AF38" s="44" t="str">
        <x:v>2026-07-10</x:v>
      </x:c>
      <x:c r="AG38" s="36"/>
      <x:c r="AH38" s="54"/>
      <x:c r="AI38" s="54"/>
      <x:c r="AJ38" s="53" t="str">
        <x:v>착수 전</x:v>
      </x:c>
    </x:row>
    <x:row r="39" ht="42" customHeight="1">
      <x:c r="A39" s="36" t="str">
        <x:v>IGM-038</x:v>
      </x:c>
      <x:c r="B39" s="36" t="str">
        <x:v>인게임·게임플레이</x:v>
      </x:c>
      <x:c r="C39" s="36" t="str">
        <x:v>확장</x:v>
      </x:c>
      <x:c r="D39" s="36" t="str">
        <x:v>마피아 조수</x:v>
      </x:c>
      <x:c r="E39" s="36" t="str">
        <x:v>마피아 조수 임명·지속 승패</x:v>
      </x:c>
      <x:c r="F39" s="36" t="str">
        <x:v>게임 규칙, 운영 요구사항과 대상 플랫폼 제약을 충족하도록 마피아 조수 임명·지속 승패 기능을 구현하고 검증한다.</x:v>
      </x:c>
      <x:c r="G39" s="36" t="str">
        <x:v>6명 이상에서 첫날 낮에 시민 1명을 비밀리에 임명하고, 마피아 추방 후에도 조수가 생존하면 게임을 계속한다. 사망한 마피아의 정보 열람은 제한한다.</x:v>
      </x:c>
      <x:c r="H39" s="36" t="str">
        <x:v>구현, 코드 리뷰, 사양 갱신, 대상 QA 케이스 실행, 로그·텔레메트리 확인과 관련 플랫폼 검증을 완료하고 미해결 P0·P1 결함이 없다.</x:v>
      </x:c>
      <x:c r="I39" s="36" t="str">
        <x:v>출시 후</x:v>
      </x:c>
      <x:c r="J39" s="36" t="str">
        <x:v>P3</x:v>
      </x:c>
      <x:c r="K39" s="36" t="str">
        <x:v>조건부</x:v>
      </x:c>
      <x:c r="L39" s="36" t="str">
        <x:v>확장</x:v>
      </x:c>
      <x:c r="M39" s="36" t="str">
        <x:v>출시 후</x:v>
      </x:c>
      <x:c r="N39" s="36" t="str">
        <x:v>게임플레이 엔지니어링</x:v>
      </x:c>
      <x:c r="O39" s="36" t="str">
        <x:v>미정</x:v>
      </x:c>
      <x:c r="P39" s="36" t="str">
        <x:v>미정</x:v>
      </x:c>
      <x:c r="Q39" s="36" t="str">
        <x:v>전체</x:v>
      </x:c>
      <x:c r="R39" s="36" t="str">
        <x:v>서버 권한</x:v>
      </x:c>
      <x:c r="S39" s="36" t="str">
        <x:v>매치</x:v>
      </x:c>
      <x:c r="T39" s="36" t="str">
        <x:v>XL</x:v>
      </x:c>
      <x:c r="U39" s="36" t="str">
        <x:v>미착수</x:v>
      </x:c>
      <x:c r="V39" s="46" t="n">
        <x:f>IF(U39="완료",1,IF(U39="QA 진행 중",0.8,IF(U39="코드 리뷰",0.65,IF(U39="구현 중",0.4,IF(U39="사양 확인 중",0.1,IF(U39="차단",0.4,0))))))</x:f>
        <x:v>0</x:v>
      </x:c>
      <x:c r="W39" s="36" t="str">
        <x:v>미정</x:v>
      </x:c>
      <x:c r="X39" s="44"/>
      <x:c r="Y39" s="36" t="str">
        <x:v>IGM-002,IGM-026,AUD-020</x:v>
      </x:c>
      <x:c r="Z39" s="36" t="str">
        <x:v>높음</x:v>
      </x:c>
      <x:c r="AA39" s="36" t="str">
        <x:v>보안</x:v>
      </x:c>
      <x:c r="AB39" s="36" t="str">
        <x:v>TC-IGM-038-01</x:v>
      </x:c>
      <x:c r="AC39" s="36"/>
      <x:c r="AD39" s="36" t="str">
        <x:v>게임 기획서</x:v>
      </x:c>
      <x:c r="AE39" s="36"/>
      <x:c r="AF39" s="44" t="str">
        <x:v>2026-07-10</x:v>
      </x:c>
      <x:c r="AG39" s="36"/>
      <x:c r="AH39" s="54"/>
      <x:c r="AI39" s="54"/>
      <x:c r="AJ39" s="53" t="str">
        <x:v>착수 전</x:v>
      </x:c>
    </x:row>
  </x:sheetData>
  <x:conditionalFormatting sqref="U2:U39">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39">
    <x:cfRule type="expression" dxfId="6" priority="7">
      <x:formula>J2="P0"</x:formula>
    </x:cfRule>
    <x:cfRule type="expression" dxfId="7" priority="8">
      <x:formula>J2="P1"</x:formula>
    </x:cfRule>
  </x:conditionalFormatting>
  <x:conditionalFormatting sqref="Z2:Z39">
    <x:cfRule type="expression" dxfId="8" priority="9">
      <x:formula>Z2="높음"</x:formula>
    </x:cfRule>
    <x:cfRule type="expression" dxfId="9" priority="10">
      <x:formula>Z2="중간"</x:formula>
    </x:cfRule>
  </x:conditionalFormatting>
  <x:conditionalFormatting sqref="AJ2:AJ39">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39">
      <x:formula1>"MVP,알파,베타,릴리스 후보,출시,출시 후,대상 제외"</x:formula1>
    </x:dataValidation>
    <x:dataValidation type="list" sqref="J2:J39">
      <x:formula1>"P0,P1,P2,P3"</x:formula1>
    </x:dataValidation>
    <x:dataValidation type="list" sqref="K2:K39">
      <x:formula1>"필수,조건부,권장,대상 제외"</x:formula1>
    </x:dataValidation>
    <x:dataValidation type="list" sqref="Q2:Q39">
      <x:formula1>"전체,PC,콘솔,모바일,서버,백엔드,도구,웹·관리자"</x:formula1>
    </x:dataValidation>
    <x:dataValidation type="list" sqref="R2:R39">
      <x:formula1>"서버 권한,클라이언트 예측·서버 검증,클라이언트 로컬,백엔드 권한,호스트 권한,콘텐츠 데이터,해당 없음"</x:formula1>
    </x:dataValidation>
    <x:dataValidation type="list" sqref="S2:S39">
      <x:formula1>"없음,세션,매치,계정,단말 로컬,백엔드,감사 로그"</x:formula1>
    </x:dataValidation>
    <x:dataValidation type="list" sqref="T2:T39">
      <x:formula1>"XS,S,M,L,XL,분할 필요"</x:formula1>
    </x:dataValidation>
    <x:dataValidation type="list" sqref="U2:U39">
      <x:formula1>"미착수,사양 확인 중,구현 중,코드 리뷰,QA 진행 중,차단,완료,보류"</x:formula1>
    </x:dataValidation>
    <x:dataValidation type="list" sqref="Z2:Z39">
      <x:formula1>"높음,중간,낮음"</x:formula1>
    </x:dataValidation>
    <x:dataValidation type="list" sqref="AA2:AA39">
      <x:formula1>"기능,통합,경계값,네트워크,보안,성능,호환성,사용성,접근성,현지화,밸런스,운영,안전,부하"</x:formula1>
    </x:dataValidation>
    <x:dataValidation type="list" sqref="AJ2:AJ39">
      <x:formula1>"착수 전,작업 중,완료"</x:formula1>
    </x:dataValidation>
  </x:dataValidations>
  <x:pageMargins left="0.7" right="0.7" top="0.75" bottom="0.75" header="0.3" footer="0.3"/>
  <x:tableParts count="1">
    <x:tablePart xmlns:r="http://schemas.openxmlformats.org/officeDocument/2006/relationships" r:id="R16744d6275b84775"/>
  </x:tableParts>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18" hidden="0" customWidth="1"/>
    <x:col min="4" max="4" width="46" hidden="0" customWidth="1"/>
    <x:col min="5" max="5" width="42" hidden="0" customWidth="1"/>
    <x:col min="6" max="6" width="36" hidden="0" customWidth="1"/>
    <x:col min="7" max="7" width="24" hidden="0" customWidth="1"/>
  </x:cols>
  <x:sheetData>
    <x:row r="1" ht="30" customHeight="1">
      <x:c r="A1" s="40" t="str">
        <x:v>시작 상태</x:v>
      </x:c>
      <x:c r="B1" s="40" t="str">
        <x:v>발동 조건</x:v>
      </x:c>
      <x:c r="C1" s="40" t="str">
        <x:v>다음 상태</x:v>
      </x:c>
      <x:c r="D1" s="40" t="str">
        <x:v>서버 검증</x:v>
      </x:c>
      <x:c r="E1" s="40" t="str">
        <x:v>클라이언트 처리</x:v>
      </x:c>
      <x:c r="F1" s="40" t="str">
        <x:v>실패·예외 처리</x:v>
      </x:c>
      <x:c r="G1" s="40" t="str">
        <x:v>관련 ID</x:v>
      </x:c>
    </x:row>
    <x:row r="2" ht="42" customHeight="1">
      <x:c r="A2" s="36" t="str">
        <x:v>로비</x:v>
      </x:c>
      <x:c r="B2" s="36" t="str">
        <x:v>시작 사전 점검 성공</x:v>
      </x:c>
      <x:c r="C2" s="36" t="str">
        <x:v>역할 공개</x:v>
      </x:c>
      <x:c r="D2" s="36" t="str">
        <x:v>인원·준비·설정·버전·서버 확보 확인</x:v>
      </x:c>
      <x:c r="E2" s="36" t="str">
        <x:v>입력 잠금, 역할 화면 준비</x:v>
      </x:c>
      <x:c r="F2" s="36" t="str">
        <x:v>실패 사유를 로비에 표시</x:v>
      </x:c>
      <x:c r="G2" s="36" t="str">
        <x:v>ONL-011,IGM-001</x:v>
      </x:c>
    </x:row>
    <x:row r="3" ht="42" customHeight="1">
      <x:c r="A3" s="36" t="str">
        <x:v>역할 공개</x:v>
      </x:c>
      <x:c r="B3" s="36" t="str">
        <x:v>전원 확인 또는 시간 초과</x:v>
      </x:c>
      <x:c r="C3" s="36" t="str">
        <x:v>낮</x:v>
      </x:c>
      <x:c r="D3" s="36" t="str">
        <x:v>역할 배정 완료, 일차=1</x:v>
      </x:c>
      <x:c r="E3" s="36" t="str">
        <x:v>HUD·이동·대화 활성화</x:v>
      </x:c>
      <x:c r="F3" s="36" t="str">
        <x:v>미확인 플레이어 상태 재동기화</x:v>
      </x:c>
      <x:c r="G3" s="36" t="str">
        <x:v>IGM-002,IGM-004</x:v>
      </x:c>
    </x:row>
    <x:row r="4" ht="42" customHeight="1">
      <x:c r="A4" s="36" t="str">
        <x:v>낮</x:v>
      </x:c>
      <x:c r="B4" s="36" t="str">
        <x:v>낮 타이머 종료</x:v>
      </x:c>
      <x:c r="C4" s="36" t="str">
        <x:v>밤 관찰</x:v>
      </x:c>
      <x:c r="D4" s="36" t="str">
        <x:v>신규 조작 중지, 승패·최종 재판 조건 확인</x:v>
      </x:c>
      <x:c r="E4" s="36" t="str">
        <x:v>중앙 집결, 대화·조작 잠금</x:v>
      </x:c>
      <x:c r="F4" s="36" t="str">
        <x:v>진행 중인 조작 취소</x:v>
      </x:c>
      <x:c r="G4" s="36" t="str">
        <x:v>IGM-004,IGM-006,IGM-028</x:v>
      </x:c>
    </x:row>
    <x:row r="5" ht="42" customHeight="1">
      <x:c r="A5" s="36" t="str">
        <x:v>밤 관찰</x:v>
      </x:c>
      <x:c r="B5" s="36" t="str">
        <x:v>관찰 타이머 종료</x:v>
      </x:c>
      <x:c r="C5" s="36" t="str">
        <x:v>밤 투표</x:v>
      </x:c>
      <x:c r="D5" s="36" t="str">
        <x:v>생존자 목록 고정</x:v>
      </x:c>
      <x:c r="E5" s="36" t="str">
        <x:v>투표 UI 표시</x:v>
      </x:c>
      <x:c r="F5" s="36" t="str">
        <x:v>연결 끊김 처리 반영</x:v>
      </x:c>
      <x:c r="G5" s="36" t="str">
        <x:v>IGM-008,IGM-023</x:v>
      </x:c>
    </x:row>
    <x:row r="6" ht="42" customHeight="1">
      <x:c r="A6" s="36" t="str">
        <x:v>밤 투표</x:v>
      </x:c>
      <x:c r="B6" s="36" t="str">
        <x:v>전원 투표 또는 마감</x:v>
      </x:c>
      <x:c r="C6" s="36" t="str">
        <x:v>추방</x:v>
      </x:c>
      <x:c r="D6" s="36" t="str">
        <x:v>투표 고유성·동률 규칙 검증</x:v>
      </x:c>
      <x:c r="E6" s="36" t="str">
        <x:v>결과 연출</x:v>
      </x:c>
      <x:c r="F6" s="36" t="str">
        <x:v>미투표 규칙 적용</x:v>
      </x:c>
      <x:c r="G6" s="36" t="str">
        <x:v>IGM-023,IGM-024,IGM-025</x:v>
      </x:c>
    </x:row>
    <x:row r="7" ht="42" customHeight="1">
      <x:c r="A7" s="36" t="str">
        <x:v>추방</x:v>
      </x:c>
      <x:c r="B7" s="36" t="str">
        <x:v>승패 미확정</x:v>
      </x:c>
      <x:c r="C7" s="36" t="str">
        <x:v>낮</x:v>
      </x:c>
      <x:c r="D7" s="36" t="str">
        <x:v>일차 +1, 아침 보상 지급</x:v>
      </x:c>
      <x:c r="E7" s="36" t="str">
        <x:v>탈락자 제외 후 게임 재개</x:v>
      </x:c>
      <x:c r="F7" s="36" t="str">
        <x:v>재접속 예약 유지</x:v>
      </x:c>
      <x:c r="G7" s="36" t="str">
        <x:v>IGM-011,IGM-026,IGM-027</x:v>
      </x:c>
    </x:row>
    <x:row r="8" ht="42" customHeight="1">
      <x:c r="A8" s="36" t="str">
        <x:v>안전 판정 시점</x:v>
      </x:c>
      <x:c r="B8" s="36" t="str">
        <x:v>최종 재판 조건 충족</x:v>
      </x:c>
      <x:c r="C8" s="36" t="str">
        <x:v>최종 증거 공개</x:v>
      </x:c>
      <x:c r="D8" s="36" t="str">
        <x:v>1회만 발동</x:v>
      </x:c>
      <x:c r="E8" s="36" t="str">
        <x:v>중앙 집결, 이력 표시</x:v>
      </x:c>
      <x:c r="F8" s="36" t="str">
        <x:v>일반 밤 투표와 충돌 방지</x:v>
      </x:c>
      <x:c r="G8" s="36" t="str">
        <x:v>IGM-028,IGM-029</x:v>
      </x:c>
    </x:row>
    <x:row r="9" ht="42" customHeight="1">
      <x:c r="A9" s="36" t="str">
        <x:v>최종 증거 공개</x:v>
      </x:c>
      <x:c r="B9" s="36" t="str">
        <x:v>열람 시간 종료</x:v>
      </x:c>
      <x:c r="C9" s="36" t="str">
        <x:v>최종 발언</x:v>
      </x:c>
      <x:c r="D9" s="36" t="str">
        <x:v>발언 순서 고정</x:v>
      </x:c>
      <x:c r="E9" s="36" t="str">
        <x:v>발언 UI·음성 권한 제어</x:v>
      </x:c>
      <x:c r="F9" s="36" t="str">
        <x:v>연결 끊김 플레이어는 규칙에 따라 건너뜀</x:v>
      </x:c>
      <x:c r="G9" s="36" t="str">
        <x:v>IGM-030</x:v>
      </x:c>
    </x:row>
    <x:row r="10" ht="42" customHeight="1">
      <x:c r="A10" s="36" t="str">
        <x:v>최종 발언</x:v>
      </x:c>
      <x:c r="B10" s="36" t="str">
        <x:v>전원 발언 완료</x:v>
      </x:c>
      <x:c r="C10" s="36" t="str">
        <x:v>최종 투표</x:v>
      </x:c>
      <x:c r="D10" s="36" t="str">
        <x:v>모든 대화 중지</x:v>
      </x:c>
      <x:c r="E10" s="36" t="str">
        <x:v>최종 투표 UI 표시</x:v>
      </x:c>
      <x:c r="F10" s="36" t="str">
        <x:v>미발언·연결 끊김 기록</x:v>
      </x:c>
      <x:c r="G10" s="36" t="str">
        <x:v>IGM-031</x:v>
      </x:c>
    </x:row>
    <x:row r="11" ht="42" customHeight="1">
      <x:c r="A11" s="36" t="str">
        <x:v>최종 투표</x:v>
      </x:c>
      <x:c r="B11" s="36" t="str">
        <x:v>집계 완료</x:v>
      </x:c>
      <x:c r="C11" s="36" t="str">
        <x:v>결과</x:v>
      </x:c>
      <x:c r="D11" s="36" t="str">
        <x:v>최종 승패를 단일하게 확정</x:v>
      </x:c>
      <x:c r="E11" s="36" t="str">
        <x:v>결과 화면 표시</x:v>
      </x:c>
      <x:c r="F11" s="36" t="str">
        <x:v>결과 저장 실패 시 재전송</x:v>
      </x:c>
      <x:c r="G11" s="36" t="str">
        <x:v>IGM-031,BED-006</x:v>
      </x:c>
    </x:row>
  </x:sheetData>
  <x:pageMargins left="0.7" right="0.7" top="0.75" bottom="0.75" header="0.3" footer="0.3"/>
  <x:tableParts count="1">
    <x:tablePart xmlns:r="http://schemas.openxmlformats.org/officeDocument/2006/relationships" r:id="R2303aeb199af4e8e"/>
  </x:tableParts>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12" hidden="0" customWidth="1"/>
    <x:col min="4" max="4" width="12" hidden="0" customWidth="1"/>
    <x:col min="5" max="5" width="12" hidden="0" customWidth="1"/>
    <x:col min="6" max="6" width="10" hidden="0" customWidth="1"/>
    <x:col min="7" max="7" width="16" hidden="0" customWidth="1"/>
    <x:col min="8" max="8" width="12" hidden="0" customWidth="1"/>
    <x:col min="9" max="9" width="28" hidden="0" customWidth="1"/>
    <x:col min="10" max="10" width="16" hidden="0" customWidth="1"/>
    <x:col min="11" max="11" width="28" hidden="0" customWidth="1"/>
  </x:cols>
  <x:sheetData>
    <x:row r="1" ht="30" customHeight="1">
      <x:c r="A1" s="40" t="str">
        <x:v>인원</x:v>
      </x:c>
      <x:c r="B1" s="40" t="str">
        <x:v>마피아 수</x:v>
      </x:c>
      <x:c r="C1" s="40" t="str">
        <x:v>조수</x:v>
      </x:c>
      <x:c r="D1" s="40" t="str">
        <x:v>낮 시간(초)</x:v>
      </x:c>
      <x:c r="E1" s="40" t="str">
        <x:v>밤 관찰(초)</x:v>
      </x:c>
      <x:c r="F1" s="40" t="str">
        <x:v>투표(초)</x:v>
      </x:c>
      <x:c r="G1" s="40" t="str">
        <x:v>필요 미니게임</x:v>
      </x:c>
      <x:c r="H1" s="40" t="str">
        <x:v>등 메모 상한</x:v>
      </x:c>
      <x:c r="I1" s="40" t="str">
        <x:v>최종 재판 조건</x:v>
      </x:c>
      <x:c r="J1" s="40" t="str">
        <x:v>범위</x:v>
      </x:c>
      <x:c r="K1" s="40" t="str">
        <x:v>비고</x:v>
      </x:c>
    </x:row>
    <x:row r="2" ht="42" customHeight="1">
      <x:c r="A2" s="36" t="n">
        <x:v>4</x:v>
      </x:c>
      <x:c r="B2" s="36" t="n">
        <x:v>1</x:v>
      </x:c>
      <x:c r="C2" s="36" t="str">
        <x:v>꺼짐</x:v>
      </x:c>
      <x:c r="D2" s="36" t="n">
        <x:v>180</x:v>
      </x:c>
      <x:c r="E2" s="36" t="n">
        <x:v>25</x:v>
      </x:c>
      <x:c r="F2" s="36" t="n">
        <x:v>15</x:v>
      </x:c>
      <x:c r="G2" s="36" t="n">
        <x:v>5</x:v>
      </x:c>
      <x:c r="H2" s="36" t="n">
        <x:v>6</x:v>
      </x:c>
      <x:c r="I2" s="36" t="str">
        <x:v>전체 완료 / 3명 이하 / 5일째</x:v>
      </x:c>
      <x:c r="J2" s="36" t="str">
        <x:v>MVP</x:v>
      </x:c>
      <x:c r="K2" s="36" t="str">
        <x:v>초보자 권장</x:v>
      </x:c>
    </x:row>
    <x:row r="3" ht="42" customHeight="1">
      <x:c r="A3" s="36" t="n">
        <x:v>5</x:v>
      </x:c>
      <x:c r="B3" s="36" t="n">
        <x:v>1</x:v>
      </x:c>
      <x:c r="C3" s="36" t="str">
        <x:v>꺼짐</x:v>
      </x:c>
      <x:c r="D3" s="36" t="n">
        <x:v>180</x:v>
      </x:c>
      <x:c r="E3" s="36" t="n">
        <x:v>25</x:v>
      </x:c>
      <x:c r="F3" s="36" t="n">
        <x:v>15</x:v>
      </x:c>
      <x:c r="G3" s="36" t="n">
        <x:v>5</x:v>
      </x:c>
      <x:c r="H3" s="36" t="n">
        <x:v>6</x:v>
      </x:c>
      <x:c r="I3" s="36" t="str">
        <x:v>전체 완료 / 3명 이하 / 5일째</x:v>
      </x:c>
      <x:c r="J3" s="36" t="str">
        <x:v>MVP</x:v>
      </x:c>
      <x:c r="K3" s="36" t="str">
        <x:v>기본 권장</x:v>
      </x:c>
    </x:row>
    <x:row r="4" ht="42" customHeight="1">
      <x:c r="A4" s="36" t="n">
        <x:v>6</x:v>
      </x:c>
      <x:c r="B4" s="36" t="n">
        <x:v>1</x:v>
      </x:c>
      <x:c r="C4" s="36" t="str">
        <x:v>꺼짐</x:v>
      </x:c>
      <x:c r="D4" s="36" t="n">
        <x:v>210</x:v>
      </x:c>
      <x:c r="E4" s="36" t="n">
        <x:v>30</x:v>
      </x:c>
      <x:c r="F4" s="36" t="n">
        <x:v>15</x:v>
      </x:c>
      <x:c r="G4" s="36" t="n">
        <x:v>7</x:v>
      </x:c>
      <x:c r="H4" s="36" t="n">
        <x:v>6</x:v>
      </x:c>
      <x:c r="I4" s="36" t="str">
        <x:v>전체 완료 / 3명 이하 / 5일째</x:v>
      </x:c>
      <x:c r="J4" s="36" t="str">
        <x:v>MVP</x:v>
      </x:c>
      <x:c r="K4" s="36" t="str">
        <x:v>권장</x:v>
      </x:c>
    </x:row>
    <x:row r="5" ht="42" customHeight="1">
      <x:c r="A5" s="36" t="n">
        <x:v>6</x:v>
      </x:c>
      <x:c r="B5" s="36" t="n">
        <x:v>1</x:v>
      </x:c>
      <x:c r="C5" s="36" t="str">
        <x:v>선택</x:v>
      </x:c>
      <x:c r="D5" s="36" t="n">
        <x:v>210</x:v>
      </x:c>
      <x:c r="E5" s="36" t="n">
        <x:v>30</x:v>
      </x:c>
      <x:c r="F5" s="36" t="n">
        <x:v>15</x:v>
      </x:c>
      <x:c r="G5" s="36" t="n">
        <x:v>7</x:v>
      </x:c>
      <x:c r="H5" s="36" t="n">
        <x:v>6</x:v>
      </x:c>
      <x:c r="I5" s="36" t="str">
        <x:v>조수 규칙 포함</x:v>
      </x:c>
      <x:c r="J5" s="36" t="str">
        <x:v>출시 후</x:v>
      </x:c>
      <x:c r="K5" s="36" t="str">
        <x:v>추가 밸런스 검증 필요</x:v>
      </x:c>
    </x:row>
    <x:row r="6" ht="42" customHeight="1">
      <x:c r="A6" s="36" t="n">
        <x:v>7</x:v>
      </x:c>
      <x:c r="B6" s="36" t="n">
        <x:v>1</x:v>
      </x:c>
      <x:c r="C6" s="36" t="str">
        <x:v>선택</x:v>
      </x:c>
      <x:c r="D6" s="36" t="n">
        <x:v>220</x:v>
      </x:c>
      <x:c r="E6" s="36" t="n">
        <x:v>30</x:v>
      </x:c>
      <x:c r="F6" s="36" t="n">
        <x:v>18</x:v>
      </x:c>
      <x:c r="G6" s="36" t="n">
        <x:v>8</x:v>
      </x:c>
      <x:c r="H6" s="36" t="n">
        <x:v>6</x:v>
      </x:c>
      <x:c r="I6" s="36" t="str">
        <x:v>전체 완료 / 4명 이하 / 5일째</x:v>
      </x:c>
      <x:c r="J6" s="36" t="str">
        <x:v>출시 후</x:v>
      </x:c>
      <x:c r="K6" s="36" t="str">
        <x:v>추가 밸런스 검증 필요</x:v>
      </x:c>
    </x:row>
    <x:row r="7" ht="42" customHeight="1">
      <x:c r="A7" s="36" t="n">
        <x:v>8</x:v>
      </x:c>
      <x:c r="B7" s="36" t="n">
        <x:v>2</x:v>
      </x:c>
      <x:c r="C7" s="36" t="str">
        <x:v>선택</x:v>
      </x:c>
      <x:c r="D7" s="36" t="n">
        <x:v>240</x:v>
      </x:c>
      <x:c r="E7" s="36" t="n">
        <x:v>35</x:v>
      </x:c>
      <x:c r="F7" s="36" t="n">
        <x:v>20</x:v>
      </x:c>
      <x:c r="G7" s="36" t="n">
        <x:v>10</x:v>
      </x:c>
      <x:c r="H7" s="36" t="n">
        <x:v>6</x:v>
      </x:c>
      <x:c r="I7" s="36" t="str">
        <x:v>전체 완료 / 4명 이하 / 5일째</x:v>
      </x:c>
      <x:c r="J7" s="36" t="str">
        <x:v>출시 후</x:v>
      </x:c>
      <x:c r="K7" s="36" t="str">
        <x:v>고독한 마피아 선택 가능</x:v>
      </x:c>
    </x:row>
  </x:sheetData>
  <x:pageMargins left="0.7" right="0.7" top="0.75" bottom="0.75" header="0.3" footer="0.3"/>
  <x:tableParts count="1">
    <x:tablePart xmlns:r="http://schemas.openxmlformats.org/officeDocument/2006/relationships" r:id="R3acfab50512b4a80"/>
  </x:tableParts>
</x:worksheet>
</file>

<file path=xl/worksheets/sheet5.xml><?xml version="1.0" encoding="utf-8"?>
<x:worksheet xmlns:x="http://schemas.openxmlformats.org/spreadsheetml/2006/main">
  <x:sheetFormatPr defaultRowHeight="15"/>
  <x:cols>
    <x:col min="1" max="1" width="38" hidden="0" customWidth="1"/>
    <x:col min="2" max="2" width="28" hidden="0" customWidth="1"/>
    <x:col min="3" max="3" width="34" hidden="0" customWidth="1"/>
    <x:col min="4" max="4" width="22" hidden="0" customWidth="1"/>
    <x:col min="5" max="5" width="24" hidden="0" customWidth="1"/>
    <x:col min="6" max="6" width="32" hidden="0" customWidth="1"/>
  </x:cols>
  <x:sheetData>
    <x:row r="1" ht="30" customHeight="1">
      <x:c r="A1" s="40" t="str">
        <x:v>상황</x:v>
      </x:c>
      <x:c r="B1" s="40" t="str">
        <x:v>조수 꺼짐</x:v>
      </x:c>
      <x:c r="C1" s="40" t="str">
        <x:v>조수 켜짐</x:v>
      </x:c>
      <x:c r="D1" s="40" t="str">
        <x:v>판정 시점</x:v>
      </x:c>
      <x:c r="E1" s="40" t="str">
        <x:v>관련 ID</x:v>
      </x:c>
      <x:c r="F1" s="40" t="str">
        <x:v>비고</x:v>
      </x:c>
    </x:row>
    <x:row r="2" ht="42" customHeight="1">
      <x:c r="A2" s="36" t="str">
        <x:v>마피아 추방</x:v>
      </x:c>
      <x:c r="B2" s="36" t="str">
        <x:v>시민 승리</x:v>
      </x:c>
      <x:c r="C2" s="36" t="str">
        <x:v>조수가 생존하면 계속 진행</x:v>
      </x:c>
      <x:c r="D2" s="36" t="str">
        <x:v>추방 확정 직후</x:v>
      </x:c>
      <x:c r="E2" s="36" t="str">
        <x:v>IGM-026,IGM-038</x:v>
      </x:c>
      <x:c r="F2" s="36" t="str">
        <x:v>조수 규칙은 출시 후</x:v>
      </x:c>
    </x:row>
    <x:row r="3" ht="42" customHeight="1">
      <x:c r="A3" s="36" t="str">
        <x:v>생존 시민 수 ≤ 생존 마피아 수</x:v>
      </x:c>
      <x:c r="B3" s="36" t="str">
        <x:v>마피아 승리</x:v>
      </x:c>
      <x:c r="C3" s="36" t="str">
        <x:v>마피아 진영 승리</x:v>
      </x:c>
      <x:c r="D3" s="36" t="str">
        <x:v>추방·연결 끊김 처리 후</x:v>
      </x:c>
      <x:c r="E3" s="36" t="str">
        <x:v>IGM-027</x:v>
      </x:c>
      <x:c r="F3" s="36" t="str">
        <x:v>중복 승패 판정 방지</x:v>
      </x:c>
    </x:row>
    <x:row r="4" ht="42" customHeight="1">
      <x:c r="A4" s="36" t="str">
        <x:v>최종 투표에서 마피아 단독 최다 득표</x:v>
      </x:c>
      <x:c r="B4" s="36" t="str">
        <x:v>시민 승리</x:v>
      </x:c>
      <x:c r="C4" s="36" t="str">
        <x:v>마피아 또는 조수가 단독 최다 득표면 시민 승리</x:v>
      </x:c>
      <x:c r="D4" s="36" t="str">
        <x:v>최종 집계 후</x:v>
      </x:c>
      <x:c r="E4" s="36" t="str">
        <x:v>IGM-031</x:v>
      </x:c>
      <x:c r="F4" s="36" t="str">
        <x:v>조수 상세 규칙 별도 승인</x:v>
      </x:c>
    </x:row>
    <x:row r="5" ht="42" customHeight="1">
      <x:c r="A5" s="36" t="str">
        <x:v>최종 투표에서 마피아가 최다 득표 회피</x:v>
      </x:c>
      <x:c r="B5" s="36" t="str">
        <x:v>마피아 승리</x:v>
      </x:c>
      <x:c r="C5" s="36" t="str">
        <x:v>마피아와 조수가 모두 최다 득표를 피하면 마피아 진영 승리</x:v>
      </x:c>
      <x:c r="D5" s="36" t="str">
        <x:v>최종 집계 후</x:v>
      </x:c>
      <x:c r="E5" s="36" t="str">
        <x:v>IGM-031,IGM-038</x:v>
      </x:c>
      <x:c r="F5" s="36" t="str">
        <x:v>동률 정책에 의존</x:v>
      </x:c>
    </x:row>
  </x:sheetData>
  <x:pageMargins left="0.7" right="0.7" top="0.75" bottom="0.75" header="0.3" footer="0.3"/>
  <x:tableParts count="1">
    <x:tablePart xmlns:r="http://schemas.openxmlformats.org/officeDocument/2006/relationships" r:id="Rf63df4ad383c4e39"/>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TC-IGM-001-01</x:v>
      </x:c>
      <x:c r="B2" s="36" t="str">
        <x:v>IGM-001</x:v>
      </x:c>
      <x:c r="C2" s="36" t="str">
        <x:v>인게임·게임플레이</x:v>
      </x:c>
      <x:c r="D2" s="36" t="str">
        <x:v>정상 시나리오: 서버 권한 기반 매치 상태 머신</x:v>
      </x:c>
      <x:c r="E2" s="36" t="str">
        <x:v>로비→역할 공개→낮→밤 관찰→밤 투표→결과 또는 최종 재판의 상태 전이가 서버에서 단일하게 결정되고, 모든 클라이언트가 동일한 상태와 남은 시간을 표시한다.</x:v>
      </x:c>
      <x:c r="F2" s="36" t="str">
        <x:v>대상 기능이 포함된 MVP 빌드, 필요한 테스트 계정·룸 설정·로그 접근 권한을 준비한다.</x:v>
      </x:c>
      <x:c r="G2" s="36" t="str">
        <x:v>1. 사전 조건 상태를 구성한다.
2. 표준 설정에서 다음 테스트 대상을 실행한다: 서버 권한 기반 매치 상태 머신.
3. UI, 서버 상태와 로그·텔레메트리를 확인한다.
4. 필요하면 재입장 또는 재실행하여 재현성을 확인한다.</x:v>
      </x:c>
      <x:c r="H2" s="36" t="str">
        <x:v>로비→역할 공개→낮→밤 관찰→밤 투표→결과 또는 최종 재판의 상태 전이가 서버에서 단일하게 결정되고, 모든 클라이언트가 동일한 상태와 남은 시간을 표시한다.</x:v>
      </x:c>
      <x:c r="I2" s="36" t="str">
        <x:v>통합</x:v>
      </x:c>
      <x:c r="J2" s="36" t="str">
        <x:v>P0</x:v>
      </x:c>
      <x:c r="K2" s="36" t="str">
        <x:v>전체</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TC-IGM-001-02</x:v>
      </x:c>
      <x:c r="B3" s="36" t="str">
        <x:v>IGM-001</x:v>
      </x:c>
      <x:c r="C3" s="36" t="str">
        <x:v>인게임·게임플레이</x:v>
      </x:c>
      <x:c r="D3" s="36" t="str">
        <x:v>예외·경계 시나리오: 서버 권한 기반 매치 상태 머신</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서버 권한 기반 매치 상태 머신에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통합</x:v>
      </x:c>
      <x:c r="J3" s="36" t="str">
        <x:v>P0</x:v>
      </x:c>
      <x:c r="K3" s="36" t="str">
        <x:v>전체</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TC-IGM-002-01</x:v>
      </x:c>
      <x:c r="B4" s="36" t="str">
        <x:v>IGM-002</x:v>
      </x:c>
      <x:c r="C4" s="36" t="str">
        <x:v>인게임·게임플레이</x:v>
      </x:c>
      <x:c r="D4" s="36" t="str">
        <x:v>정상 시나리오: 시민·마피아 비밀 역할 배정</x:v>
      </x:c>
      <x:c r="E4" s="36" t="str">
        <x:v>기본 구성인 4~6명·마피아 1명에서 역할이 중복 없이 배정되며, 본인을 제외한 클라이언트로 역할 정보가 전송되지 않는다.</x:v>
      </x:c>
      <x:c r="F4" s="36" t="str">
        <x:v>대상 기능이 포함된 MVP 빌드, 필요한 테스트 계정·룸 설정·로그 접근 권한을 준비한다.</x:v>
      </x:c>
      <x:c r="G4" s="36" t="str">
        <x:v>1. 사전 조건 상태를 구성한다.
2. 표준 설정에서 다음 테스트 대상을 실행한다: 시민·마피아 비밀 역할 배정.
3. UI, 서버 상태와 로그·텔레메트리를 확인한다.
4. 필요하면 재입장 또는 재실행하여 재현성을 확인한다.</x:v>
      </x:c>
      <x:c r="H4" s="36" t="str">
        <x:v>기본 구성인 4~6명·마피아 1명에서 역할이 중복 없이 배정되며, 본인을 제외한 클라이언트로 역할 정보가 전송되지 않는다.</x:v>
      </x:c>
      <x:c r="I4" s="36" t="str">
        <x:v>보안</x:v>
      </x:c>
      <x:c r="J4" s="36" t="str">
        <x:v>P0</x:v>
      </x:c>
      <x:c r="K4" s="36" t="str">
        <x:v>전체</x:v>
      </x:c>
      <x:c r="L4" s="36" t="str">
        <x:v>예</x:v>
      </x:c>
      <x:c r="M4" s="36" t="str">
        <x:v>미실시</x:v>
      </x:c>
      <x:c r="N4" s="36" t="str">
        <x:v>미정</x:v>
      </x:c>
      <x:c r="O4" s="36" t="str">
        <x:v>미정</x:v>
      </x:c>
      <x:c r="P4" s="36"/>
      <x:c r="Q4" s="36"/>
      <x:c r="R4" s="44" t="str">
        <x:v>2026-07-10</x:v>
      </x:c>
      <x:c r="S4" s="36"/>
      <x:c r="T4" s="54"/>
      <x:c r="U4" s="54"/>
      <x:c r="V4" s="53" t="str">
        <x:v>착수 전</x:v>
      </x:c>
    </x:row>
    <x:row r="5" ht="42" customHeight="1">
      <x:c r="A5" s="36" t="str">
        <x:v>TC-IGM-002-02</x:v>
      </x:c>
      <x:c r="B5" s="36" t="str">
        <x:v>IGM-002</x:v>
      </x:c>
      <x:c r="C5" s="36" t="str">
        <x:v>인게임·게임플레이</x:v>
      </x:c>
      <x:c r="D5" s="36" t="str">
        <x:v>예외·경계 시나리오: 시민·마피아 비밀 역할 배정</x:v>
      </x:c>
      <x:c r="E5" s="36" t="str">
        <x:v>허용되지 않은 상태, 잘못된 값, 중복, 만료, 권한 부족, 연결 끊김 입력으로 데이터 손상·정보 유출·클라이언트 상태 분기가 발생하지 않는지 확인한다.</x:v>
      </x:c>
      <x:c r="F5" s="36" t="str">
        <x:v>대상 기능이 포함된 MVP 빌드와 디버그 입력, 네트워크 열화, 비정상 요청 재현 수단을 준비한다.</x:v>
      </x:c>
      <x:c r="G5" s="36" t="str">
        <x:v>1. 허용되지 않은 페이즈 또는 경계값 조건을 구성한다.
2. 시민·마피아 비밀 역할 배정에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보안</x:v>
      </x:c>
      <x:c r="J5" s="36" t="str">
        <x:v>P0</x:v>
      </x:c>
      <x:c r="K5" s="36" t="str">
        <x:v>전체</x:v>
      </x:c>
      <x:c r="L5" s="36" t="str">
        <x:v>예</x:v>
      </x:c>
      <x:c r="M5" s="36" t="str">
        <x:v>미실시</x:v>
      </x:c>
      <x:c r="N5" s="36" t="str">
        <x:v>미정</x:v>
      </x:c>
      <x:c r="O5" s="36" t="str">
        <x:v>미정</x:v>
      </x:c>
      <x:c r="P5" s="36"/>
      <x:c r="Q5" s="36"/>
      <x:c r="R5" s="44" t="str">
        <x:v>2026-07-10</x:v>
      </x:c>
      <x:c r="S5" s="36"/>
      <x:c r="T5" s="54"/>
      <x:c r="U5" s="54"/>
      <x:c r="V5" s="53" t="str">
        <x:v>착수 전</x:v>
      </x:c>
    </x:row>
    <x:row r="6" ht="42" customHeight="1">
      <x:c r="A6" s="36" t="str">
        <x:v>TC-IGM-003-01</x:v>
      </x:c>
      <x:c r="B6" s="36" t="str">
        <x:v>IGM-003</x:v>
      </x:c>
      <x:c r="C6" s="36" t="str">
        <x:v>인게임·게임플레이</x:v>
      </x:c>
      <x:c r="D6" s="36" t="str">
        <x:v>정상 시나리오: 플레이어 고유 색상 일관 적용</x:v>
      </x:c>
      <x:c r="E6" s="36" t="str">
        <x:v>각 참가자에게 중복되지 않는 색상을 할당하고 캐릭터, 이름표, LED, 메모 규칙, 투표 UI가 동일한 색상 ID를 참조한다.</x:v>
      </x:c>
      <x:c r="F6" s="36" t="str">
        <x:v>대상 기능이 포함된 MVP 빌드, 필요한 테스트 계정·룸 설정·로그 접근 권한을 준비한다.</x:v>
      </x:c>
      <x:c r="G6" s="36" t="str">
        <x:v>1. 사전 조건 상태를 구성한다.
2. 표준 설정에서 다음 테스트 대상을 실행한다: 플레이어 고유 색상 일관 적용.
3. UI, 서버 상태와 로그·텔레메트리를 확인한다.
4. 필요하면 재입장 또는 재실행하여 재현성을 확인한다.</x:v>
      </x:c>
      <x:c r="H6" s="36" t="str">
        <x:v>각 참가자에게 중복되지 않는 색상을 할당하고 캐릭터, 이름표, LED, 메모 규칙, 투표 UI가 동일한 색상 ID를 참조한다.</x:v>
      </x:c>
      <x:c r="I6" s="36" t="str">
        <x:v>통합</x:v>
      </x:c>
      <x:c r="J6" s="36" t="str">
        <x:v>P0</x:v>
      </x:c>
      <x:c r="K6" s="36" t="str">
        <x:v>전체</x:v>
      </x:c>
      <x:c r="L6" s="36" t="str">
        <x:v>예</x:v>
      </x:c>
      <x:c r="M6" s="36" t="str">
        <x:v>미실시</x:v>
      </x:c>
      <x:c r="N6" s="36" t="str">
        <x:v>미정</x:v>
      </x:c>
      <x:c r="O6" s="36" t="str">
        <x:v>미정</x:v>
      </x:c>
      <x:c r="P6" s="36"/>
      <x:c r="Q6" s="36"/>
      <x:c r="R6" s="44" t="str">
        <x:v>2026-07-10</x:v>
      </x:c>
      <x:c r="S6" s="36"/>
      <x:c r="T6" s="54"/>
      <x:c r="U6" s="54"/>
      <x:c r="V6" s="53" t="str">
        <x:v>착수 전</x:v>
      </x:c>
    </x:row>
    <x:row r="7" ht="42" customHeight="1">
      <x:c r="A7" s="36" t="str">
        <x:v>TC-IGM-003-02</x:v>
      </x:c>
      <x:c r="B7" s="36" t="str">
        <x:v>IGM-003</x:v>
      </x:c>
      <x:c r="C7" s="36" t="str">
        <x:v>인게임·게임플레이</x:v>
      </x:c>
      <x:c r="D7" s="36" t="str">
        <x:v>예외·경계 시나리오: 플레이어 고유 색상 일관 적용</x:v>
      </x:c>
      <x:c r="E7" s="36" t="str">
        <x:v>허용되지 않은 상태, 잘못된 값, 중복, 만료, 권한 부족, 연결 끊김 입력으로 데이터 손상·정보 유출·클라이언트 상태 분기가 발생하지 않는지 확인한다.</x:v>
      </x:c>
      <x:c r="F7" s="36" t="str">
        <x:v>대상 기능이 포함된 MVP 빌드와 디버그 입력, 네트워크 열화, 비정상 요청 재현 수단을 준비한다.</x:v>
      </x:c>
      <x:c r="G7" s="36" t="str">
        <x:v>1. 허용되지 않은 페이즈 또는 경계값 조건을 구성한다.
2. 플레이어 고유 색상 일관 적용에 대해 중복·무효·지연·연결 끊김을 포함한 요청을 전송한다.
3. 서버 거부, 롤백, 오류 표시와 감사 로그를 확인한다.
4. 모든 클라이언트의 상태가 일치하는지 확인한다.</x:v>
      </x:c>
      <x:c r="H7" s="36" t="str">
        <x:v>요청은 사양에 따라 거부되거나 안전하게 복구되며, 중복 반영, 데이터 손실, 정보 유출 또는 진행 중단이 발생하지 않는다. 오류와 상관관계 ID가 기록된다.</x:v>
      </x:c>
      <x:c r="I7" s="36" t="str">
        <x:v>통합</x:v>
      </x:c>
      <x:c r="J7" s="36" t="str">
        <x:v>P0</x:v>
      </x:c>
      <x:c r="K7" s="36" t="str">
        <x:v>전체</x:v>
      </x:c>
      <x:c r="L7" s="36" t="str">
        <x:v>예</x:v>
      </x:c>
      <x:c r="M7" s="36" t="str">
        <x:v>미실시</x:v>
      </x:c>
      <x:c r="N7" s="36" t="str">
        <x:v>미정</x:v>
      </x:c>
      <x:c r="O7" s="36" t="str">
        <x:v>미정</x:v>
      </x:c>
      <x:c r="P7" s="36"/>
      <x:c r="Q7" s="36"/>
      <x:c r="R7" s="44" t="str">
        <x:v>2026-07-10</x:v>
      </x:c>
      <x:c r="S7" s="36"/>
      <x:c r="T7" s="54"/>
      <x:c r="U7" s="54"/>
      <x:c r="V7" s="53" t="str">
        <x:v>착수 전</x:v>
      </x:c>
    </x:row>
    <x:row r="8" ht="42" customHeight="1">
      <x:c r="A8" s="36" t="str">
        <x:v>TC-IGM-004-01</x:v>
      </x:c>
      <x:c r="B8" s="36" t="str">
        <x:v>IGM-004</x:v>
      </x:c>
      <x:c r="C8" s="36" t="str">
        <x:v>인게임·게임플레이</x:v>
      </x:c>
      <x:c r="D8" s="36" t="str">
        <x:v>정상 시나리오: 낮 페이즈 시작·종료·타이머</x:v>
      </x:c>
      <x:c r="E8" s="36" t="str">
        <x:v>낮은 기본 180초로 시작하며 남은 시간이 0초가 되면 신규 메모 부착과 미니게임 시작을 거부한 뒤 안전하게 밤으로 전환한다.</x:v>
      </x:c>
      <x:c r="F8" s="36" t="str">
        <x:v>대상 기능이 포함된 MVP 빌드, 필요한 테스트 계정·룸 설정·로그 접근 권한을 준비한다.</x:v>
      </x:c>
      <x:c r="G8" s="36" t="str">
        <x:v>1. 사전 조건 상태를 구성한다.
2. 표준 설정에서 다음 테스트 대상을 실행한다: 낮 페이즈 시작·종료·타이머.
3. UI, 서버 상태와 로그·텔레메트리를 확인한다.
4. 필요하면 재입장 또는 재실행하여 재현성을 확인한다.</x:v>
      </x:c>
      <x:c r="H8" s="36" t="str">
        <x:v>낮은 기본 180초로 시작하며 남은 시간이 0초가 되면 신규 메모 부착과 미니게임 시작을 거부한 뒤 안전하게 밤으로 전환한다.</x:v>
      </x:c>
      <x:c r="I8" s="36" t="str">
        <x:v>경계값</x:v>
      </x:c>
      <x:c r="J8" s="36" t="str">
        <x:v>P0</x:v>
      </x:c>
      <x:c r="K8" s="36" t="str">
        <x:v>전체</x:v>
      </x:c>
      <x:c r="L8" s="36" t="str">
        <x:v>예</x:v>
      </x:c>
      <x:c r="M8" s="36" t="str">
        <x:v>미실시</x:v>
      </x:c>
      <x:c r="N8" s="36" t="str">
        <x:v>미정</x:v>
      </x:c>
      <x:c r="O8" s="36" t="str">
        <x:v>미정</x:v>
      </x:c>
      <x:c r="P8" s="36"/>
      <x:c r="Q8" s="36"/>
      <x:c r="R8" s="44" t="str">
        <x:v>2026-07-10</x:v>
      </x:c>
      <x:c r="S8" s="36"/>
      <x:c r="T8" s="54"/>
      <x:c r="U8" s="54"/>
      <x:c r="V8" s="53" t="str">
        <x:v>착수 전</x:v>
      </x:c>
    </x:row>
    <x:row r="9" ht="42" customHeight="1">
      <x:c r="A9" s="36" t="str">
        <x:v>TC-IGM-004-02</x:v>
      </x:c>
      <x:c r="B9" s="36" t="str">
        <x:v>IGM-004</x:v>
      </x:c>
      <x:c r="C9" s="36" t="str">
        <x:v>인게임·게임플레이</x:v>
      </x:c>
      <x:c r="D9" s="36" t="str">
        <x:v>예외·경계 시나리오: 낮 페이즈 시작·종료·타이머</x:v>
      </x:c>
      <x:c r="E9" s="36" t="str">
        <x:v>허용되지 않은 상태, 잘못된 값, 중복, 만료, 권한 부족, 연결 끊김 입력으로 데이터 손상·정보 유출·클라이언트 상태 분기가 발생하지 않는지 확인한다.</x:v>
      </x:c>
      <x:c r="F9" s="36" t="str">
        <x:v>대상 기능이 포함된 MVP 빌드와 디버그 입력, 네트워크 열화, 비정상 요청 재현 수단을 준비한다.</x:v>
      </x:c>
      <x:c r="G9" s="36" t="str">
        <x:v>1. 허용되지 않은 페이즈 또는 경계값 조건을 구성한다.
2. 낮 페이즈 시작·종료·타이머에 대해 중복·무효·지연·연결 끊김을 포함한 요청을 전송한다.
3. 서버 거부, 롤백, 오류 표시와 감사 로그를 확인한다.
4. 모든 클라이언트의 상태가 일치하는지 확인한다.</x:v>
      </x:c>
      <x:c r="H9" s="36" t="str">
        <x:v>요청은 사양에 따라 거부되거나 안전하게 복구되며, 중복 반영, 데이터 손실, 정보 유출 또는 진행 중단이 발생하지 않는다. 오류와 상관관계 ID가 기록된다.</x:v>
      </x:c>
      <x:c r="I9" s="36" t="str">
        <x:v>경계값</x:v>
      </x:c>
      <x:c r="J9" s="36" t="str">
        <x:v>P0</x:v>
      </x:c>
      <x:c r="K9" s="36" t="str">
        <x:v>전체</x:v>
      </x:c>
      <x:c r="L9" s="36" t="str">
        <x:v>예</x:v>
      </x:c>
      <x:c r="M9" s="36" t="str">
        <x:v>미실시</x:v>
      </x:c>
      <x:c r="N9" s="36" t="str">
        <x:v>미정</x:v>
      </x:c>
      <x:c r="O9" s="36" t="str">
        <x:v>미정</x:v>
      </x:c>
      <x:c r="P9" s="36"/>
      <x:c r="Q9" s="36"/>
      <x:c r="R9" s="44" t="str">
        <x:v>2026-07-10</x:v>
      </x:c>
      <x:c r="S9" s="36"/>
      <x:c r="T9" s="54"/>
      <x:c r="U9" s="54"/>
      <x:c r="V9" s="53" t="str">
        <x:v>착수 전</x:v>
      </x:c>
    </x:row>
    <x:row r="10" ht="42" customHeight="1">
      <x:c r="A10" s="36" t="str">
        <x:v>TC-IGM-005-01</x:v>
      </x:c>
      <x:c r="B10" s="36" t="str">
        <x:v>IGM-005</x:v>
      </x:c>
      <x:c r="C10" s="36" t="str">
        <x:v>인게임·게임플레이</x:v>
      </x:c>
      <x:c r="D10" s="36" t="str">
        <x:v>정상 시나리오: 낮 페이즈 행동 허용 제어</x:v>
      </x:c>
      <x:c r="E10" s="36" t="str">
        <x:v>이동, 근거리 대화, 미니게임, 메모 작성·부착은 낮에만 사용할 수 있고, 페이즈 전환 중 입력이 중복 실행되지 않는다.</x:v>
      </x:c>
      <x:c r="F10" s="36" t="str">
        <x:v>대상 기능이 포함된 MVP 빌드, 필요한 테스트 계정·룸 설정·로그 접근 권한을 준비한다.</x:v>
      </x:c>
      <x:c r="G10" s="36" t="str">
        <x:v>1. 사전 조건 상태를 구성한다.
2. 표준 설정에서 다음 테스트 대상을 실행한다: 낮 페이즈 행동 허용 제어.
3. UI, 서버 상태와 로그·텔레메트리를 확인한다.
4. 필요하면 재입장 또는 재실행하여 재현성을 확인한다.</x:v>
      </x:c>
      <x:c r="H10" s="36" t="str">
        <x:v>이동, 근거리 대화, 미니게임, 메모 작성·부착은 낮에만 사용할 수 있고, 페이즈 전환 중 입력이 중복 실행되지 않는다.</x:v>
      </x:c>
      <x:c r="I10" s="36" t="str">
        <x:v>통합</x:v>
      </x:c>
      <x:c r="J10" s="36" t="str">
        <x:v>P0</x:v>
      </x:c>
      <x:c r="K10" s="36" t="str">
        <x:v>전체</x:v>
      </x:c>
      <x:c r="L10" s="36" t="str">
        <x:v>예</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TC-IGM-005-02</x:v>
      </x:c>
      <x:c r="B11" s="36" t="str">
        <x:v>IGM-005</x:v>
      </x:c>
      <x:c r="C11" s="36" t="str">
        <x:v>인게임·게임플레이</x:v>
      </x:c>
      <x:c r="D11" s="36" t="str">
        <x:v>예외·경계 시나리오: 낮 페이즈 행동 허용 제어</x:v>
      </x:c>
      <x:c r="E11" s="36" t="str">
        <x:v>허용되지 않은 상태, 잘못된 값, 중복, 만료, 권한 부족, 연결 끊김 입력으로 데이터 손상·정보 유출·클라이언트 상태 분기가 발생하지 않는지 확인한다.</x:v>
      </x:c>
      <x:c r="F11" s="36" t="str">
        <x:v>대상 기능이 포함된 MVP 빌드와 디버그 입력, 네트워크 열화, 비정상 요청 재현 수단을 준비한다.</x:v>
      </x:c>
      <x:c r="G11" s="36" t="str">
        <x:v>1. 허용되지 않은 페이즈 또는 경계값 조건을 구성한다.
2. 낮 페이즈 행동 허용 제어에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통합</x:v>
      </x:c>
      <x:c r="J11" s="36" t="str">
        <x:v>P0</x:v>
      </x:c>
      <x:c r="K11" s="36" t="str">
        <x:v>전체</x:v>
      </x:c>
      <x:c r="L11" s="36" t="str">
        <x:v>예</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TC-IGM-006-01</x:v>
      </x:c>
      <x:c r="B12" s="36" t="str">
        <x:v>IGM-006</x:v>
      </x:c>
      <x:c r="C12" s="36" t="str">
        <x:v>인게임·게임플레이</x:v>
      </x:c>
      <x:c r="D12" s="36" t="str">
        <x:v>정상 시나리오: 밤 시작 시 중앙 집결 처리</x:v>
      </x:c>
      <x:c r="E12" s="36" t="str">
        <x:v>생존자만 중앙 관찰 구역으로 안전하게 이동하며 충돌, 낙하, 카메라 오류가 없고 연결이 끊긴 플레이어는 집결 대상에서 제외한다.</x:v>
      </x:c>
      <x:c r="F12" s="36" t="str">
        <x:v>대상 기능이 포함된 MVP 빌드, 필요한 테스트 계정·룸 설정·로그 접근 권한을 준비한다.</x:v>
      </x:c>
      <x:c r="G12" s="36" t="str">
        <x:v>1. 사전 조건 상태를 구성한다.
2. 표준 설정에서 다음 테스트 대상을 실행한다: 밤 시작 시 중앙 집결 처리.
3. UI, 서버 상태와 로그·텔레메트리를 확인한다.
4. 필요하면 재입장 또는 재실행하여 재현성을 확인한다.</x:v>
      </x:c>
      <x:c r="H12" s="36" t="str">
        <x:v>생존자만 중앙 관찰 구역으로 안전하게 이동하며 충돌, 낙하, 카메라 오류가 없고 연결이 끊긴 플레이어는 집결 대상에서 제외한다.</x:v>
      </x:c>
      <x:c r="I12" s="36" t="str">
        <x:v>통합</x:v>
      </x:c>
      <x:c r="J12" s="36" t="str">
        <x:v>P0</x:v>
      </x:c>
      <x:c r="K12" s="36" t="str">
        <x:v>전체</x:v>
      </x:c>
      <x:c r="L12" s="36" t="str">
        <x:v>예</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TC-IGM-006-02</x:v>
      </x:c>
      <x:c r="B13" s="36" t="str">
        <x:v>IGM-006</x:v>
      </x:c>
      <x:c r="C13" s="36" t="str">
        <x:v>인게임·게임플레이</x:v>
      </x:c>
      <x:c r="D13" s="36" t="str">
        <x:v>예외·경계 시나리오: 밤 시작 시 중앙 집결 처리</x:v>
      </x:c>
      <x:c r="E13" s="36" t="str">
        <x:v>허용되지 않은 상태, 잘못된 값, 중복, 만료, 권한 부족, 연결 끊김 입력으로 데이터 손상·정보 유출·클라이언트 상태 분기가 발생하지 않는지 확인한다.</x:v>
      </x:c>
      <x:c r="F13" s="36" t="str">
        <x:v>대상 기능이 포함된 MVP 빌드와 디버그 입력, 네트워크 열화, 비정상 요청 재현 수단을 준비한다.</x:v>
      </x:c>
      <x:c r="G13" s="36" t="str">
        <x:v>1. 허용되지 않은 페이즈 또는 경계값 조건을 구성한다.
2. 밤 시작 시 중앙 집결 처리에 대해 중복·무효·지연·연결 끊김을 포함한 요청을 전송한다.
3. 서버 거부, 롤백, 오류 표시와 감사 로그를 확인한다.
4. 모든 클라이언트의 상태가 일치하는지 확인한다.</x:v>
      </x:c>
      <x:c r="H13" s="36" t="str">
        <x:v>요청은 사양에 따라 거부되거나 안전하게 복구되며, 중복 반영, 데이터 손실, 정보 유출 또는 진행 중단이 발생하지 않는다. 오류와 상관관계 ID가 기록된다.</x:v>
      </x:c>
      <x:c r="I13" s="36" t="str">
        <x:v>통합</x:v>
      </x:c>
      <x:c r="J13" s="36" t="str">
        <x:v>P0</x:v>
      </x:c>
      <x:c r="K13" s="36" t="str">
        <x:v>전체</x:v>
      </x:c>
      <x:c r="L13" s="36" t="str">
        <x:v>예</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TC-IGM-007-01</x:v>
      </x:c>
      <x:c r="B14" s="36" t="str">
        <x:v>IGM-007</x:v>
      </x:c>
      <x:c r="C14" s="36" t="str">
        <x:v>인게임·게임플레이</x:v>
      </x:c>
      <x:c r="D14" s="36" t="str">
        <x:v>정상 시나리오: 밤 이동·상호작용 잠금</x:v>
      </x:c>
      <x:c r="E14" s="36" t="str">
        <x:v>밤에는 지정 범위 밖 이동, 메모 조작, 미니게임, 아이템 조작, 이모트를 서버와 클라이언트 양쪽에서 모두 차단한다.</x:v>
      </x:c>
      <x:c r="F14" s="36" t="str">
        <x:v>대상 기능이 포함된 MVP 빌드, 필요한 테스트 계정·룸 설정·로그 접근 권한을 준비한다.</x:v>
      </x:c>
      <x:c r="G14" s="36" t="str">
        <x:v>1. 사전 조건 상태를 구성한다.
2. 표준 설정에서 다음 테스트 대상을 실행한다: 밤 이동·상호작용 잠금.
3. UI, 서버 상태와 로그·텔레메트리를 확인한다.
4. 필요하면 재입장 또는 재실행하여 재현성을 확인한다.</x:v>
      </x:c>
      <x:c r="H14" s="36" t="str">
        <x:v>밤에는 지정 범위 밖 이동, 메모 조작, 미니게임, 아이템 조작, 이모트를 서버와 클라이언트 양쪽에서 모두 차단한다.</x:v>
      </x:c>
      <x:c r="I14" s="36" t="str">
        <x:v>보안</x:v>
      </x:c>
      <x:c r="J14" s="36" t="str">
        <x:v>P0</x:v>
      </x:c>
      <x:c r="K14" s="36" t="str">
        <x:v>전체</x:v>
      </x:c>
      <x:c r="L14" s="36" t="str">
        <x:v>예</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TC-IGM-007-02</x:v>
      </x:c>
      <x:c r="B15" s="36" t="str">
        <x:v>IGM-007</x:v>
      </x:c>
      <x:c r="C15" s="36" t="str">
        <x:v>인게임·게임플레이</x:v>
      </x:c>
      <x:c r="D15" s="36" t="str">
        <x:v>예외·경계 시나리오: 밤 이동·상호작용 잠금</x:v>
      </x:c>
      <x:c r="E15" s="36" t="str">
        <x:v>허용되지 않은 상태, 잘못된 값, 중복, 만료, 권한 부족, 연결 끊김 입력으로 데이터 손상·정보 유출·클라이언트 상태 분기가 발생하지 않는지 확인한다.</x:v>
      </x:c>
      <x:c r="F15" s="36" t="str">
        <x:v>대상 기능이 포함된 MVP 빌드와 디버그 입력, 네트워크 열화, 비정상 요청 재현 수단을 준비한다.</x:v>
      </x:c>
      <x:c r="G15" s="36" t="str">
        <x:v>1. 허용되지 않은 페이즈 또는 경계값 조건을 구성한다.
2. 밤 이동·상호작용 잠금에 대해 중복·무효·지연·연결 끊김을 포함한 요청을 전송한다.
3. 서버 거부, 롤백, 오류 표시와 감사 로그를 확인한다.
4. 모든 클라이언트의 상태가 일치하는지 확인한다.</x:v>
      </x:c>
      <x:c r="H15" s="36" t="str">
        <x:v>요청은 사양에 따라 거부되거나 안전하게 복구되며, 중복 반영, 데이터 손실, 정보 유출 또는 진행 중단이 발생하지 않는다. 오류와 상관관계 ID가 기록된다.</x:v>
      </x:c>
      <x:c r="I15" s="36" t="str">
        <x:v>보안</x:v>
      </x:c>
      <x:c r="J15" s="36" t="str">
        <x:v>P0</x:v>
      </x:c>
      <x:c r="K15" s="36" t="str">
        <x:v>전체</x:v>
      </x:c>
      <x:c r="L15" s="36" t="str">
        <x:v>예</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TC-IGM-008-01</x:v>
      </x:c>
      <x:c r="B16" s="36" t="str">
        <x:v>IGM-008</x:v>
      </x:c>
      <x:c r="C16" s="36" t="str">
        <x:v>인게임·게임플레이</x:v>
      </x:c>
      <x:c r="D16" s="36" t="str">
        <x:v>정상 시나리오: 밤 무언 관찰 시간</x:v>
      </x:c>
      <x:c r="E16" s="36" t="str">
        <x:v>기본 25초의 관찰 시간 동안 다른 플레이어의 등 메모만 확인할 수 있으며, 투표 시작 전에는 선택을 확정할 수 없다.</x:v>
      </x:c>
      <x:c r="F16" s="36" t="str">
        <x:v>대상 기능이 포함된 MVP 빌드, 필요한 테스트 계정·룸 설정·로그 접근 권한을 준비한다.</x:v>
      </x:c>
      <x:c r="G16" s="36" t="str">
        <x:v>1. 사전 조건 상태를 구성한다.
2. 표준 설정에서 다음 테스트 대상을 실행한다: 밤 무언 관찰 시간.
3. UI, 서버 상태와 로그·텔레메트리를 확인한다.
4. 필요하면 재입장 또는 재실행하여 재현성을 확인한다.</x:v>
      </x:c>
      <x:c r="H16" s="36" t="str">
        <x:v>기본 25초의 관찰 시간 동안 다른 플레이어의 등 메모만 확인할 수 있으며, 투표 시작 전에는 선택을 확정할 수 없다.</x:v>
      </x:c>
      <x:c r="I16" s="36" t="str">
        <x:v>통합</x:v>
      </x:c>
      <x:c r="J16" s="36" t="str">
        <x:v>P0</x:v>
      </x:c>
      <x:c r="K16" s="36" t="str">
        <x:v>전체</x:v>
      </x:c>
      <x:c r="L16" s="36" t="str">
        <x:v>예</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TC-IGM-008-02</x:v>
      </x:c>
      <x:c r="B17" s="36" t="str">
        <x:v>IGM-008</x:v>
      </x:c>
      <x:c r="C17" s="36" t="str">
        <x:v>인게임·게임플레이</x:v>
      </x:c>
      <x:c r="D17" s="36" t="str">
        <x:v>예외·경계 시나리오: 밤 무언 관찰 시간</x:v>
      </x:c>
      <x:c r="E17" s="36" t="str">
        <x:v>허용되지 않은 상태, 잘못된 값, 중복, 만료, 권한 부족, 연결 끊김 입력으로 데이터 손상·정보 유출·클라이언트 상태 분기가 발생하지 않는지 확인한다.</x:v>
      </x:c>
      <x:c r="F17" s="36" t="str">
        <x:v>대상 기능이 포함된 MVP 빌드와 디버그 입력, 네트워크 열화, 비정상 요청 재현 수단을 준비한다.</x:v>
      </x:c>
      <x:c r="G17" s="36" t="str">
        <x:v>1. 허용되지 않은 페이즈 또는 경계값 조건을 구성한다.
2. 밤 무언 관찰 시간에 대해 중복·무효·지연·연결 끊김을 포함한 요청을 전송한다.
3. 서버 거부, 롤백, 오류 표시와 감사 로그를 확인한다.
4. 모든 클라이언트의 상태가 일치하는지 확인한다.</x:v>
      </x:c>
      <x:c r="H17" s="36" t="str">
        <x:v>요청은 사양에 따라 거부되거나 안전하게 복구되며, 중복 반영, 데이터 손실, 정보 유출 또는 진행 중단이 발생하지 않는다. 오류와 상관관계 ID가 기록된다.</x:v>
      </x:c>
      <x:c r="I17" s="36" t="str">
        <x:v>통합</x:v>
      </x:c>
      <x:c r="J17" s="36" t="str">
        <x:v>P0</x:v>
      </x:c>
      <x:c r="K17" s="36" t="str">
        <x:v>전체</x:v>
      </x:c>
      <x:c r="L17" s="36" t="str">
        <x:v>예</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TC-IGM-009-01</x:v>
      </x:c>
      <x:c r="B18" s="36" t="str">
        <x:v>IGM-009</x:v>
      </x:c>
      <x:c r="C18" s="36" t="str">
        <x:v>인게임·게임플레이</x:v>
      </x:c>
      <x:c r="D18" s="36" t="str">
        <x:v>정상 시나리오: 메모 보유 수량·상한 서버 관리</x:v>
      </x:c>
      <x:c r="E18" s="36" t="str">
        <x:v>서버가 플레이어별 메모 보유 수량을 관리하고 기본 상한 3장을 초과하는 지급·소비·재접속 복원 과정에서 불일치가 발생하지 않는다.</x:v>
      </x:c>
      <x:c r="F18" s="36" t="str">
        <x:v>대상 기능이 포함된 MVP 빌드, 필요한 테스트 계정·룸 설정·로그 접근 권한을 준비한다.</x:v>
      </x:c>
      <x:c r="G18" s="36" t="str">
        <x:v>1. 사전 조건 상태를 구성한다.
2. 표준 설정에서 다음 테스트 대상을 실행한다: 메모 보유 수량·상한 서버 관리.
3. UI, 서버 상태와 로그·텔레메트리를 확인한다.
4. 필요하면 재입장 또는 재실행하여 재현성을 확인한다.</x:v>
      </x:c>
      <x:c r="H18" s="36" t="str">
        <x:v>서버가 플레이어별 메모 보유 수량을 관리하고 기본 상한 3장을 초과하는 지급·소비·재접속 복원 과정에서 불일치가 발생하지 않는다.</x:v>
      </x:c>
      <x:c r="I18" s="36" t="str">
        <x:v>경계값</x:v>
      </x:c>
      <x:c r="J18" s="36" t="str">
        <x:v>P0</x:v>
      </x:c>
      <x:c r="K18" s="36" t="str">
        <x:v>전체</x:v>
      </x:c>
      <x:c r="L18" s="36" t="str">
        <x:v>예</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TC-IGM-009-02</x:v>
      </x:c>
      <x:c r="B19" s="36" t="str">
        <x:v>IGM-009</x:v>
      </x:c>
      <x:c r="C19" s="36" t="str">
        <x:v>인게임·게임플레이</x:v>
      </x:c>
      <x:c r="D19" s="36" t="str">
        <x:v>예외·경계 시나리오: 메모 보유 수량·상한 서버 관리</x:v>
      </x:c>
      <x:c r="E19" s="36" t="str">
        <x:v>허용되지 않은 상태, 잘못된 값, 중복, 만료, 권한 부족, 연결 끊김 입력으로 데이터 손상·정보 유출·클라이언트 상태 분기가 발생하지 않는지 확인한다.</x:v>
      </x:c>
      <x:c r="F19" s="36" t="str">
        <x:v>대상 기능이 포함된 MVP 빌드와 디버그 입력, 네트워크 열화, 비정상 요청 재현 수단을 준비한다.</x:v>
      </x:c>
      <x:c r="G19" s="36" t="str">
        <x:v>1. 허용되지 않은 페이즈 또는 경계값 조건을 구성한다.
2. 메모 보유 수량·상한 서버 관리에 대해 중복·무효·지연·연결 끊김을 포함한 요청을 전송한다.
3. 서버 거부, 롤백, 오류 표시와 감사 로그를 확인한다.
4. 모든 클라이언트의 상태가 일치하는지 확인한다.</x:v>
      </x:c>
      <x:c r="H19" s="36" t="str">
        <x:v>요청은 사양에 따라 거부되거나 안전하게 복구되며, 중복 반영, 데이터 손실, 정보 유출 또는 진행 중단이 발생하지 않는다. 오류와 상관관계 ID가 기록된다.</x:v>
      </x:c>
      <x:c r="I19" s="36" t="str">
        <x:v>경계값</x:v>
      </x:c>
      <x:c r="J19" s="36" t="str">
        <x:v>P0</x:v>
      </x:c>
      <x:c r="K19" s="36" t="str">
        <x:v>전체</x:v>
      </x:c>
      <x:c r="L19" s="36" t="str">
        <x:v>예</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TC-IGM-010-01</x:v>
      </x:c>
      <x:c r="B20" s="36" t="str">
        <x:v>IGM-010</x:v>
      </x:c>
      <x:c r="C20" s="36" t="str">
        <x:v>인게임·게임플레이</x:v>
      </x:c>
      <x:c r="D20" s="36" t="str">
        <x:v>정상 시나리오: 미니게임 성공 메모 보상</x:v>
      </x:c>
      <x:c r="E20" s="36" t="str">
        <x:v>유효한 미니게임 완료 이벤트 1회당 메모 1장을 지급하고 재전송, 다중 입력, 재접속에 따른 중복 지급을 방지한다.</x:v>
      </x:c>
      <x:c r="F20" s="36" t="str">
        <x:v>대상 기능이 포함된 MVP 빌드, 필요한 테스트 계정·룸 설정·로그 접근 권한을 준비한다.</x:v>
      </x:c>
      <x:c r="G20" s="36" t="str">
        <x:v>1. 사전 조건 상태를 구성한다.
2. 표준 설정에서 다음 테스트 대상을 실행한다: 미니게임 성공 메모 보상.
3. UI, 서버 상태와 로그·텔레메트리를 확인한다.
4. 필요하면 재입장 또는 재실행하여 재현성을 확인한다.</x:v>
      </x:c>
      <x:c r="H20" s="36" t="str">
        <x:v>유효한 미니게임 완료 이벤트 1회당 메모 1장을 지급하고 재전송, 다중 입력, 재접속에 따른 중복 지급을 방지한다.</x:v>
      </x:c>
      <x:c r="I20" s="36" t="str">
        <x:v>보안</x:v>
      </x:c>
      <x:c r="J20" s="36" t="str">
        <x:v>P0</x:v>
      </x:c>
      <x:c r="K20" s="36" t="str">
        <x:v>전체</x:v>
      </x:c>
      <x:c r="L20" s="36" t="str">
        <x:v>예</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TC-IGM-010-02</x:v>
      </x:c>
      <x:c r="B21" s="36" t="str">
        <x:v>IGM-010</x:v>
      </x:c>
      <x:c r="C21" s="36" t="str">
        <x:v>인게임·게임플레이</x:v>
      </x:c>
      <x:c r="D21" s="36" t="str">
        <x:v>예외·경계 시나리오: 미니게임 성공 메모 보상</x:v>
      </x:c>
      <x:c r="E21" s="36" t="str">
        <x:v>허용되지 않은 상태, 잘못된 값, 중복, 만료, 권한 부족, 연결 끊김 입력으로 데이터 손상·정보 유출·클라이언트 상태 분기가 발생하지 않는지 확인한다.</x:v>
      </x:c>
      <x:c r="F21" s="36" t="str">
        <x:v>대상 기능이 포함된 MVP 빌드와 디버그 입력, 네트워크 열화, 비정상 요청 재현 수단을 준비한다.</x:v>
      </x:c>
      <x:c r="G21" s="36" t="str">
        <x:v>1. 허용되지 않은 페이즈 또는 경계값 조건을 구성한다.
2. 미니게임 성공 메모 보상에 대해 중복·무효·지연·연결 끊김을 포함한 요청을 전송한다.
3. 서버 거부, 롤백, 오류 표시와 감사 로그를 확인한다.
4. 모든 클라이언트의 상태가 일치하는지 확인한다.</x:v>
      </x:c>
      <x:c r="H21" s="36" t="str">
        <x:v>요청은 사양에 따라 거부되거나 안전하게 복구되며, 중복 반영, 데이터 손실, 정보 유출 또는 진행 중단이 발생하지 않는다. 오류와 상관관계 ID가 기록된다.</x:v>
      </x:c>
      <x:c r="I21" s="36" t="str">
        <x:v>보안</x:v>
      </x:c>
      <x:c r="J21" s="36" t="str">
        <x:v>P0</x:v>
      </x:c>
      <x:c r="K21" s="36" t="str">
        <x:v>전체</x:v>
      </x:c>
      <x:c r="L21" s="36" t="str">
        <x:v>예</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TC-IGM-011-01</x:v>
      </x:c>
      <x:c r="B22" s="36" t="str">
        <x:v>IGM-011</x:v>
      </x:c>
      <x:c r="C22" s="36" t="str">
        <x:v>인게임·게임플레이</x:v>
      </x:c>
      <x:c r="D22" s="36" t="str">
        <x:v>정상 시나리오: 마피아 아침 무료 메모</x:v>
      </x:c>
      <x:c r="E22" s="36" t="str">
        <x:v>각 낮 시작 시 생존 중인 마피아에게 기본 메모 1장을 한 번만 지급하며, 보유 상한 도달 시 처리 방식이 설정 사양과 일치한다.</x:v>
      </x:c>
      <x:c r="F22" s="36" t="str">
        <x:v>대상 기능이 포함된 MVP 빌드, 필요한 테스트 계정·룸 설정·로그 접근 권한을 준비한다.</x:v>
      </x:c>
      <x:c r="G22" s="36" t="str">
        <x:v>1. 사전 조건 상태를 구성한다.
2. 표준 설정에서 다음 테스트 대상을 실행한다: 마피아 아침 무료 메모.
3. UI, 서버 상태와 로그·텔레메트리를 확인한다.
4. 필요하면 재입장 또는 재실행하여 재현성을 확인한다.</x:v>
      </x:c>
      <x:c r="H22" s="36" t="str">
        <x:v>각 낮 시작 시 생존 중인 마피아에게 기본 메모 1장을 한 번만 지급하며, 보유 상한 도달 시 처리 방식이 설정 사양과 일치한다.</x:v>
      </x:c>
      <x:c r="I22" s="36" t="str">
        <x:v>경계값</x:v>
      </x:c>
      <x:c r="J22" s="36" t="str">
        <x:v>P0</x:v>
      </x:c>
      <x:c r="K22" s="36" t="str">
        <x:v>전체</x:v>
      </x:c>
      <x:c r="L22" s="36" t="str">
        <x:v>예</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TC-IGM-011-02</x:v>
      </x:c>
      <x:c r="B23" s="36" t="str">
        <x:v>IGM-011</x:v>
      </x:c>
      <x:c r="C23" s="36" t="str">
        <x:v>인게임·게임플레이</x:v>
      </x:c>
      <x:c r="D23" s="36" t="str">
        <x:v>예외·경계 시나리오: 마피아 아침 무료 메모</x:v>
      </x:c>
      <x:c r="E23" s="36" t="str">
        <x:v>허용되지 않은 상태, 잘못된 값, 중복, 만료, 권한 부족, 연결 끊김 입력으로 데이터 손상·정보 유출·클라이언트 상태 분기가 발생하지 않는지 확인한다.</x:v>
      </x:c>
      <x:c r="F23" s="36" t="str">
        <x:v>대상 기능이 포함된 MVP 빌드와 디버그 입력, 네트워크 열화, 비정상 요청 재현 수단을 준비한다.</x:v>
      </x:c>
      <x:c r="G23" s="36" t="str">
        <x:v>1. 허용되지 않은 페이즈 또는 경계값 조건을 구성한다.
2. 마피아 아침 무료 메모에 대해 중복·무효·지연·연결 끊김을 포함한 요청을 전송한다.
3. 서버 거부, 롤백, 오류 표시와 감사 로그를 확인한다.
4. 모든 클라이언트의 상태가 일치하는지 확인한다.</x:v>
      </x:c>
      <x:c r="H23" s="36" t="str">
        <x:v>요청은 사양에 따라 거부되거나 안전하게 복구되며, 중복 반영, 데이터 손실, 정보 유출 또는 진행 중단이 발생하지 않는다. 오류와 상관관계 ID가 기록된다.</x:v>
      </x:c>
      <x:c r="I23" s="36" t="str">
        <x:v>경계값</x:v>
      </x:c>
      <x:c r="J23" s="36" t="str">
        <x:v>P0</x:v>
      </x:c>
      <x:c r="K23" s="36" t="str">
        <x:v>전체</x:v>
      </x:c>
      <x:c r="L23" s="36" t="str">
        <x:v>예</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TC-IGM-012-01</x:v>
      </x:c>
      <x:c r="B24" s="36" t="str">
        <x:v>IGM-012</x:v>
      </x:c>
      <x:c r="C24" s="36" t="str">
        <x:v>인게임·게임플레이</x:v>
      </x:c>
      <x:c r="D24" s="36" t="str">
        <x:v>정상 시나리오: 프리셋 문구 기반 메모 작성</x:v>
      </x:c>
      <x:c r="E24" s="36" t="str">
        <x:v>MVP에서는 승인된 프리셋만 선택할 수 있고 문구 ID, 현지화 키, 선택 색상을 서버로 전송한다. 자유 입력 기능은 노출하지 않는다.</x:v>
      </x:c>
      <x:c r="F24" s="36" t="str">
        <x:v>대상 기능이 포함된 MVP 빌드, 필요한 테스트 계정·룸 설정·로그 접근 권한을 준비한다.</x:v>
      </x:c>
      <x:c r="G24" s="36" t="str">
        <x:v>1. 사전 조건 상태를 구성한다.
2. 표준 설정에서 다음 테스트 대상을 실행한다: 프리셋 문구 기반 메모 작성.
3. UI, 서버 상태와 로그·텔레메트리를 확인한다.
4. 필요하면 재입장 또는 재실행하여 재현성을 확인한다.</x:v>
      </x:c>
      <x:c r="H24" s="36" t="str">
        <x:v>MVP에서는 승인된 프리셋만 선택할 수 있고 문구 ID, 현지화 키, 선택 색상을 서버로 전송한다. 자유 입력 기능은 노출하지 않는다.</x:v>
      </x:c>
      <x:c r="I24" s="36" t="str">
        <x:v>기능</x:v>
      </x:c>
      <x:c r="J24" s="36" t="str">
        <x:v>P0</x:v>
      </x:c>
      <x:c r="K24" s="36" t="str">
        <x:v>전체</x:v>
      </x:c>
      <x:c r="L24" s="36" t="str">
        <x:v>부분</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TC-IGM-012-02</x:v>
      </x:c>
      <x:c r="B25" s="36" t="str">
        <x:v>IGM-012</x:v>
      </x:c>
      <x:c r="C25" s="36" t="str">
        <x:v>인게임·게임플레이</x:v>
      </x:c>
      <x:c r="D25" s="36" t="str">
        <x:v>예외·경계 시나리오: 프리셋 문구 기반 메모 작성</x:v>
      </x:c>
      <x:c r="E25" s="36" t="str">
        <x:v>허용되지 않은 상태, 잘못된 값, 중복, 만료, 권한 부족, 연결 끊김 입력으로 데이터 손상·정보 유출·클라이언트 상태 분기가 발생하지 않는지 확인한다.</x:v>
      </x:c>
      <x:c r="F25" s="36" t="str">
        <x:v>대상 기능이 포함된 MVP 빌드와 디버그 입력, 네트워크 열화, 비정상 요청 재현 수단을 준비한다.</x:v>
      </x:c>
      <x:c r="G25" s="36" t="str">
        <x:v>1. 허용되지 않은 페이즈 또는 경계값 조건을 구성한다.
2. 프리셋 문구 기반 메모 작성에 대해 중복·무효·지연·연결 끊김을 포함한 요청을 전송한다.
3. 서버 거부, 롤백, 오류 표시와 감사 로그를 확인한다.
4. 모든 클라이언트의 상태가 일치하는지 확인한다.</x:v>
      </x:c>
      <x:c r="H25" s="36" t="str">
        <x:v>요청은 사양에 따라 거부되거나 안전하게 복구되며, 중복 반영, 데이터 손실, 정보 유출 또는 진행 중단이 발생하지 않는다. 오류와 상관관계 ID가 기록된다.</x:v>
      </x:c>
      <x:c r="I25" s="36" t="str">
        <x:v>기능</x:v>
      </x:c>
      <x:c r="J25" s="36" t="str">
        <x:v>P0</x:v>
      </x:c>
      <x:c r="K25" s="36" t="str">
        <x:v>전체</x:v>
      </x:c>
      <x:c r="L25" s="36" t="str">
        <x:v>부분</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TC-IGM-013-01</x:v>
      </x:c>
      <x:c r="B26" s="36" t="str">
        <x:v>IGM-013</x:v>
      </x:c>
      <x:c r="C26" s="36" t="str">
        <x:v>인게임·게임플레이</x:v>
      </x:c>
      <x:c r="D26" s="36" t="str">
        <x:v>정상 시나리오: 시민 메모 본인 색상 고정</x:v>
      </x:c>
      <x:c r="E26" s="36" t="str">
        <x:v>시민의 메모 작성 요청은 클라이언트 지정값과 무관하게 서버가 본인의 색상 ID로 강제하며, 다른 색상 요청은 감사 로그에 기록한다.</x:v>
      </x:c>
      <x:c r="F26" s="36" t="str">
        <x:v>대상 기능이 포함된 MVP 빌드, 필요한 테스트 계정·룸 설정·로그 접근 권한을 준비한다.</x:v>
      </x:c>
      <x:c r="G26" s="36" t="str">
        <x:v>1. 사전 조건 상태를 구성한다.
2. 표준 설정에서 다음 테스트 대상을 실행한다: 시민 메모 본인 색상 고정.
3. UI, 서버 상태와 로그·텔레메트리를 확인한다.
4. 필요하면 재입장 또는 재실행하여 재현성을 확인한다.</x:v>
      </x:c>
      <x:c r="H26" s="36" t="str">
        <x:v>시민의 메모 작성 요청은 클라이언트 지정값과 무관하게 서버가 본인의 색상 ID로 강제하며, 다른 색상 요청은 감사 로그에 기록한다.</x:v>
      </x:c>
      <x:c r="I26" s="36" t="str">
        <x:v>보안</x:v>
      </x:c>
      <x:c r="J26" s="36" t="str">
        <x:v>P0</x:v>
      </x:c>
      <x:c r="K26" s="36" t="str">
        <x:v>전체</x:v>
      </x:c>
      <x:c r="L26" s="36" t="str">
        <x:v>예</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TC-IGM-013-02</x:v>
      </x:c>
      <x:c r="B27" s="36" t="str">
        <x:v>IGM-013</x:v>
      </x:c>
      <x:c r="C27" s="36" t="str">
        <x:v>인게임·게임플레이</x:v>
      </x:c>
      <x:c r="D27" s="36" t="str">
        <x:v>예외·경계 시나리오: 시민 메모 본인 색상 고정</x:v>
      </x:c>
      <x:c r="E27" s="36" t="str">
        <x:v>허용되지 않은 상태, 잘못된 값, 중복, 만료, 권한 부족, 연결 끊김 입력으로 데이터 손상·정보 유출·클라이언트 상태 분기가 발생하지 않는지 확인한다.</x:v>
      </x:c>
      <x:c r="F27" s="36" t="str">
        <x:v>대상 기능이 포함된 MVP 빌드와 디버그 입력, 네트워크 열화, 비정상 요청 재현 수단을 준비한다.</x:v>
      </x:c>
      <x:c r="G27" s="36" t="str">
        <x:v>1. 허용되지 않은 페이즈 또는 경계값 조건을 구성한다.
2. 시민 메모 본인 색상 고정에 대해 중복·무효·지연·연결 끊김을 포함한 요청을 전송한다.
3. 서버 거부, 롤백, 오류 표시와 감사 로그를 확인한다.
4. 모든 클라이언트의 상태가 일치하는지 확인한다.</x:v>
      </x:c>
      <x:c r="H27" s="36" t="str">
        <x:v>요청은 사양에 따라 거부되거나 안전하게 복구되며, 중복 반영, 데이터 손실, 정보 유출 또는 진행 중단이 발생하지 않는다. 오류와 상관관계 ID가 기록된다.</x:v>
      </x:c>
      <x:c r="I27" s="36" t="str">
        <x:v>보안</x:v>
      </x:c>
      <x:c r="J27" s="36" t="str">
        <x:v>P0</x:v>
      </x:c>
      <x:c r="K27" s="36" t="str">
        <x:v>전체</x:v>
      </x:c>
      <x:c r="L27" s="36" t="str">
        <x:v>예</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TC-IGM-014-01</x:v>
      </x:c>
      <x:c r="B28" s="36" t="str">
        <x:v>IGM-014</x:v>
      </x:c>
      <x:c r="C28" s="36" t="str">
        <x:v>인게임·게임플레이</x:v>
      </x:c>
      <x:c r="D28" s="36" t="str">
        <x:v>정상 시나리오: 마피아 색상 위조</x:v>
      </x:c>
      <x:c r="E28" s="36" t="str">
        <x:v>마피아는 생존 플레이어의 색상 중 하나를 선택해 위조 메모를 작성할 수 있다. 공개 데이터에는 실제 작성자와 위조 여부를 포함하지 않는다.</x:v>
      </x:c>
      <x:c r="F28" s="36" t="str">
        <x:v>대상 기능이 포함된 MVP 빌드, 필요한 테스트 계정·룸 설정·로그 접근 권한을 준비한다.</x:v>
      </x:c>
      <x:c r="G28" s="36" t="str">
        <x:v>1. 사전 조건 상태를 구성한다.
2. 표준 설정에서 다음 테스트 대상을 실행한다: 마피아 색상 위조.
3. UI, 서버 상태와 로그·텔레메트리를 확인한다.
4. 필요하면 재입장 또는 재실행하여 재현성을 확인한다.</x:v>
      </x:c>
      <x:c r="H28" s="36" t="str">
        <x:v>마피아는 생존 플레이어의 색상 중 하나를 선택해 위조 메모를 작성할 수 있다. 공개 데이터에는 실제 작성자와 위조 여부를 포함하지 않는다.</x:v>
      </x:c>
      <x:c r="I28" s="36" t="str">
        <x:v>보안</x:v>
      </x:c>
      <x:c r="J28" s="36" t="str">
        <x:v>P0</x:v>
      </x:c>
      <x:c r="K28" s="36" t="str">
        <x:v>전체</x:v>
      </x:c>
      <x:c r="L28" s="36" t="str">
        <x:v>예</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TC-IGM-014-02</x:v>
      </x:c>
      <x:c r="B29" s="36" t="str">
        <x:v>IGM-014</x:v>
      </x:c>
      <x:c r="C29" s="36" t="str">
        <x:v>인게임·게임플레이</x:v>
      </x:c>
      <x:c r="D29" s="36" t="str">
        <x:v>예외·경계 시나리오: 마피아 색상 위조</x:v>
      </x:c>
      <x:c r="E29" s="36" t="str">
        <x:v>허용되지 않은 상태, 잘못된 값, 중복, 만료, 권한 부족, 연결 끊김 입력으로 데이터 손상·정보 유출·클라이언트 상태 분기가 발생하지 않는지 확인한다.</x:v>
      </x:c>
      <x:c r="F29" s="36" t="str">
        <x:v>대상 기능이 포함된 MVP 빌드와 디버그 입력, 네트워크 열화, 비정상 요청 재현 수단을 준비한다.</x:v>
      </x:c>
      <x:c r="G29" s="36" t="str">
        <x:v>1. 허용되지 않은 페이즈 또는 경계값 조건을 구성한다.
2. 마피아 색상 위조에 대해 중복·무효·지연·연결 끊김을 포함한 요청을 전송한다.
3. 서버 거부, 롤백, 오류 표시와 감사 로그를 확인한다.
4. 모든 클라이언트의 상태가 일치하는지 확인한다.</x:v>
      </x:c>
      <x:c r="H29" s="36" t="str">
        <x:v>요청은 사양에 따라 거부되거나 안전하게 복구되며, 중복 반영, 데이터 손실, 정보 유출 또는 진행 중단이 발생하지 않는다. 오류와 상관관계 ID가 기록된다.</x:v>
      </x:c>
      <x:c r="I29" s="36" t="str">
        <x:v>보안</x:v>
      </x:c>
      <x:c r="J29" s="36" t="str">
        <x:v>P0</x:v>
      </x:c>
      <x:c r="K29" s="36" t="str">
        <x:v>전체</x:v>
      </x:c>
      <x:c r="L29" s="36" t="str">
        <x:v>예</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TC-IGM-015-01</x:v>
      </x:c>
      <x:c r="B30" s="36" t="str">
        <x:v>IGM-015</x:v>
      </x:c>
      <x:c r="C30" s="36" t="str">
        <x:v>인게임·게임플레이</x:v>
      </x:c>
      <x:c r="D30" s="36" t="str">
        <x:v>정상 시나리오: 색상 위조 일일 횟수 제한</x:v>
      </x:c>
      <x:c r="E30" s="36" t="str">
        <x:v>서버가 기본 하루 1회의 위조 제한을 검증하고 낮 시작 시에만 횟수를 초기화한다. 연속 입력, 지연, 재접속으로 횟수가 증가하지 않는다.</x:v>
      </x:c>
      <x:c r="F30" s="36" t="str">
        <x:v>대상 기능이 포함된 MVP 빌드, 필요한 테스트 계정·룸 설정·로그 접근 권한을 준비한다.</x:v>
      </x:c>
      <x:c r="G30" s="36" t="str">
        <x:v>1. 사전 조건 상태를 구성한다.
2. 표준 설정에서 다음 테스트 대상을 실행한다: 색상 위조 일일 횟수 제한.
3. UI, 서버 상태와 로그·텔레메트리를 확인한다.
4. 필요하면 재입장 또는 재실행하여 재현성을 확인한다.</x:v>
      </x:c>
      <x:c r="H30" s="36" t="str">
        <x:v>서버가 기본 하루 1회의 위조 제한을 검증하고 낮 시작 시에만 횟수를 초기화한다. 연속 입력, 지연, 재접속으로 횟수가 증가하지 않는다.</x:v>
      </x:c>
      <x:c r="I30" s="36" t="str">
        <x:v>경계값</x:v>
      </x:c>
      <x:c r="J30" s="36" t="str">
        <x:v>P0</x:v>
      </x:c>
      <x:c r="K30" s="36" t="str">
        <x:v>전체</x:v>
      </x:c>
      <x:c r="L30" s="36" t="str">
        <x:v>예</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TC-IGM-015-02</x:v>
      </x:c>
      <x:c r="B31" s="36" t="str">
        <x:v>IGM-015</x:v>
      </x:c>
      <x:c r="C31" s="36" t="str">
        <x:v>인게임·게임플레이</x:v>
      </x:c>
      <x:c r="D31" s="36" t="str">
        <x:v>예외·경계 시나리오: 색상 위조 일일 횟수 제한</x:v>
      </x:c>
      <x:c r="E31" s="36" t="str">
        <x:v>허용되지 않은 상태, 잘못된 값, 중복, 만료, 권한 부족, 연결 끊김 입력으로 데이터 손상·정보 유출·클라이언트 상태 분기가 발생하지 않는지 확인한다.</x:v>
      </x:c>
      <x:c r="F31" s="36" t="str">
        <x:v>대상 기능이 포함된 MVP 빌드와 디버그 입력, 네트워크 열화, 비정상 요청 재현 수단을 준비한다.</x:v>
      </x:c>
      <x:c r="G31" s="36" t="str">
        <x:v>1. 허용되지 않은 페이즈 또는 경계값 조건을 구성한다.
2. 색상 위조 일일 횟수 제한에 대해 중복·무효·지연·연결 끊김을 포함한 요청을 전송한다.
3. 서버 거부, 롤백, 오류 표시와 감사 로그를 확인한다.
4. 모든 클라이언트의 상태가 일치하는지 확인한다.</x:v>
      </x:c>
      <x:c r="H31" s="36" t="str">
        <x:v>요청은 사양에 따라 거부되거나 안전하게 복구되며, 중복 반영, 데이터 손실, 정보 유출 또는 진행 중단이 발생하지 않는다. 오류와 상관관계 ID가 기록된다.</x:v>
      </x:c>
      <x:c r="I31" s="36" t="str">
        <x:v>경계값</x:v>
      </x:c>
      <x:c r="J31" s="36" t="str">
        <x:v>P0</x:v>
      </x:c>
      <x:c r="K31" s="36" t="str">
        <x:v>전체</x:v>
      </x:c>
      <x:c r="L31" s="36" t="str">
        <x:v>예</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TC-IGM-016-01</x:v>
      </x:c>
      <x:c r="B32" s="36" t="str">
        <x:v>IGM-016</x:v>
      </x:c>
      <x:c r="C32" s="36" t="str">
        <x:v>인게임·게임플레이</x:v>
      </x:c>
      <x:c r="D32" s="36" t="str">
        <x:v>정상 시나리오: 메모 부착 각도·거리·대상 검증</x:v>
      </x:c>
      <x:c r="E32" s="36" t="str">
        <x:v>생존 대상의 등 뒤, 허용 거리, 시야 조건을 모두 충족할 때만 부착을 시작하며 본인, 탈락자, 밤, 범위 밖 대상 요청은 거부한다.</x:v>
      </x:c>
      <x:c r="F32" s="36" t="str">
        <x:v>대상 기능이 포함된 MVP 빌드, 필요한 테스트 계정·룸 설정·로그 접근 권한을 준비한다.</x:v>
      </x:c>
      <x:c r="G32" s="36" t="str">
        <x:v>1. 사전 조건 상태를 구성한다.
2. 표준 설정에서 다음 테스트 대상을 실행한다: 메모 부착 각도·거리·대상 검증.
3. UI, 서버 상태와 로그·텔레메트리를 확인한다.
4. 필요하면 재입장 또는 재실행하여 재현성을 확인한다.</x:v>
      </x:c>
      <x:c r="H32" s="36" t="str">
        <x:v>생존 대상의 등 뒤, 허용 거리, 시야 조건을 모두 충족할 때만 부착을 시작하며 본인, 탈락자, 밤, 범위 밖 대상 요청은 거부한다.</x:v>
      </x:c>
      <x:c r="I32" s="36" t="str">
        <x:v>보안</x:v>
      </x:c>
      <x:c r="J32" s="36" t="str">
        <x:v>P0</x:v>
      </x:c>
      <x:c r="K32" s="36" t="str">
        <x:v>전체</x:v>
      </x:c>
      <x:c r="L32" s="36" t="str">
        <x:v>부분</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TC-IGM-016-02</x:v>
      </x:c>
      <x:c r="B33" s="36" t="str">
        <x:v>IGM-016</x:v>
      </x:c>
      <x:c r="C33" s="36" t="str">
        <x:v>인게임·게임플레이</x:v>
      </x:c>
      <x:c r="D33" s="36" t="str">
        <x:v>예외·경계 시나리오: 메모 부착 각도·거리·대상 검증</x:v>
      </x:c>
      <x:c r="E33" s="36" t="str">
        <x:v>허용되지 않은 상태, 잘못된 값, 중복, 만료, 권한 부족, 연결 끊김 입력으로 데이터 손상·정보 유출·클라이언트 상태 분기가 발생하지 않는지 확인한다.</x:v>
      </x:c>
      <x:c r="F33" s="36" t="str">
        <x:v>대상 기능이 포함된 MVP 빌드와 디버그 입력, 네트워크 열화, 비정상 요청 재현 수단을 준비한다.</x:v>
      </x:c>
      <x:c r="G33" s="36" t="str">
        <x:v>1. 허용되지 않은 페이즈 또는 경계값 조건을 구성한다.
2. 메모 부착 각도·거리·대상 검증에 대해 중복·무효·지연·연결 끊김을 포함한 요청을 전송한다.
3. 서버 거부, 롤백, 오류 표시와 감사 로그를 확인한다.
4. 모든 클라이언트의 상태가 일치하는지 확인한다.</x:v>
      </x:c>
      <x:c r="H33" s="36" t="str">
        <x:v>요청은 사양에 따라 거부되거나 안전하게 복구되며, 중복 반영, 데이터 손실, 정보 유출 또는 진행 중단이 발생하지 않는다. 오류와 상관관계 ID가 기록된다.</x:v>
      </x:c>
      <x:c r="I33" s="36" t="str">
        <x:v>보안</x:v>
      </x:c>
      <x:c r="J33" s="36" t="str">
        <x:v>P0</x:v>
      </x:c>
      <x:c r="K33" s="36" t="str">
        <x:v>전체</x:v>
      </x:c>
      <x:c r="L33" s="36" t="str">
        <x:v>부분</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TC-IGM-017-01</x:v>
      </x:c>
      <x:c r="B34" s="36" t="str">
        <x:v>IGM-017</x:v>
      </x:c>
      <x:c r="C34" s="36" t="str">
        <x:v>인게임·게임플레이</x:v>
      </x:c>
      <x:c r="D34" s="36" t="str">
        <x:v>정상 시나리오: 메모 부착 채널링·취소</x:v>
      </x:c>
      <x:c r="E34" s="36" t="str">
        <x:v>기본 1.5초의 채널링 완료 후에만 부착을 확정하며 대상 또는 부착자의 이동, 상태 변경, 페이즈 종료 시 취소한다.</x:v>
      </x:c>
      <x:c r="F34" s="36" t="str">
        <x:v>대상 기능이 포함된 MVP 빌드, 필요한 테스트 계정·룸 설정·로그 접근 권한을 준비한다.</x:v>
      </x:c>
      <x:c r="G34" s="36" t="str">
        <x:v>1. 사전 조건 상태를 구성한다.
2. 표준 설정에서 다음 테스트 대상을 실행한다: 메모 부착 채널링·취소.
3. UI, 서버 상태와 로그·텔레메트리를 확인한다.
4. 필요하면 재입장 또는 재실행하여 재현성을 확인한다.</x:v>
      </x:c>
      <x:c r="H34" s="36" t="str">
        <x:v>기본 1.5초의 채널링 완료 후에만 부착을 확정하며 대상 또는 부착자의 이동, 상태 변경, 페이즈 종료 시 취소한다.</x:v>
      </x:c>
      <x:c r="I34" s="36" t="str">
        <x:v>경계값</x:v>
      </x:c>
      <x:c r="J34" s="36" t="str">
        <x:v>P0</x:v>
      </x:c>
      <x:c r="K34" s="36" t="str">
        <x:v>전체</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TC-IGM-017-02</x:v>
      </x:c>
      <x:c r="B35" s="36" t="str">
        <x:v>IGM-017</x:v>
      </x:c>
      <x:c r="C35" s="36" t="str">
        <x:v>인게임·게임플레이</x:v>
      </x:c>
      <x:c r="D35" s="36" t="str">
        <x:v>예외·경계 시나리오: 메모 부착 채널링·취소</x:v>
      </x:c>
      <x:c r="E35" s="36" t="str">
        <x:v>허용되지 않은 상태, 잘못된 값, 중복, 만료, 권한 부족, 연결 끊김 입력으로 데이터 손상·정보 유출·클라이언트 상태 분기가 발생하지 않는지 확인한다.</x:v>
      </x:c>
      <x:c r="F35" s="36" t="str">
        <x:v>대상 기능이 포함된 MVP 빌드와 디버그 입력, 네트워크 열화, 비정상 요청 재현 수단을 준비한다.</x:v>
      </x:c>
      <x:c r="G35" s="36" t="str">
        <x:v>1. 허용되지 않은 페이즈 또는 경계값 조건을 구성한다.
2. 메모 부착 채널링·취소에 대해 중복·무효·지연·연결 끊김을 포함한 요청을 전송한다.
3. 서버 거부, 롤백, 오류 표시와 감사 로그를 확인한다.
4. 모든 클라이언트의 상태가 일치하는지 확인한다.</x:v>
      </x:c>
      <x:c r="H35" s="36" t="str">
        <x:v>요청은 사양에 따라 거부되거나 안전하게 복구되며, 중복 반영, 데이터 손실, 정보 유출 또는 진행 중단이 발생하지 않는다. 오류와 상관관계 ID가 기록된다.</x:v>
      </x:c>
      <x:c r="I35" s="36" t="str">
        <x:v>경계값</x:v>
      </x:c>
      <x:c r="J35" s="36" t="str">
        <x:v>P0</x:v>
      </x:c>
      <x:c r="K35" s="36" t="str">
        <x:v>전체</x:v>
      </x:c>
      <x:c r="L35" s="36" t="str">
        <x:v>예</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TC-IGM-018-01</x:v>
      </x:c>
      <x:c r="B36" s="36" t="str">
        <x:v>IGM-018</x:v>
      </x:c>
      <x:c r="C36" s="36" t="str">
        <x:v>인게임·게임플레이</x:v>
      </x:c>
      <x:c r="D36" s="36" t="str">
        <x:v>정상 시나리오: 메모 부착 확정·소비 원자 처리</x:v>
      </x:c>
      <x:c r="E36" s="36" t="str">
        <x:v>서버에서 메모 소비, 부착 이력 추가, 표시 갱신을 단일 트랜잭션으로 처리하고 실패 시 모든 변경을 롤백한다.</x:v>
      </x:c>
      <x:c r="F36" s="36" t="str">
        <x:v>대상 기능이 포함된 MVP 빌드, 필요한 테스트 계정·룸 설정·로그 접근 권한을 준비한다.</x:v>
      </x:c>
      <x:c r="G36" s="36" t="str">
        <x:v>1. 사전 조건 상태를 구성한다.
2. 표준 설정에서 다음 테스트 대상을 실행한다: 메모 부착 확정·소비 원자 처리.
3. UI, 서버 상태와 로그·텔레메트리를 확인한다.
4. 필요하면 재입장 또는 재실행하여 재현성을 확인한다.</x:v>
      </x:c>
      <x:c r="H36" s="36" t="str">
        <x:v>서버에서 메모 소비, 부착 이력 추가, 표시 갱신을 단일 트랜잭션으로 처리하고 실패 시 모든 변경을 롤백한다.</x:v>
      </x:c>
      <x:c r="I36" s="36" t="str">
        <x:v>통합</x:v>
      </x:c>
      <x:c r="J36" s="36" t="str">
        <x:v>P0</x:v>
      </x:c>
      <x:c r="K36" s="36" t="str">
        <x:v>전체</x:v>
      </x:c>
      <x:c r="L36" s="36" t="str">
        <x:v>예</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TC-IGM-018-02</x:v>
      </x:c>
      <x:c r="B37" s="36" t="str">
        <x:v>IGM-018</x:v>
      </x:c>
      <x:c r="C37" s="36" t="str">
        <x:v>인게임·게임플레이</x:v>
      </x:c>
      <x:c r="D37" s="36" t="str">
        <x:v>예외·경계 시나리오: 메모 부착 확정·소비 원자 처리</x:v>
      </x:c>
      <x:c r="E37" s="36" t="str">
        <x:v>허용되지 않은 상태, 잘못된 값, 중복, 만료, 권한 부족, 연결 끊김 입력으로 데이터 손상·정보 유출·클라이언트 상태 분기가 발생하지 않는지 확인한다.</x:v>
      </x:c>
      <x:c r="F37" s="36" t="str">
        <x:v>대상 기능이 포함된 MVP 빌드와 디버그 입력, 네트워크 열화, 비정상 요청 재현 수단을 준비한다.</x:v>
      </x:c>
      <x:c r="G37" s="36" t="str">
        <x:v>1. 허용되지 않은 페이즈 또는 경계값 조건을 구성한다.
2. 메모 부착 확정·소비 원자 처리에 대해 중복·무효·지연·연결 끊김을 포함한 요청을 전송한다.
3. 서버 거부, 롤백, 오류 표시와 감사 로그를 확인한다.
4. 모든 클라이언트의 상태가 일치하는지 확인한다.</x:v>
      </x:c>
      <x:c r="H37" s="36" t="str">
        <x:v>요청은 사양에 따라 거부되거나 안전하게 복구되며, 중복 반영, 데이터 손실, 정보 유출 또는 진행 중단이 발생하지 않는다. 오류와 상관관계 ID가 기록된다.</x:v>
      </x:c>
      <x:c r="I37" s="36" t="str">
        <x:v>통합</x:v>
      </x:c>
      <x:c r="J37" s="36" t="str">
        <x:v>P0</x:v>
      </x:c>
      <x:c r="K37" s="36" t="str">
        <x:v>전체</x:v>
      </x:c>
      <x:c r="L37" s="36" t="str">
        <x:v>예</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TC-IGM-019-01</x:v>
      </x:c>
      <x:c r="B38" s="36" t="str">
        <x:v>IGM-019</x:v>
      </x:c>
      <x:c r="C38" s="36" t="str">
        <x:v>인게임·게임플레이</x:v>
      </x:c>
      <x:c r="D38" s="36" t="str">
        <x:v>정상 시나리오: 본인 등 메모 완전 비공개</x:v>
      </x:c>
      <x:c r="E38" s="36" t="str">
        <x:v>본인의 카메라, HUD, 공개 리플레이 스트림 및 클라이언트 공개 모델에서 자신의 등 메모 색상, 내용, 수량을 조회할 수 없다.</x:v>
      </x:c>
      <x:c r="F38" s="36" t="str">
        <x:v>대상 기능이 포함된 MVP 빌드, 필요한 테스트 계정·룸 설정·로그 접근 권한을 준비한다.</x:v>
      </x:c>
      <x:c r="G38" s="36" t="str">
        <x:v>1. 사전 조건 상태를 구성한다.
2. 표준 설정에서 다음 테스트 대상을 실행한다: 본인 등 메모 완전 비공개.
3. UI, 서버 상태와 로그·텔레메트리를 확인한다.
4. 필요하면 재입장 또는 재실행하여 재현성을 확인한다.</x:v>
      </x:c>
      <x:c r="H38" s="36" t="str">
        <x:v>본인의 카메라, HUD, 공개 리플레이 스트림 및 클라이언트 공개 모델에서 자신의 등 메모 색상, 내용, 수량을 조회할 수 없다.</x:v>
      </x:c>
      <x:c r="I38" s="36" t="str">
        <x:v>보안</x:v>
      </x:c>
      <x:c r="J38" s="36" t="str">
        <x:v>P0</x:v>
      </x:c>
      <x:c r="K38" s="36" t="str">
        <x:v>전체</x:v>
      </x:c>
      <x:c r="L38" s="36" t="str">
        <x:v>예</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TC-IGM-019-02</x:v>
      </x:c>
      <x:c r="B39" s="36" t="str">
        <x:v>IGM-019</x:v>
      </x:c>
      <x:c r="C39" s="36" t="str">
        <x:v>인게임·게임플레이</x:v>
      </x:c>
      <x:c r="D39" s="36" t="str">
        <x:v>예외·경계 시나리오: 본인 등 메모 완전 비공개</x:v>
      </x:c>
      <x:c r="E39" s="36" t="str">
        <x:v>허용되지 않은 상태, 잘못된 값, 중복, 만료, 권한 부족, 연결 끊김 입력으로 데이터 손상·정보 유출·클라이언트 상태 분기가 발생하지 않는지 확인한다.</x:v>
      </x:c>
      <x:c r="F39" s="36" t="str">
        <x:v>대상 기능이 포함된 MVP 빌드와 디버그 입력, 네트워크 열화, 비정상 요청 재현 수단을 준비한다.</x:v>
      </x:c>
      <x:c r="G39" s="36" t="str">
        <x:v>1. 허용되지 않은 페이즈 또는 경계값 조건을 구성한다.
2. 본인 등 메모 완전 비공개에 대해 중복·무효·지연·연결 끊김을 포함한 요청을 전송한다.
3. 서버 거부, 롤백, 오류 표시와 감사 로그를 확인한다.
4. 모든 클라이언트의 상태가 일치하는지 확인한다.</x:v>
      </x:c>
      <x:c r="H39" s="36" t="str">
        <x:v>요청은 사양에 따라 거부되거나 안전하게 복구되며, 중복 반영, 데이터 손실, 정보 유출 또는 진행 중단이 발생하지 않는다. 오류와 상관관계 ID가 기록된다.</x:v>
      </x:c>
      <x:c r="I39" s="36" t="str">
        <x:v>보안</x:v>
      </x:c>
      <x:c r="J39" s="36" t="str">
        <x:v>P0</x:v>
      </x:c>
      <x:c r="K39" s="36" t="str">
        <x:v>전체</x:v>
      </x:c>
      <x:c r="L39" s="36" t="str">
        <x:v>예</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TC-IGM-020-01</x:v>
      </x:c>
      <x:c r="B40" s="36" t="str">
        <x:v>IGM-020</x:v>
      </x:c>
      <x:c r="C40" s="36" t="str">
        <x:v>인게임·게임플레이</x:v>
      </x:c>
      <x:c r="D40" s="36" t="str">
        <x:v>정상 시나리오: 타인 등 메모 거리별 표시</x:v>
      </x:c>
      <x:c r="E40" s="36" t="str">
        <x:v>중거리에서는 색상, 근거리에서는 문구를 판독할 수 있고 차폐, LOD, 시야각, 커스터마이징 때문에 의도하지 않은 정보 누락이 발생하지 않는다.</x:v>
      </x:c>
      <x:c r="F40" s="36" t="str">
        <x:v>대상 기능이 포함된 MVP 빌드, 필요한 테스트 계정·룸 설정·로그 접근 권한을 준비한다.</x:v>
      </x:c>
      <x:c r="G40" s="36" t="str">
        <x:v>1. 사전 조건 상태를 구성한다.
2. 표준 설정에서 다음 테스트 대상을 실행한다: 타인 등 메모 거리별 표시.
3. UI, 서버 상태와 로그·텔레메트리를 확인한다.
4. 필요하면 재입장 또는 재실행하여 재현성을 확인한다.</x:v>
      </x:c>
      <x:c r="H40" s="36" t="str">
        <x:v>중거리에서는 색상, 근거리에서는 문구를 판독할 수 있고 차폐, LOD, 시야각, 커스터마이징 때문에 의도하지 않은 정보 누락이 발생하지 않는다.</x:v>
      </x:c>
      <x:c r="I40" s="36" t="str">
        <x:v>사용성</x:v>
      </x:c>
      <x:c r="J40" s="36" t="str">
        <x:v>P0</x:v>
      </x:c>
      <x:c r="K40" s="36" t="str">
        <x:v>전체</x:v>
      </x:c>
      <x:c r="L40" s="36" t="str">
        <x:v>부분</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TC-IGM-020-02</x:v>
      </x:c>
      <x:c r="B41" s="36" t="str">
        <x:v>IGM-020</x:v>
      </x:c>
      <x:c r="C41" s="36" t="str">
        <x:v>인게임·게임플레이</x:v>
      </x:c>
      <x:c r="D41" s="36" t="str">
        <x:v>예외·경계 시나리오: 타인 등 메모 거리별 표시</x:v>
      </x:c>
      <x:c r="E41" s="36" t="str">
        <x:v>허용되지 않은 상태, 잘못된 값, 중복, 만료, 권한 부족, 연결 끊김 입력으로 데이터 손상·정보 유출·클라이언트 상태 분기가 발생하지 않는지 확인한다.</x:v>
      </x:c>
      <x:c r="F41" s="36" t="str">
        <x:v>대상 기능이 포함된 MVP 빌드와 디버그 입력, 네트워크 열화, 비정상 요청 재현 수단을 준비한다.</x:v>
      </x:c>
      <x:c r="G41" s="36" t="str">
        <x:v>1. 허용되지 않은 페이즈 또는 경계값 조건을 구성한다.
2. 타인 등 메모 거리별 표시에 대해 중복·무효·지연·연결 끊김을 포함한 요청을 전송한다.
3. 서버 거부, 롤백, 오류 표시와 감사 로그를 확인한다.
4. 모든 클라이언트의 상태가 일치하는지 확인한다.</x:v>
      </x:c>
      <x:c r="H41" s="36" t="str">
        <x:v>요청은 사양에 따라 거부되거나 안전하게 복구되며, 중복 반영, 데이터 손실, 정보 유출 또는 진행 중단이 발생하지 않는다. 오류와 상관관계 ID가 기록된다.</x:v>
      </x:c>
      <x:c r="I41" s="36" t="str">
        <x:v>사용성</x:v>
      </x:c>
      <x:c r="J41" s="36" t="str">
        <x:v>P0</x:v>
      </x:c>
      <x:c r="K41" s="36" t="str">
        <x:v>전체</x:v>
      </x:c>
      <x:c r="L41" s="36" t="str">
        <x:v>부분</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TC-IGM-021-01</x:v>
      </x:c>
      <x:c r="B42" s="36" t="str">
        <x:v>IGM-021</x:v>
      </x:c>
      <x:c r="C42" s="36" t="str">
        <x:v>인게임·게임플레이</x:v>
      </x:c>
      <x:c r="D42" s="36" t="str">
        <x:v>정상 시나리오: 메모 부착 순서 결정론적 관리</x:v>
      </x:c>
      <x:c r="E42" s="36" t="str">
        <x:v>같은 대상에 동시에 부착된 메모도 서버 순번으로 고유하게 정렬하며 오래된 메모는 왼쪽 위, 새 메모는 오른쪽 아래에 배치한다. 정확한 시각은 공개하지 않는다.</x:v>
      </x:c>
      <x:c r="F42" s="36" t="str">
        <x:v>대상 기능이 포함된 MVP 빌드, 필요한 테스트 계정·룸 설정·로그 접근 권한을 준비한다.</x:v>
      </x:c>
      <x:c r="G42" s="36" t="str">
        <x:v>1. 사전 조건 상태를 구성한다.
2. 표준 설정에서 다음 테스트 대상을 실행한다: 메모 부착 순서 결정론적 관리.
3. UI, 서버 상태와 로그·텔레메트리를 확인한다.
4. 필요하면 재입장 또는 재실행하여 재현성을 확인한다.</x:v>
      </x:c>
      <x:c r="H42" s="36" t="str">
        <x:v>같은 대상에 동시에 부착된 메모도 서버 순번으로 고유하게 정렬하며 오래된 메모는 왼쪽 위, 새 메모는 오른쪽 아래에 배치한다. 정확한 시각은 공개하지 않는다.</x:v>
      </x:c>
      <x:c r="I42" s="36" t="str">
        <x:v>경계값</x:v>
      </x:c>
      <x:c r="J42" s="36" t="str">
        <x:v>P0</x:v>
      </x:c>
      <x:c r="K42" s="36" t="str">
        <x:v>전체</x:v>
      </x:c>
      <x:c r="L42" s="36" t="str">
        <x:v>예</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TC-IGM-021-02</x:v>
      </x:c>
      <x:c r="B43" s="36" t="str">
        <x:v>IGM-021</x:v>
      </x:c>
      <x:c r="C43" s="36" t="str">
        <x:v>인게임·게임플레이</x:v>
      </x:c>
      <x:c r="D43" s="36" t="str">
        <x:v>예외·경계 시나리오: 메모 부착 순서 결정론적 관리</x:v>
      </x:c>
      <x:c r="E43" s="36" t="str">
        <x:v>허용되지 않은 상태, 잘못된 값, 중복, 만료, 권한 부족, 연결 끊김 입력으로 데이터 손상·정보 유출·클라이언트 상태 분기가 발생하지 않는지 확인한다.</x:v>
      </x:c>
      <x:c r="F43" s="36" t="str">
        <x:v>대상 기능이 포함된 MVP 빌드와 디버그 입력, 네트워크 열화, 비정상 요청 재현 수단을 준비한다.</x:v>
      </x:c>
      <x:c r="G43" s="36" t="str">
        <x:v>1. 허용되지 않은 페이즈 또는 경계값 조건을 구성한다.
2. 메모 부착 순서 결정론적 관리에 대해 중복·무효·지연·연결 끊김을 포함한 요청을 전송한다.
3. 서버 거부, 롤백, 오류 표시와 감사 로그를 확인한다.
4. 모든 클라이언트의 상태가 일치하는지 확인한다.</x:v>
      </x:c>
      <x:c r="H43" s="36" t="str">
        <x:v>요청은 사양에 따라 거부되거나 안전하게 복구되며, 중복 반영, 데이터 손실, 정보 유출 또는 진행 중단이 발생하지 않는다. 오류와 상관관계 ID가 기록된다.</x:v>
      </x:c>
      <x:c r="I43" s="36" t="str">
        <x:v>경계값</x:v>
      </x:c>
      <x:c r="J43" s="36" t="str">
        <x:v>P0</x:v>
      </x:c>
      <x:c r="K43" s="36" t="str">
        <x:v>전체</x:v>
      </x:c>
      <x:c r="L43" s="36" t="str">
        <x:v>예</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TC-IGM-022-01</x:v>
      </x:c>
      <x:c r="B44" s="36" t="str">
        <x:v>IGM-022</x:v>
      </x:c>
      <x:c r="C44" s="36" t="str">
        <x:v>인게임·게임플레이</x:v>
      </x:c>
      <x:c r="D44" s="36" t="str">
        <x:v>정상 시나리오: 등 메모 최대 표시 수·초과 처리</x:v>
      </x:c>
      <x:c r="E44" s="36" t="str">
        <x:v>기본 6장까지 판독 가능하게 표시하고 7장째부터는 설정된 거부 또는 보관 규칙으로 처리하며 모든 클라이언트의 결과가 일치한다.</x:v>
      </x:c>
      <x:c r="F44" s="36" t="str">
        <x:v>대상 기능이 포함된 MVP 빌드, 필요한 테스트 계정·룸 설정·로그 접근 권한을 준비한다.</x:v>
      </x:c>
      <x:c r="G44" s="36" t="str">
        <x:v>1. 사전 조건 상태를 구성한다.
2. 표준 설정에서 다음 테스트 대상을 실행한다: 등 메모 최대 표시 수·초과 처리.
3. UI, 서버 상태와 로그·텔레메트리를 확인한다.
4. 필요하면 재입장 또는 재실행하여 재현성을 확인한다.</x:v>
      </x:c>
      <x:c r="H44" s="36" t="str">
        <x:v>기본 6장까지 판독 가능하게 표시하고 7장째부터는 설정된 거부 또는 보관 규칙으로 처리하며 모든 클라이언트의 결과가 일치한다.</x:v>
      </x:c>
      <x:c r="I44" s="36" t="str">
        <x:v>경계값</x:v>
      </x:c>
      <x:c r="J44" s="36" t="str">
        <x:v>P1</x:v>
      </x:c>
      <x:c r="K44" s="36" t="str">
        <x:v>전체</x:v>
      </x:c>
      <x:c r="L44" s="36" t="str">
        <x:v>예</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TC-IGM-023-01</x:v>
      </x:c>
      <x:c r="B45" s="36" t="str">
        <x:v>IGM-023</x:v>
      </x:c>
      <x:c r="C45" s="36" t="str">
        <x:v>인게임·게임플레이</x:v>
      </x:c>
      <x:c r="D45" s="36" t="str">
        <x:v>정상 시나리오: 스킵 없는 강제 단일 투표</x:v>
      </x:c>
      <x:c r="E45" s="36" t="str">
        <x:v>모든 생존자는 투표 시간 안에 생존자 1명을 선택하고 확정 이후의 중복 전송과 변경은 무효로 처리한다. 미투표 시 서버 규칙을 명문화한다.</x:v>
      </x:c>
      <x:c r="F45" s="36" t="str">
        <x:v>대상 기능이 포함된 MVP 빌드, 필요한 테스트 계정·룸 설정·로그 접근 권한을 준비한다.</x:v>
      </x:c>
      <x:c r="G45" s="36" t="str">
        <x:v>1. 사전 조건 상태를 구성한다.
2. 표준 설정에서 다음 테스트 대상을 실행한다: 스킵 없는 강제 단일 투표.
3. UI, 서버 상태와 로그·텔레메트리를 확인한다.
4. 필요하면 재입장 또는 재실행하여 재현성을 확인한다.</x:v>
      </x:c>
      <x:c r="H45" s="36" t="str">
        <x:v>모든 생존자는 투표 시간 안에 생존자 1명을 선택하고 확정 이후의 중복 전송과 변경은 무효로 처리한다. 미투표 시 서버 규칙을 명문화한다.</x:v>
      </x:c>
      <x:c r="I45" s="36" t="str">
        <x:v>보안</x:v>
      </x:c>
      <x:c r="J45" s="36" t="str">
        <x:v>P0</x:v>
      </x:c>
      <x:c r="K45" s="36" t="str">
        <x:v>전체</x:v>
      </x:c>
      <x:c r="L45" s="36" t="str">
        <x:v>예</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TC-IGM-023-02</x:v>
      </x:c>
      <x:c r="B46" s="36" t="str">
        <x:v>IGM-023</x:v>
      </x:c>
      <x:c r="C46" s="36" t="str">
        <x:v>인게임·게임플레이</x:v>
      </x:c>
      <x:c r="D46" s="36" t="str">
        <x:v>예외·경계 시나리오: 스킵 없는 강제 단일 투표</x:v>
      </x:c>
      <x:c r="E46" s="36" t="str">
        <x:v>허용되지 않은 상태, 잘못된 값, 중복, 만료, 권한 부족, 연결 끊김 입력으로 데이터 손상·정보 유출·클라이언트 상태 분기가 발생하지 않는지 확인한다.</x:v>
      </x:c>
      <x:c r="F46" s="36" t="str">
        <x:v>대상 기능이 포함된 MVP 빌드와 디버그 입력, 네트워크 열화, 비정상 요청 재현 수단을 준비한다.</x:v>
      </x:c>
      <x:c r="G46" s="36" t="str">
        <x:v>1. 허용되지 않은 페이즈 또는 경계값 조건을 구성한다.
2. 스킵 없는 강제 단일 투표에 대해 중복·무효·지연·연결 끊김을 포함한 요청을 전송한다.
3. 서버 거부, 롤백, 오류 표시와 감사 로그를 확인한다.
4. 모든 클라이언트의 상태가 일치하는지 확인한다.</x:v>
      </x:c>
      <x:c r="H46" s="36" t="str">
        <x:v>요청은 사양에 따라 거부되거나 안전하게 복구되며, 중복 반영, 데이터 손실, 정보 유출 또는 진행 중단이 발생하지 않는다. 오류와 상관관계 ID가 기록된다.</x:v>
      </x:c>
      <x:c r="I46" s="36" t="str">
        <x:v>보안</x:v>
      </x:c>
      <x:c r="J46" s="36" t="str">
        <x:v>P0</x:v>
      </x:c>
      <x:c r="K46" s="36" t="str">
        <x:v>전체</x:v>
      </x:c>
      <x:c r="L46" s="36" t="str">
        <x:v>예</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TC-IGM-024-01</x:v>
      </x:c>
      <x:c r="B47" s="36" t="str">
        <x:v>IGM-024</x:v>
      </x:c>
      <x:c r="C47" s="36" t="str">
        <x:v>인게임·게임플레이</x:v>
      </x:c>
      <x:c r="D47" s="36" t="str">
        <x:v>정상 시나리오: 밤 투표 동률 처리</x:v>
      </x:c>
      <x:c r="E47" s="36" t="str">
        <x:v>동률 시 재투표 또는 결정 규칙이 설정, 서버, UI, 튜토리얼에서 동일하고 무한 반복이 발생하지 않는다.</x:v>
      </x:c>
      <x:c r="F47" s="36" t="str">
        <x:v>대상 기능이 포함된 MVP 빌드, 필요한 테스트 계정·룸 설정·로그 접근 권한을 준비한다.</x:v>
      </x:c>
      <x:c r="G47" s="36" t="str">
        <x:v>1. 사전 조건 상태를 구성한다.
2. 표준 설정에서 다음 테스트 대상을 실행한다: 밤 투표 동률 처리.
3. UI, 서버 상태와 로그·텔레메트리를 확인한다.
4. 필요하면 재입장 또는 재실행하여 재현성을 확인한다.</x:v>
      </x:c>
      <x:c r="H47" s="36" t="str">
        <x:v>동률 시 재투표 또는 결정 규칙이 설정, 서버, UI, 튜토리얼에서 동일하고 무한 반복이 발생하지 않는다.</x:v>
      </x:c>
      <x:c r="I47" s="36" t="str">
        <x:v>경계값</x:v>
      </x:c>
      <x:c r="J47" s="36" t="str">
        <x:v>P0</x:v>
      </x:c>
      <x:c r="K47" s="36" t="str">
        <x:v>전체</x:v>
      </x:c>
      <x:c r="L47" s="36" t="str">
        <x:v>예</x:v>
      </x:c>
      <x:c r="M47" s="36" t="str">
        <x:v>미실시</x:v>
      </x:c>
      <x:c r="N47" s="36" t="str">
        <x:v>미정</x:v>
      </x:c>
      <x:c r="O47" s="36" t="str">
        <x:v>미정</x:v>
      </x:c>
      <x:c r="P47" s="36"/>
      <x:c r="Q47" s="36"/>
      <x:c r="R47" s="44" t="str">
        <x:v>2026-07-10</x:v>
      </x:c>
      <x:c r="S47" s="36"/>
      <x:c r="T47" s="54"/>
      <x:c r="U47" s="54"/>
      <x:c r="V47" s="53" t="str">
        <x:v>착수 전</x:v>
      </x:c>
    </x:row>
    <x:row r="48" ht="42" customHeight="1">
      <x:c r="A48" s="36" t="str">
        <x:v>TC-IGM-024-02</x:v>
      </x:c>
      <x:c r="B48" s="36" t="str">
        <x:v>IGM-024</x:v>
      </x:c>
      <x:c r="C48" s="36" t="str">
        <x:v>인게임·게임플레이</x:v>
      </x:c>
      <x:c r="D48" s="36" t="str">
        <x:v>예외·경계 시나리오: 밤 투표 동률 처리</x:v>
      </x:c>
      <x:c r="E48" s="36" t="str">
        <x:v>허용되지 않은 상태, 잘못된 값, 중복, 만료, 권한 부족, 연결 끊김 입력으로 데이터 손상·정보 유출·클라이언트 상태 분기가 발생하지 않는지 확인한다.</x:v>
      </x:c>
      <x:c r="F48" s="36" t="str">
        <x:v>대상 기능이 포함된 MVP 빌드와 디버그 입력, 네트워크 열화, 비정상 요청 재현 수단을 준비한다.</x:v>
      </x:c>
      <x:c r="G48" s="36" t="str">
        <x:v>1. 허용되지 않은 페이즈 또는 경계값 조건을 구성한다.
2. 밤 투표 동률 처리에 대해 중복·무효·지연·연결 끊김을 포함한 요청을 전송한다.
3. 서버 거부, 롤백, 오류 표시와 감사 로그를 확인한다.
4. 모든 클라이언트의 상태가 일치하는지 확인한다.</x:v>
      </x:c>
      <x:c r="H48" s="36" t="str">
        <x:v>요청은 사양에 따라 거부되거나 안전하게 복구되며, 중복 반영, 데이터 손실, 정보 유출 또는 진행 중단이 발생하지 않는다. 오류와 상관관계 ID가 기록된다.</x:v>
      </x:c>
      <x:c r="I48" s="36" t="str">
        <x:v>경계값</x:v>
      </x:c>
      <x:c r="J48" s="36" t="str">
        <x:v>P0</x:v>
      </x:c>
      <x:c r="K48" s="36" t="str">
        <x:v>전체</x:v>
      </x:c>
      <x:c r="L48" s="36" t="str">
        <x:v>예</x:v>
      </x:c>
      <x:c r="M48" s="36" t="str">
        <x:v>미실시</x:v>
      </x:c>
      <x:c r="N48" s="36" t="str">
        <x:v>미정</x:v>
      </x:c>
      <x:c r="O48" s="36" t="str">
        <x:v>미정</x:v>
      </x:c>
      <x:c r="P48" s="36"/>
      <x:c r="Q48" s="36"/>
      <x:c r="R48" s="44" t="str">
        <x:v>2026-07-10</x:v>
      </x:c>
      <x:c r="S48" s="36"/>
      <x:c r="T48" s="54"/>
      <x:c r="U48" s="54"/>
      <x:c r="V48" s="53" t="str">
        <x:v>착수 전</x:v>
      </x:c>
    </x:row>
    <x:row r="49" ht="42" customHeight="1">
      <x:c r="A49" s="36" t="str">
        <x:v>TC-IGM-025-01</x:v>
      </x:c>
      <x:c r="B49" s="36" t="str">
        <x:v>IGM-025</x:v>
      </x:c>
      <x:c r="C49" s="36" t="str">
        <x:v>인게임·게임플레이</x:v>
      </x:c>
      <x:c r="D49" s="36" t="str">
        <x:v>정상 시나리오: 추방·탈락 상태 적용</x:v>
      </x:c>
      <x:c r="E49" s="36" t="str">
        <x:v>최다 득표자를 탈락 처리해 이동, 상호작용, 투표, 보상 대상에서 제외하고 관전 가능 여부와 역할 공개 정책을 적용한다.</x:v>
      </x:c>
      <x:c r="F49" s="36" t="str">
        <x:v>대상 기능이 포함된 MVP 빌드, 필요한 테스트 계정·룸 설정·로그 접근 권한을 준비한다.</x:v>
      </x:c>
      <x:c r="G49" s="36" t="str">
        <x:v>1. 사전 조건 상태를 구성한다.
2. 표준 설정에서 다음 테스트 대상을 실행한다: 추방·탈락 상태 적용.
3. UI, 서버 상태와 로그·텔레메트리를 확인한다.
4. 필요하면 재입장 또는 재실행하여 재현성을 확인한다.</x:v>
      </x:c>
      <x:c r="H49" s="36" t="str">
        <x:v>최다 득표자를 탈락 처리해 이동, 상호작용, 투표, 보상 대상에서 제외하고 관전 가능 여부와 역할 공개 정책을 적용한다.</x:v>
      </x:c>
      <x:c r="I49" s="36" t="str">
        <x:v>통합</x:v>
      </x:c>
      <x:c r="J49" s="36" t="str">
        <x:v>P0</x:v>
      </x:c>
      <x:c r="K49" s="36" t="str">
        <x:v>전체</x:v>
      </x:c>
      <x:c r="L49" s="36" t="str">
        <x:v>예</x:v>
      </x:c>
      <x:c r="M49" s="36" t="str">
        <x:v>미실시</x:v>
      </x:c>
      <x:c r="N49" s="36" t="str">
        <x:v>미정</x:v>
      </x:c>
      <x:c r="O49" s="36" t="str">
        <x:v>미정</x:v>
      </x:c>
      <x:c r="P49" s="36"/>
      <x:c r="Q49" s="36"/>
      <x:c r="R49" s="44" t="str">
        <x:v>2026-07-10</x:v>
      </x:c>
      <x:c r="S49" s="36"/>
      <x:c r="T49" s="54"/>
      <x:c r="U49" s="54"/>
      <x:c r="V49" s="53" t="str">
        <x:v>착수 전</x:v>
      </x:c>
    </x:row>
    <x:row r="50" ht="42" customHeight="1">
      <x:c r="A50" s="36" t="str">
        <x:v>TC-IGM-025-02</x:v>
      </x:c>
      <x:c r="B50" s="36" t="str">
        <x:v>IGM-025</x:v>
      </x:c>
      <x:c r="C50" s="36" t="str">
        <x:v>인게임·게임플레이</x:v>
      </x:c>
      <x:c r="D50" s="36" t="str">
        <x:v>예외·경계 시나리오: 추방·탈락 상태 적용</x:v>
      </x:c>
      <x:c r="E50" s="36" t="str">
        <x:v>허용되지 않은 상태, 잘못된 값, 중복, 만료, 권한 부족, 연결 끊김 입력으로 데이터 손상·정보 유출·클라이언트 상태 분기가 발생하지 않는지 확인한다.</x:v>
      </x:c>
      <x:c r="F50" s="36" t="str">
        <x:v>대상 기능이 포함된 MVP 빌드와 디버그 입력, 네트워크 열화, 비정상 요청 재현 수단을 준비한다.</x:v>
      </x:c>
      <x:c r="G50" s="36" t="str">
        <x:v>1. 허용되지 않은 페이즈 또는 경계값 조건을 구성한다.
2. 추방·탈락 상태 적용에 대해 중복·무효·지연·연결 끊김을 포함한 요청을 전송한다.
3. 서버 거부, 롤백, 오류 표시와 감사 로그를 확인한다.
4. 모든 클라이언트의 상태가 일치하는지 확인한다.</x:v>
      </x:c>
      <x:c r="H50" s="36" t="str">
        <x:v>요청은 사양에 따라 거부되거나 안전하게 복구되며, 중복 반영, 데이터 손실, 정보 유출 또는 진행 중단이 발생하지 않는다. 오류와 상관관계 ID가 기록된다.</x:v>
      </x:c>
      <x:c r="I50" s="36" t="str">
        <x:v>통합</x:v>
      </x:c>
      <x:c r="J50" s="36" t="str">
        <x:v>P0</x:v>
      </x:c>
      <x:c r="K50" s="36" t="str">
        <x:v>전체</x:v>
      </x:c>
      <x:c r="L50" s="36" t="str">
        <x:v>예</x:v>
      </x:c>
      <x:c r="M50" s="36" t="str">
        <x:v>미실시</x:v>
      </x:c>
      <x:c r="N50" s="36" t="str">
        <x:v>미정</x:v>
      </x:c>
      <x:c r="O50" s="36" t="str">
        <x:v>미정</x:v>
      </x:c>
      <x:c r="P50" s="36"/>
      <x:c r="Q50" s="36"/>
      <x:c r="R50" s="44" t="str">
        <x:v>2026-07-10</x:v>
      </x:c>
      <x:c r="S50" s="36"/>
      <x:c r="T50" s="54"/>
      <x:c r="U50" s="54"/>
      <x:c r="V50" s="53" t="str">
        <x:v>착수 전</x:v>
      </x:c>
    </x:row>
    <x:row r="51" ht="42" customHeight="1">
      <x:c r="A51" s="36" t="str">
        <x:v>TC-IGM-026-01</x:v>
      </x:c>
      <x:c r="B51" s="36" t="str">
        <x:v>IGM-026</x:v>
      </x:c>
      <x:c r="C51" s="36" t="str">
        <x:v>인게임·게임플레이</x:v>
      </x:c>
      <x:c r="D51" s="36" t="str">
        <x:v>정상 시나리오: 마피아 추방 시 시민 승리</x:v>
      </x:c>
      <x:c r="E51" s="36" t="str">
        <x:v>조수 규칙이 꺼진 MVP에서 마피아가 추방되면 다른 상태 전이보다 우선하여 시민 승리를 확정하고 결과 화면으로 이동한다.</x:v>
      </x:c>
      <x:c r="F51" s="36" t="str">
        <x:v>대상 기능이 포함된 MVP 빌드, 필요한 테스트 계정·룸 설정·로그 접근 권한을 준비한다.</x:v>
      </x:c>
      <x:c r="G51" s="36" t="str">
        <x:v>1. 사전 조건 상태를 구성한다.
2. 표준 설정에서 다음 테스트 대상을 실행한다: 마피아 추방 시 시민 승리.
3. UI, 서버 상태와 로그·텔레메트리를 확인한다.
4. 필요하면 재입장 또는 재실행하여 재현성을 확인한다.</x:v>
      </x:c>
      <x:c r="H51" s="36" t="str">
        <x:v>조수 규칙이 꺼진 MVP에서 마피아가 추방되면 다른 상태 전이보다 우선하여 시민 승리를 확정하고 결과 화면으로 이동한다.</x:v>
      </x:c>
      <x:c r="I51" s="36" t="str">
        <x:v>경계값</x:v>
      </x:c>
      <x:c r="J51" s="36" t="str">
        <x:v>P0</x:v>
      </x:c>
      <x:c r="K51" s="36" t="str">
        <x:v>전체</x:v>
      </x:c>
      <x:c r="L51" s="36" t="str">
        <x:v>예</x:v>
      </x:c>
      <x:c r="M51" s="36" t="str">
        <x:v>미실시</x:v>
      </x:c>
      <x:c r="N51" s="36" t="str">
        <x:v>미정</x:v>
      </x:c>
      <x:c r="O51" s="36" t="str">
        <x:v>미정</x:v>
      </x:c>
      <x:c r="P51" s="36"/>
      <x:c r="Q51" s="36"/>
      <x:c r="R51" s="44" t="str">
        <x:v>2026-07-10</x:v>
      </x:c>
      <x:c r="S51" s="36"/>
      <x:c r="T51" s="54"/>
      <x:c r="U51" s="54"/>
      <x:c r="V51" s="53" t="str">
        <x:v>착수 전</x:v>
      </x:c>
    </x:row>
    <x:row r="52" ht="42" customHeight="1">
      <x:c r="A52" s="36" t="str">
        <x:v>TC-IGM-026-02</x:v>
      </x:c>
      <x:c r="B52" s="36" t="str">
        <x:v>IGM-026</x:v>
      </x:c>
      <x:c r="C52" s="36" t="str">
        <x:v>인게임·게임플레이</x:v>
      </x:c>
      <x:c r="D52" s="36" t="str">
        <x:v>예외·경계 시나리오: 마피아 추방 시 시민 승리</x:v>
      </x:c>
      <x:c r="E52" s="36" t="str">
        <x:v>허용되지 않은 상태, 잘못된 값, 중복, 만료, 권한 부족, 연결 끊김 입력으로 데이터 손상·정보 유출·클라이언트 상태 분기가 발생하지 않는지 확인한다.</x:v>
      </x:c>
      <x:c r="F52" s="36" t="str">
        <x:v>대상 기능이 포함된 MVP 빌드와 디버그 입력, 네트워크 열화, 비정상 요청 재현 수단을 준비한다.</x:v>
      </x:c>
      <x:c r="G52" s="36" t="str">
        <x:v>1. 허용되지 않은 페이즈 또는 경계값 조건을 구성한다.
2. 마피아 추방 시 시민 승리에 대해 중복·무효·지연·연결 끊김을 포함한 요청을 전송한다.
3. 서버 거부, 롤백, 오류 표시와 감사 로그를 확인한다.
4. 모든 클라이언트의 상태가 일치하는지 확인한다.</x:v>
      </x:c>
      <x:c r="H52" s="36" t="str">
        <x:v>요청은 사양에 따라 거부되거나 안전하게 복구되며, 중복 반영, 데이터 손실, 정보 유출 또는 진행 중단이 발생하지 않는다. 오류와 상관관계 ID가 기록된다.</x:v>
      </x:c>
      <x:c r="I52" s="36" t="str">
        <x:v>경계값</x:v>
      </x:c>
      <x:c r="J52" s="36" t="str">
        <x:v>P0</x:v>
      </x:c>
      <x:c r="K52" s="36" t="str">
        <x:v>전체</x:v>
      </x:c>
      <x:c r="L52" s="36" t="str">
        <x:v>예</x:v>
      </x:c>
      <x:c r="M52" s="36" t="str">
        <x:v>미실시</x:v>
      </x:c>
      <x:c r="N52" s="36" t="str">
        <x:v>미정</x:v>
      </x:c>
      <x:c r="O52" s="36" t="str">
        <x:v>미정</x:v>
      </x:c>
      <x:c r="P52" s="36"/>
      <x:c r="Q52" s="36"/>
      <x:c r="R52" s="44" t="str">
        <x:v>2026-07-10</x:v>
      </x:c>
      <x:c r="S52" s="36"/>
      <x:c r="T52" s="54"/>
      <x:c r="U52" s="54"/>
      <x:c r="V52" s="53" t="str">
        <x:v>착수 전</x:v>
      </x:c>
    </x:row>
    <x:row r="53" ht="42" customHeight="1">
      <x:c r="A53" s="36" t="str">
        <x:v>TC-IGM-027-01</x:v>
      </x:c>
      <x:c r="B53" s="36" t="str">
        <x:v>IGM-027</x:v>
      </x:c>
      <x:c r="C53" s="36" t="str">
        <x:v>인게임·게임플레이</x:v>
      </x:c>
      <x:c r="D53" s="36" t="str">
        <x:v>정상 시나리오: 생존 인원 동수 조건 마피아 승리</x:v>
      </x:c>
      <x:c r="E53" s="36" t="str">
        <x:v>생존 시민 수가 생존 마피아 수 이하가 되는 안전한 판정 시점에 마피아 승리를 확정하고 중복 승패 판정을 방지한다.</x:v>
      </x:c>
      <x:c r="F53" s="36" t="str">
        <x:v>대상 기능이 포함된 MVP 빌드, 필요한 테스트 계정·룸 설정·로그 접근 권한을 준비한다.</x:v>
      </x:c>
      <x:c r="G53" s="36" t="str">
        <x:v>1. 사전 조건 상태를 구성한다.
2. 표준 설정에서 다음 테스트 대상을 실행한다: 생존 인원 동수 조건 마피아 승리.
3. UI, 서버 상태와 로그·텔레메트리를 확인한다.
4. 필요하면 재입장 또는 재실행하여 재현성을 확인한다.</x:v>
      </x:c>
      <x:c r="H53" s="36" t="str">
        <x:v>생존 시민 수가 생존 마피아 수 이하가 되는 안전한 판정 시점에 마피아 승리를 확정하고 중복 승패 판정을 방지한다.</x:v>
      </x:c>
      <x:c r="I53" s="36" t="str">
        <x:v>경계값</x:v>
      </x:c>
      <x:c r="J53" s="36" t="str">
        <x:v>P0</x:v>
      </x:c>
      <x:c r="K53" s="36" t="str">
        <x:v>전체</x:v>
      </x:c>
      <x:c r="L53" s="36" t="str">
        <x:v>예</x:v>
      </x:c>
      <x:c r="M53" s="36" t="str">
        <x:v>미실시</x:v>
      </x:c>
      <x:c r="N53" s="36" t="str">
        <x:v>미정</x:v>
      </x:c>
      <x:c r="O53" s="36" t="str">
        <x:v>미정</x:v>
      </x:c>
      <x:c r="P53" s="36"/>
      <x:c r="Q53" s="36"/>
      <x:c r="R53" s="44" t="str">
        <x:v>2026-07-10</x:v>
      </x:c>
      <x:c r="S53" s="36"/>
      <x:c r="T53" s="54"/>
      <x:c r="U53" s="54"/>
      <x:c r="V53" s="53" t="str">
        <x:v>착수 전</x:v>
      </x:c>
    </x:row>
    <x:row r="54" ht="42" customHeight="1">
      <x:c r="A54" s="36" t="str">
        <x:v>TC-IGM-027-02</x:v>
      </x:c>
      <x:c r="B54" s="36" t="str">
        <x:v>IGM-027</x:v>
      </x:c>
      <x:c r="C54" s="36" t="str">
        <x:v>인게임·게임플레이</x:v>
      </x:c>
      <x:c r="D54" s="36" t="str">
        <x:v>예외·경계 시나리오: 생존 인원 동수 조건 마피아 승리</x:v>
      </x:c>
      <x:c r="E54" s="36" t="str">
        <x:v>허용되지 않은 상태, 잘못된 값, 중복, 만료, 권한 부족, 연결 끊김 입력으로 데이터 손상·정보 유출·클라이언트 상태 분기가 발생하지 않는지 확인한다.</x:v>
      </x:c>
      <x:c r="F54" s="36" t="str">
        <x:v>대상 기능이 포함된 MVP 빌드와 디버그 입력, 네트워크 열화, 비정상 요청 재현 수단을 준비한다.</x:v>
      </x:c>
      <x:c r="G54" s="36" t="str">
        <x:v>1. 허용되지 않은 페이즈 또는 경계값 조건을 구성한다.
2. 생존 인원 동수 조건 마피아 승리에 대해 중복·무효·지연·연결 끊김을 포함한 요청을 전송한다.
3. 서버 거부, 롤백, 오류 표시와 감사 로그를 확인한다.
4. 모든 클라이언트의 상태가 일치하는지 확인한다.</x:v>
      </x:c>
      <x:c r="H54" s="36" t="str">
        <x:v>요청은 사양에 따라 거부되거나 안전하게 복구되며, 중복 반영, 데이터 손실, 정보 유출 또는 진행 중단이 발생하지 않는다. 오류와 상관관계 ID가 기록된다.</x:v>
      </x:c>
      <x:c r="I54" s="36" t="str">
        <x:v>경계값</x:v>
      </x:c>
      <x:c r="J54" s="36" t="str">
        <x:v>P0</x:v>
      </x:c>
      <x:c r="K54" s="36" t="str">
        <x:v>전체</x:v>
      </x:c>
      <x:c r="L54" s="36" t="str">
        <x:v>예</x:v>
      </x:c>
      <x:c r="M54" s="36" t="str">
        <x:v>미실시</x:v>
      </x:c>
      <x:c r="N54" s="36" t="str">
        <x:v>미정</x:v>
      </x:c>
      <x:c r="O54" s="36" t="str">
        <x:v>미정</x:v>
      </x:c>
      <x:c r="P54" s="36"/>
      <x:c r="Q54" s="36"/>
      <x:c r="R54" s="44" t="str">
        <x:v>2026-07-10</x:v>
      </x:c>
      <x:c r="S54" s="36"/>
      <x:c r="T54" s="54"/>
      <x:c r="U54" s="54"/>
      <x:c r="V54" s="53" t="str">
        <x:v>착수 전</x:v>
      </x:c>
    </x:row>
    <x:row r="55" ht="42" customHeight="1">
      <x:c r="A55" s="36" t="str">
        <x:v>TC-IGM-028-01</x:v>
      </x:c>
      <x:c r="B55" s="36" t="str">
        <x:v>IGM-028</x:v>
      </x:c>
      <x:c r="C55" s="36" t="str">
        <x:v>인게임·게임플레이</x:v>
      </x:c>
      <x:c r="D55" s="36" t="str">
        <x:v>정상 시나리오: 최종 재판 3개 조건 발동</x:v>
      </x:c>
      <x:c r="E55" s="36" t="str">
        <x:v>모든 미니게임 완료, 생존자 3명 이하, 5일째 낮 종료 중 하나를 충족하면 최종 재판을 한 번만 시작하며 일반 밤 투표와 충돌하지 않는다.</x:v>
      </x:c>
      <x:c r="F55" s="36" t="str">
        <x:v>대상 기능이 포함된 MVP 빌드, 필요한 테스트 계정·룸 설정·로그 접근 권한을 준비한다.</x:v>
      </x:c>
      <x:c r="G55" s="36" t="str">
        <x:v>1. 사전 조건 상태를 구성한다.
2. 표준 설정에서 다음 테스트 대상을 실행한다: 최종 재판 3개 조건 발동.
3. UI, 서버 상태와 로그·텔레메트리를 확인한다.
4. 필요하면 재입장 또는 재실행하여 재현성을 확인한다.</x:v>
      </x:c>
      <x:c r="H55" s="36" t="str">
        <x:v>모든 미니게임 완료, 생존자 3명 이하, 5일째 낮 종료 중 하나를 충족하면 최종 재판을 한 번만 시작하며 일반 밤 투표와 충돌하지 않는다.</x:v>
      </x:c>
      <x:c r="I55" s="36" t="str">
        <x:v>경계값</x:v>
      </x:c>
      <x:c r="J55" s="36" t="str">
        <x:v>P0</x:v>
      </x:c>
      <x:c r="K55" s="36" t="str">
        <x:v>전체</x:v>
      </x:c>
      <x:c r="L55" s="36" t="str">
        <x:v>예</x:v>
      </x:c>
      <x:c r="M55" s="36" t="str">
        <x:v>미실시</x:v>
      </x:c>
      <x:c r="N55" s="36" t="str">
        <x:v>미정</x:v>
      </x:c>
      <x:c r="O55" s="36" t="str">
        <x:v>미정</x:v>
      </x:c>
      <x:c r="P55" s="36"/>
      <x:c r="Q55" s="36"/>
      <x:c r="R55" s="44" t="str">
        <x:v>2026-07-10</x:v>
      </x:c>
      <x:c r="S55" s="36"/>
      <x:c r="T55" s="54"/>
      <x:c r="U55" s="54"/>
      <x:c r="V55" s="53" t="str">
        <x:v>착수 전</x:v>
      </x:c>
    </x:row>
    <x:row r="56" ht="42" customHeight="1">
      <x:c r="A56" s="36" t="str">
        <x:v>TC-IGM-028-02</x:v>
      </x:c>
      <x:c r="B56" s="36" t="str">
        <x:v>IGM-028</x:v>
      </x:c>
      <x:c r="C56" s="36" t="str">
        <x:v>인게임·게임플레이</x:v>
      </x:c>
      <x:c r="D56" s="36" t="str">
        <x:v>예외·경계 시나리오: 최종 재판 3개 조건 발동</x:v>
      </x:c>
      <x:c r="E56" s="36" t="str">
        <x:v>허용되지 않은 상태, 잘못된 값, 중복, 만료, 권한 부족, 연결 끊김 입력으로 데이터 손상·정보 유출·클라이언트 상태 분기가 발생하지 않는지 확인한다.</x:v>
      </x:c>
      <x:c r="F56" s="36" t="str">
        <x:v>대상 기능이 포함된 MVP 빌드와 디버그 입력, 네트워크 열화, 비정상 요청 재현 수단을 준비한다.</x:v>
      </x:c>
      <x:c r="G56" s="36" t="str">
        <x:v>1. 허용되지 않은 페이즈 또는 경계값 조건을 구성한다.
2. 최종 재판 3개 조건 발동에 대해 중복·무효·지연·연결 끊김을 포함한 요청을 전송한다.
3. 서버 거부, 롤백, 오류 표시와 감사 로그를 확인한다.
4. 모든 클라이언트의 상태가 일치하는지 확인한다.</x:v>
      </x:c>
      <x:c r="H56" s="36" t="str">
        <x:v>요청은 사양에 따라 거부되거나 안전하게 복구되며, 중복 반영, 데이터 손실, 정보 유출 또는 진행 중단이 발생하지 않는다. 오류와 상관관계 ID가 기록된다.</x:v>
      </x:c>
      <x:c r="I56" s="36" t="str">
        <x:v>경계값</x:v>
      </x:c>
      <x:c r="J56" s="36" t="str">
        <x:v>P0</x:v>
      </x:c>
      <x:c r="K56" s="36" t="str">
        <x:v>전체</x:v>
      </x:c>
      <x:c r="L56" s="36" t="str">
        <x:v>예</x:v>
      </x:c>
      <x:c r="M56" s="36" t="str">
        <x:v>미실시</x:v>
      </x:c>
      <x:c r="N56" s="36" t="str">
        <x:v>미정</x:v>
      </x:c>
      <x:c r="O56" s="36" t="str">
        <x:v>미정</x:v>
      </x:c>
      <x:c r="P56" s="36"/>
      <x:c r="Q56" s="36"/>
      <x:c r="R56" s="44" t="str">
        <x:v>2026-07-10</x:v>
      </x:c>
      <x:c r="S56" s="36"/>
      <x:c r="T56" s="54"/>
      <x:c r="U56" s="54"/>
      <x:c r="V56" s="53" t="str">
        <x:v>착수 전</x:v>
      </x:c>
    </x:row>
    <x:row r="57" ht="42" customHeight="1">
      <x:c r="A57" s="36" t="str">
        <x:v>TC-IGM-029-01</x:v>
      </x:c>
      <x:c r="B57" s="36" t="str">
        <x:v>IGM-029</x:v>
      </x:c>
      <x:c r="C57" s="36" t="str">
        <x:v>인게임·게임플레이</x:v>
      </x:c>
      <x:c r="D57" s="36" t="str">
        <x:v>정상 시나리오: 최종 재판 메모 이력 제한 공개</x:v>
      </x:c>
      <x:c r="E57" s="36" t="str">
        <x:v>메모 내용, 표시 색상, 대상, 부착 순서만 공개하고 실제 작성자, 실제 부착자, 위조 여부, 내부 타임스탬프는 공개 페이로드에 포함하지 않는다.</x:v>
      </x:c>
      <x:c r="F57" s="36" t="str">
        <x:v>대상 기능이 포함된 MVP 빌드, 필요한 테스트 계정·룸 설정·로그 접근 권한을 준비한다.</x:v>
      </x:c>
      <x:c r="G57" s="36" t="str">
        <x:v>1. 사전 조건 상태를 구성한다.
2. 표준 설정에서 다음 테스트 대상을 실행한다: 최종 재판 메모 이력 제한 공개.
3. UI, 서버 상태와 로그·텔레메트리를 확인한다.
4. 필요하면 재입장 또는 재실행하여 재현성을 확인한다.</x:v>
      </x:c>
      <x:c r="H57" s="36" t="str">
        <x:v>메모 내용, 표시 색상, 대상, 부착 순서만 공개하고 실제 작성자, 실제 부착자, 위조 여부, 내부 타임스탬프는 공개 페이로드에 포함하지 않는다.</x:v>
      </x:c>
      <x:c r="I57" s="36" t="str">
        <x:v>보안</x:v>
      </x:c>
      <x:c r="J57" s="36" t="str">
        <x:v>P0</x:v>
      </x:c>
      <x:c r="K57" s="36" t="str">
        <x:v>전체</x:v>
      </x:c>
      <x:c r="L57" s="36" t="str">
        <x:v>예</x:v>
      </x:c>
      <x:c r="M57" s="36" t="str">
        <x:v>미실시</x:v>
      </x:c>
      <x:c r="N57" s="36" t="str">
        <x:v>미정</x:v>
      </x:c>
      <x:c r="O57" s="36" t="str">
        <x:v>미정</x:v>
      </x:c>
      <x:c r="P57" s="36"/>
      <x:c r="Q57" s="36"/>
      <x:c r="R57" s="44" t="str">
        <x:v>2026-07-10</x:v>
      </x:c>
      <x:c r="S57" s="36"/>
      <x:c r="T57" s="54"/>
      <x:c r="U57" s="54"/>
      <x:c r="V57" s="53" t="str">
        <x:v>착수 전</x:v>
      </x:c>
    </x:row>
    <x:row r="58" ht="42" customHeight="1">
      <x:c r="A58" s="36" t="str">
        <x:v>TC-IGM-029-02</x:v>
      </x:c>
      <x:c r="B58" s="36" t="str">
        <x:v>IGM-029</x:v>
      </x:c>
      <x:c r="C58" s="36" t="str">
        <x:v>인게임·게임플레이</x:v>
      </x:c>
      <x:c r="D58" s="36" t="str">
        <x:v>예외·경계 시나리오: 최종 재판 메모 이력 제한 공개</x:v>
      </x:c>
      <x:c r="E58" s="36" t="str">
        <x:v>허용되지 않은 상태, 잘못된 값, 중복, 만료, 권한 부족, 연결 끊김 입력으로 데이터 손상·정보 유출·클라이언트 상태 분기가 발생하지 않는지 확인한다.</x:v>
      </x:c>
      <x:c r="F58" s="36" t="str">
        <x:v>대상 기능이 포함된 MVP 빌드와 디버그 입력, 네트워크 열화, 비정상 요청 재현 수단을 준비한다.</x:v>
      </x:c>
      <x:c r="G58" s="36" t="str">
        <x:v>1. 허용되지 않은 페이즈 또는 경계값 조건을 구성한다.
2. 최종 재판 메모 이력 제한 공개에 대해 중복·무효·지연·연결 끊김을 포함한 요청을 전송한다.
3. 서버 거부, 롤백, 오류 표시와 감사 로그를 확인한다.
4. 모든 클라이언트의 상태가 일치하는지 확인한다.</x:v>
      </x:c>
      <x:c r="H58" s="36" t="str">
        <x:v>요청은 사양에 따라 거부되거나 안전하게 복구되며, 중복 반영, 데이터 손실, 정보 유출 또는 진행 중단이 발생하지 않는다. 오류와 상관관계 ID가 기록된다.</x:v>
      </x:c>
      <x:c r="I58" s="36" t="str">
        <x:v>보안</x:v>
      </x:c>
      <x:c r="J58" s="36" t="str">
        <x:v>P0</x:v>
      </x:c>
      <x:c r="K58" s="36" t="str">
        <x:v>전체</x:v>
      </x:c>
      <x:c r="L58" s="36" t="str">
        <x:v>예</x:v>
      </x:c>
      <x:c r="M58" s="36" t="str">
        <x:v>미실시</x:v>
      </x:c>
      <x:c r="N58" s="36" t="str">
        <x:v>미정</x:v>
      </x:c>
      <x:c r="O58" s="36" t="str">
        <x:v>미정</x:v>
      </x:c>
      <x:c r="P58" s="36"/>
      <x:c r="Q58" s="36"/>
      <x:c r="R58" s="44" t="str">
        <x:v>2026-07-10</x:v>
      </x:c>
      <x:c r="S58" s="36"/>
      <x:c r="T58" s="54"/>
      <x:c r="U58" s="54"/>
      <x:c r="V58" s="53" t="str">
        <x:v>착수 전</x:v>
      </x:c>
    </x:row>
    <x:row r="59" ht="42" customHeight="1">
      <x:c r="A59" s="36" t="str">
        <x:v>TC-IGM-030-01</x:v>
      </x:c>
      <x:c r="B59" s="36" t="str">
        <x:v>IGM-030</x:v>
      </x:c>
      <x:c r="C59" s="36" t="str">
        <x:v>인게임·게임플레이</x:v>
      </x:c>
      <x:c r="D59" s="36" t="str">
        <x:v>정상 시나리오: 1인 1회 최종 발언 제어</x:v>
      </x:c>
      <x:c r="E59" s="36" t="str">
        <x:v>생존자에게 정해진 시간의 발언권을 한 번씩 순서대로 부여하며, 발언 대상이 아닌 플레이어의 음성, 텍스트, 이모트를 차단한다.</x:v>
      </x:c>
      <x:c r="F59" s="36" t="str">
        <x:v>대상 기능이 포함된 MVP 빌드, 필요한 테스트 계정·룸 설정·로그 접근 권한을 준비한다.</x:v>
      </x:c>
      <x:c r="G59" s="36" t="str">
        <x:v>1. 사전 조건 상태를 구성한다.
2. 표준 설정에서 다음 테스트 대상을 실행한다: 1인 1회 최종 발언 제어.
3. UI, 서버 상태와 로그·텔레메트리를 확인한다.
4. 필요하면 재입장 또는 재실행하여 재현성을 확인한다.</x:v>
      </x:c>
      <x:c r="H59" s="36" t="str">
        <x:v>생존자에게 정해진 시간의 발언권을 한 번씩 순서대로 부여하며, 발언 대상이 아닌 플레이어의 음성, 텍스트, 이모트를 차단한다.</x:v>
      </x:c>
      <x:c r="I59" s="36" t="str">
        <x:v>통합</x:v>
      </x:c>
      <x:c r="J59" s="36" t="str">
        <x:v>P0</x:v>
      </x:c>
      <x:c r="K59" s="36" t="str">
        <x:v>전체</x:v>
      </x:c>
      <x:c r="L59" s="36" t="str">
        <x:v>예</x:v>
      </x:c>
      <x:c r="M59" s="36" t="str">
        <x:v>미실시</x:v>
      </x:c>
      <x:c r="N59" s="36" t="str">
        <x:v>미정</x:v>
      </x:c>
      <x:c r="O59" s="36" t="str">
        <x:v>미정</x:v>
      </x:c>
      <x:c r="P59" s="36"/>
      <x:c r="Q59" s="36"/>
      <x:c r="R59" s="44" t="str">
        <x:v>2026-07-10</x:v>
      </x:c>
      <x:c r="S59" s="36"/>
      <x:c r="T59" s="54"/>
      <x:c r="U59" s="54"/>
      <x:c r="V59" s="53" t="str">
        <x:v>착수 전</x:v>
      </x:c>
    </x:row>
    <x:row r="60" ht="42" customHeight="1">
      <x:c r="A60" s="36" t="str">
        <x:v>TC-IGM-030-02</x:v>
      </x:c>
      <x:c r="B60" s="36" t="str">
        <x:v>IGM-030</x:v>
      </x:c>
      <x:c r="C60" s="36" t="str">
        <x:v>인게임·게임플레이</x:v>
      </x:c>
      <x:c r="D60" s="36" t="str">
        <x:v>예외·경계 시나리오: 1인 1회 최종 발언 제어</x:v>
      </x:c>
      <x:c r="E60" s="36" t="str">
        <x:v>허용되지 않은 상태, 잘못된 값, 중복, 만료, 권한 부족, 연결 끊김 입력으로 데이터 손상·정보 유출·클라이언트 상태 분기가 발생하지 않는지 확인한다.</x:v>
      </x:c>
      <x:c r="F60" s="36" t="str">
        <x:v>대상 기능이 포함된 MVP 빌드와 디버그 입력, 네트워크 열화, 비정상 요청 재현 수단을 준비한다.</x:v>
      </x:c>
      <x:c r="G60" s="36" t="str">
        <x:v>1. 허용되지 않은 페이즈 또는 경계값 조건을 구성한다.
2. 1인 1회 최종 발언 제어에 대해 중복·무효·지연·연결 끊김을 포함한 요청을 전송한다.
3. 서버 거부, 롤백, 오류 표시와 감사 로그를 확인한다.
4. 모든 클라이언트의 상태가 일치하는지 확인한다.</x:v>
      </x:c>
      <x:c r="H60" s="36" t="str">
        <x:v>요청은 사양에 따라 거부되거나 안전하게 복구되며, 중복 반영, 데이터 손실, 정보 유출 또는 진행 중단이 발생하지 않는다. 오류와 상관관계 ID가 기록된다.</x:v>
      </x:c>
      <x:c r="I60" s="36" t="str">
        <x:v>통합</x:v>
      </x:c>
      <x:c r="J60" s="36" t="str">
        <x:v>P0</x:v>
      </x:c>
      <x:c r="K60" s="36" t="str">
        <x:v>전체</x:v>
      </x:c>
      <x:c r="L60" s="36" t="str">
        <x:v>예</x:v>
      </x:c>
      <x:c r="M60" s="36" t="str">
        <x:v>미실시</x:v>
      </x:c>
      <x:c r="N60" s="36" t="str">
        <x:v>미정</x:v>
      </x:c>
      <x:c r="O60" s="36" t="str">
        <x:v>미정</x:v>
      </x:c>
      <x:c r="P60" s="36"/>
      <x:c r="Q60" s="36"/>
      <x:c r="R60" s="44" t="str">
        <x:v>2026-07-10</x:v>
      </x:c>
      <x:c r="S60" s="36"/>
      <x:c r="T60" s="54"/>
      <x:c r="U60" s="54"/>
      <x:c r="V60" s="53" t="str">
        <x:v>착수 전</x:v>
      </x:c>
    </x:row>
    <x:row r="61" ht="42" customHeight="1">
      <x:c r="A61" s="36" t="str">
        <x:v>TC-IGM-031-01</x:v>
      </x:c>
      <x:c r="B61" s="36" t="str">
        <x:v>IGM-031</x:v>
      </x:c>
      <x:c r="C61" s="36" t="str">
        <x:v>인게임·게임플레이</x:v>
      </x:c>
      <x:c r="D61" s="36" t="str">
        <x:v>정상 시나리오: 최종 투표·최종 승패 판정</x:v>
      </x:c>
      <x:c r="E61" s="36" t="str">
        <x:v>발언 종료 후 대화를 차단하고 1표를 접수한다. 마피아가 단독 최다 득표면 시민 승리, 이를 피하면 마피아 승리로 판정하며 동률 규칙을 적용한다.</x:v>
      </x:c>
      <x:c r="F61" s="36" t="str">
        <x:v>대상 기능이 포함된 MVP 빌드, 필요한 테스트 계정·룸 설정·로그 접근 권한을 준비한다.</x:v>
      </x:c>
      <x:c r="G61" s="36" t="str">
        <x:v>1. 사전 조건 상태를 구성한다.
2. 표준 설정에서 다음 테스트 대상을 실행한다: 최종 투표·최종 승패 판정.
3. UI, 서버 상태와 로그·텔레메트리를 확인한다.
4. 필요하면 재입장 또는 재실행하여 재현성을 확인한다.</x:v>
      </x:c>
      <x:c r="H61" s="36" t="str">
        <x:v>발언 종료 후 대화를 차단하고 1표를 접수한다. 마피아가 단독 최다 득표면 시민 승리, 이를 피하면 마피아 승리로 판정하며 동률 규칙을 적용한다.</x:v>
      </x:c>
      <x:c r="I61" s="36" t="str">
        <x:v>경계값</x:v>
      </x:c>
      <x:c r="J61" s="36" t="str">
        <x:v>P0</x:v>
      </x:c>
      <x:c r="K61" s="36" t="str">
        <x:v>전체</x:v>
      </x:c>
      <x:c r="L61" s="36" t="str">
        <x:v>예</x:v>
      </x:c>
      <x:c r="M61" s="36" t="str">
        <x:v>미실시</x:v>
      </x:c>
      <x:c r="N61" s="36" t="str">
        <x:v>미정</x:v>
      </x:c>
      <x:c r="O61" s="36" t="str">
        <x:v>미정</x:v>
      </x:c>
      <x:c r="P61" s="36"/>
      <x:c r="Q61" s="36"/>
      <x:c r="R61" s="44" t="str">
        <x:v>2026-07-10</x:v>
      </x:c>
      <x:c r="S61" s="36"/>
      <x:c r="T61" s="54"/>
      <x:c r="U61" s="54"/>
      <x:c r="V61" s="53" t="str">
        <x:v>착수 전</x:v>
      </x:c>
    </x:row>
    <x:row r="62" ht="42" customHeight="1">
      <x:c r="A62" s="36" t="str">
        <x:v>TC-IGM-031-02</x:v>
      </x:c>
      <x:c r="B62" s="36" t="str">
        <x:v>IGM-031</x:v>
      </x:c>
      <x:c r="C62" s="36" t="str">
        <x:v>인게임·게임플레이</x:v>
      </x:c>
      <x:c r="D62" s="36" t="str">
        <x:v>예외·경계 시나리오: 최종 투표·최종 승패 판정</x:v>
      </x:c>
      <x:c r="E62" s="36" t="str">
        <x:v>허용되지 않은 상태, 잘못된 값, 중복, 만료, 권한 부족, 연결 끊김 입력으로 데이터 손상·정보 유출·클라이언트 상태 분기가 발생하지 않는지 확인한다.</x:v>
      </x:c>
      <x:c r="F62" s="36" t="str">
        <x:v>대상 기능이 포함된 MVP 빌드와 디버그 입력, 네트워크 열화, 비정상 요청 재현 수단을 준비한다.</x:v>
      </x:c>
      <x:c r="G62" s="36" t="str">
        <x:v>1. 허용되지 않은 페이즈 또는 경계값 조건을 구성한다.
2. 최종 투표·최종 승패 판정에 대해 중복·무효·지연·연결 끊김을 포함한 요청을 전송한다.
3. 서버 거부, 롤백, 오류 표시와 감사 로그를 확인한다.
4. 모든 클라이언트의 상태가 일치하는지 확인한다.</x:v>
      </x:c>
      <x:c r="H62" s="36" t="str">
        <x:v>요청은 사양에 따라 거부되거나 안전하게 복구되며, 중복 반영, 데이터 손실, 정보 유출 또는 진행 중단이 발생하지 않는다. 오류와 상관관계 ID가 기록된다.</x:v>
      </x:c>
      <x:c r="I62" s="36" t="str">
        <x:v>경계값</x:v>
      </x:c>
      <x:c r="J62" s="36" t="str">
        <x:v>P0</x:v>
      </x:c>
      <x:c r="K62" s="36" t="str">
        <x:v>전체</x:v>
      </x:c>
      <x:c r="L62" s="36" t="str">
        <x:v>예</x:v>
      </x:c>
      <x:c r="M62" s="36" t="str">
        <x:v>미실시</x:v>
      </x:c>
      <x:c r="N62" s="36" t="str">
        <x:v>미정</x:v>
      </x:c>
      <x:c r="O62" s="36" t="str">
        <x:v>미정</x:v>
      </x:c>
      <x:c r="P62" s="36"/>
      <x:c r="Q62" s="36"/>
      <x:c r="R62" s="44" t="str">
        <x:v>2026-07-10</x:v>
      </x:c>
      <x:c r="S62" s="36"/>
      <x:c r="T62" s="54"/>
      <x:c r="U62" s="54"/>
      <x:c r="V62" s="53" t="str">
        <x:v>착수 전</x:v>
      </x:c>
    </x:row>
    <x:row r="63" ht="42" customHeight="1">
      <x:c r="A63" s="36" t="str">
        <x:v>TC-IGM-032-01</x:v>
      </x:c>
      <x:c r="B63" s="36" t="str">
        <x:v>IGM-032</x:v>
      </x:c>
      <x:c r="C63" s="36" t="str">
        <x:v>인게임·게임플레이</x:v>
      </x:c>
      <x:c r="D63" s="36" t="str">
        <x:v>정상 시나리오: 연결 끊김 플레이어 진행 처리</x:v>
      </x:c>
      <x:c r="E63" s="36" t="str">
        <x:v>연결이 끊긴 플레이어를 투표 모수, 승패 판정, 최종 발언 순서에서 규칙대로 처리해 매치가 중단되지 않도록 하고 재접속 유예 중 처리도 설정을 따른다.</x:v>
      </x:c>
      <x:c r="F63" s="36" t="str">
        <x:v>대상 기능이 포함된 알파 빌드, 필요한 테스트 계정·룸 설정·로그 접근 권한을 준비한다.</x:v>
      </x:c>
      <x:c r="G63" s="36" t="str">
        <x:v>1. 사전 조건 상태를 구성한다.
2. 표준 설정에서 다음 테스트 대상을 실행한다: 연결 끊김 플레이어 진행 처리.
3. UI, 서버 상태와 로그·텔레메트리를 확인한다.
4. 필요하면 재입장 또는 재실행하여 재현성을 확인한다.</x:v>
      </x:c>
      <x:c r="H63" s="36" t="str">
        <x:v>연결이 끊긴 플레이어를 투표 모수, 승패 판정, 최종 발언 순서에서 규칙대로 처리해 매치가 중단되지 않도록 하고 재접속 유예 중 처리도 설정을 따른다.</x:v>
      </x:c>
      <x:c r="I63" s="36" t="str">
        <x:v>네트워크</x:v>
      </x:c>
      <x:c r="J63" s="36" t="str">
        <x:v>P0</x:v>
      </x:c>
      <x:c r="K63" s="36" t="str">
        <x:v>전체</x:v>
      </x:c>
      <x:c r="L63" s="36" t="str">
        <x:v>예</x:v>
      </x:c>
      <x:c r="M63" s="36" t="str">
        <x:v>미실시</x:v>
      </x:c>
      <x:c r="N63" s="36" t="str">
        <x:v>미정</x:v>
      </x:c>
      <x:c r="O63" s="36" t="str">
        <x:v>미정</x:v>
      </x:c>
      <x:c r="P63" s="36"/>
      <x:c r="Q63" s="36"/>
      <x:c r="R63" s="44" t="str">
        <x:v>2026-07-10</x:v>
      </x:c>
      <x:c r="S63" s="36"/>
      <x:c r="T63" s="54"/>
      <x:c r="U63" s="54"/>
      <x:c r="V63" s="53" t="str">
        <x:v>착수 전</x:v>
      </x:c>
    </x:row>
    <x:row r="64" ht="42" customHeight="1">
      <x:c r="A64" s="36" t="str">
        <x:v>TC-IGM-032-02</x:v>
      </x:c>
      <x:c r="B64" s="36" t="str">
        <x:v>IGM-032</x:v>
      </x:c>
      <x:c r="C64" s="36" t="str">
        <x:v>인게임·게임플레이</x:v>
      </x:c>
      <x:c r="D64" s="36" t="str">
        <x:v>예외·경계 시나리오: 연결 끊김 플레이어 진행 처리</x:v>
      </x:c>
      <x:c r="E64" s="36" t="str">
        <x:v>허용되지 않은 상태, 잘못된 값, 중복, 만료, 권한 부족, 연결 끊김 입력으로 데이터 손상·정보 유출·클라이언트 상태 분기가 발생하지 않는지 확인한다.</x:v>
      </x:c>
      <x:c r="F64" s="36" t="str">
        <x:v>대상 기능이 포함된 알파 빌드와 디버그 입력, 네트워크 열화, 비정상 요청 재현 수단을 준비한다.</x:v>
      </x:c>
      <x:c r="G64" s="36" t="str">
        <x:v>1. 허용되지 않은 페이즈 또는 경계값 조건을 구성한다.
2. 연결 끊김 플레이어 진행 처리에 대해 중복·무효·지연·연결 끊김을 포함한 요청을 전송한다.
3. 서버 거부, 롤백, 오류 표시와 감사 로그를 확인한다.
4. 모든 클라이언트의 상태가 일치하는지 확인한다.</x:v>
      </x:c>
      <x:c r="H64" s="36" t="str">
        <x:v>요청은 사양에 따라 거부되거나 안전하게 복구되며, 중복 반영, 데이터 손실, 정보 유출 또는 진행 중단이 발생하지 않는다. 오류와 상관관계 ID가 기록된다.</x:v>
      </x:c>
      <x:c r="I64" s="36" t="str">
        <x:v>네트워크</x:v>
      </x:c>
      <x:c r="J64" s="36" t="str">
        <x:v>P0</x:v>
      </x:c>
      <x:c r="K64" s="36" t="str">
        <x:v>전체</x:v>
      </x:c>
      <x:c r="L64" s="36" t="str">
        <x:v>예</x:v>
      </x:c>
      <x:c r="M64" s="36" t="str">
        <x:v>미실시</x:v>
      </x:c>
      <x:c r="N64" s="36" t="str">
        <x:v>미정</x:v>
      </x:c>
      <x:c r="O64" s="36" t="str">
        <x:v>미정</x:v>
      </x:c>
      <x:c r="P64" s="36"/>
      <x:c r="Q64" s="36"/>
      <x:c r="R64" s="44" t="str">
        <x:v>2026-07-10</x:v>
      </x:c>
      <x:c r="S64" s="36"/>
      <x:c r="T64" s="54"/>
      <x:c r="U64" s="54"/>
      <x:c r="V64" s="53" t="str">
        <x:v>착수 전</x:v>
      </x:c>
    </x:row>
    <x:row r="65" ht="42" customHeight="1">
      <x:c r="A65" s="36" t="str">
        <x:v>TC-IGM-033-01</x:v>
      </x:c>
      <x:c r="B65" s="36" t="str">
        <x:v>IGM-033</x:v>
      </x:c>
      <x:c r="C65" s="36" t="str">
        <x:v>인게임·게임플레이</x:v>
      </x:c>
      <x:c r="D65" s="36" t="str">
        <x:v>정상 시나리오: 재접속 시 전체 상태 복원</x:v>
      </x:c>
      <x:c r="E65" s="36" t="str">
        <x:v>역할, 색상, 보유 메모, 부착 이력, 생존 상태, 페이즈, 남은 시간, 투표 여부를 복원하고 수신자별 비공개 정보를 정확하게 재전송한다.</x:v>
      </x:c>
      <x:c r="F65" s="36" t="str">
        <x:v>대상 기능이 포함된 알파 빌드, 필요한 테스트 계정·룸 설정·로그 접근 권한을 준비한다.</x:v>
      </x:c>
      <x:c r="G65" s="36" t="str">
        <x:v>1. 사전 조건 상태를 구성한다.
2. 표준 설정에서 다음 테스트 대상을 실행한다: 재접속 시 전체 상태 복원.
3. UI, 서버 상태와 로그·텔레메트리를 확인한다.
4. 필요하면 재입장 또는 재실행하여 재현성을 확인한다.</x:v>
      </x:c>
      <x:c r="H65" s="36" t="str">
        <x:v>역할, 색상, 보유 메모, 부착 이력, 생존 상태, 페이즈, 남은 시간, 투표 여부를 복원하고 수신자별 비공개 정보를 정확하게 재전송한다.</x:v>
      </x:c>
      <x:c r="I65" s="36" t="str">
        <x:v>네트워크</x:v>
      </x:c>
      <x:c r="J65" s="36" t="str">
        <x:v>P0</x:v>
      </x:c>
      <x:c r="K65" s="36" t="str">
        <x:v>전체</x:v>
      </x:c>
      <x:c r="L65" s="36" t="str">
        <x:v>예</x:v>
      </x:c>
      <x:c r="M65" s="36" t="str">
        <x:v>미실시</x:v>
      </x:c>
      <x:c r="N65" s="36" t="str">
        <x:v>미정</x:v>
      </x:c>
      <x:c r="O65" s="36" t="str">
        <x:v>미정</x:v>
      </x:c>
      <x:c r="P65" s="36"/>
      <x:c r="Q65" s="36"/>
      <x:c r="R65" s="44" t="str">
        <x:v>2026-07-10</x:v>
      </x:c>
      <x:c r="S65" s="36"/>
      <x:c r="T65" s="54"/>
      <x:c r="U65" s="54"/>
      <x:c r="V65" s="53" t="str">
        <x:v>착수 전</x:v>
      </x:c>
    </x:row>
    <x:row r="66" ht="42" customHeight="1">
      <x:c r="A66" s="36" t="str">
        <x:v>TC-IGM-033-02</x:v>
      </x:c>
      <x:c r="B66" s="36" t="str">
        <x:v>IGM-033</x:v>
      </x:c>
      <x:c r="C66" s="36" t="str">
        <x:v>인게임·게임플레이</x:v>
      </x:c>
      <x:c r="D66" s="36" t="str">
        <x:v>예외·경계 시나리오: 재접속 시 전체 상태 복원</x:v>
      </x:c>
      <x:c r="E66" s="36" t="str">
        <x:v>허용되지 않은 상태, 잘못된 값, 중복, 만료, 권한 부족, 연결 끊김 입력으로 데이터 손상·정보 유출·클라이언트 상태 분기가 발생하지 않는지 확인한다.</x:v>
      </x:c>
      <x:c r="F66" s="36" t="str">
        <x:v>대상 기능이 포함된 알파 빌드와 디버그 입력, 네트워크 열화, 비정상 요청 재현 수단을 준비한다.</x:v>
      </x:c>
      <x:c r="G66" s="36" t="str">
        <x:v>1. 허용되지 않은 페이즈 또는 경계값 조건을 구성한다.
2. 재접속 시 전체 상태 복원에 대해 중복·무효·지연·연결 끊김을 포함한 요청을 전송한다.
3. 서버 거부, 롤백, 오류 표시와 감사 로그를 확인한다.
4. 모든 클라이언트의 상태가 일치하는지 확인한다.</x:v>
      </x:c>
      <x:c r="H66" s="36" t="str">
        <x:v>요청은 사양에 따라 거부되거나 안전하게 복구되며, 중복 반영, 데이터 손실, 정보 유출 또는 진행 중단이 발생하지 않는다. 오류와 상관관계 ID가 기록된다.</x:v>
      </x:c>
      <x:c r="I66" s="36" t="str">
        <x:v>네트워크</x:v>
      </x:c>
      <x:c r="J66" s="36" t="str">
        <x:v>P0</x:v>
      </x:c>
      <x:c r="K66" s="36" t="str">
        <x:v>전체</x:v>
      </x:c>
      <x:c r="L66" s="36" t="str">
        <x:v>예</x:v>
      </x:c>
      <x:c r="M66" s="36" t="str">
        <x:v>미실시</x:v>
      </x:c>
      <x:c r="N66" s="36" t="str">
        <x:v>미정</x:v>
      </x:c>
      <x:c r="O66" s="36" t="str">
        <x:v>미정</x:v>
      </x:c>
      <x:c r="P66" s="36"/>
      <x:c r="Q66" s="36"/>
      <x:c r="R66" s="44" t="str">
        <x:v>2026-07-10</x:v>
      </x:c>
      <x:c r="S66" s="36"/>
      <x:c r="T66" s="54"/>
      <x:c r="U66" s="54"/>
      <x:c r="V66" s="53" t="str">
        <x:v>착수 전</x:v>
      </x:c>
    </x:row>
    <x:row r="67" ht="42" customHeight="1">
      <x:c r="A67" s="36" t="str">
        <x:v>TC-IGM-034-01</x:v>
      </x:c>
      <x:c r="B67" s="36" t="str">
        <x:v>IGM-034</x:v>
      </x:c>
      <x:c r="C67" s="36" t="str">
        <x:v>인게임·게임플레이</x:v>
      </x:c>
      <x:c r="D67" s="36" t="str">
        <x:v>정상 시나리오: 사진 메모 기록·부착</x:v>
      </x:c>
      <x:c r="E67" s="36" t="str">
        <x:v>카메라 2회 사용, 좁은 화각, 약한 흐림, 정확한 시각 비공개 규칙으로 사진 메모를 생성해 확정 증거가 지나치게 강해지지 않도록 한다.</x:v>
      </x:c>
      <x:c r="F67" s="36" t="str">
        <x:v>대상 기능이 포함된 출시 후 빌드, 필요한 테스트 계정·룸 설정·로그 접근 권한을 준비한다.</x:v>
      </x:c>
      <x:c r="G67" s="36" t="str">
        <x:v>1. 사전 조건 상태를 구성한다.
2. 표준 설정에서 다음 테스트 대상을 실행한다: 사진 메모 기록·부착.
3. UI, 서버 상태와 로그·텔레메트리를 확인한다.
4. 필요하면 재입장 또는 재실행하여 재현성을 확인한다.</x:v>
      </x:c>
      <x:c r="H67" s="36" t="str">
        <x:v>카메라 2회 사용, 좁은 화각, 약한 흐림, 정확한 시각 비공개 규칙으로 사진 메모를 생성해 확정 증거가 지나치게 강해지지 않도록 한다.</x:v>
      </x:c>
      <x:c r="I67" s="36" t="str">
        <x:v>밸런스</x:v>
      </x:c>
      <x:c r="J67" s="36" t="str">
        <x:v>P2</x:v>
      </x:c>
      <x:c r="K67" s="36" t="str">
        <x:v>전체</x:v>
      </x:c>
      <x:c r="L67" s="36" t="str">
        <x:v>예</x:v>
      </x:c>
      <x:c r="M67" s="36" t="str">
        <x:v>미실시</x:v>
      </x:c>
      <x:c r="N67" s="36" t="str">
        <x:v>미정</x:v>
      </x:c>
      <x:c r="O67" s="36" t="str">
        <x:v>미정</x:v>
      </x:c>
      <x:c r="P67" s="36"/>
      <x:c r="Q67" s="36"/>
      <x:c r="R67" s="44" t="str">
        <x:v>2026-07-10</x:v>
      </x:c>
      <x:c r="S67" s="36"/>
      <x:c r="T67" s="54"/>
      <x:c r="U67" s="54"/>
      <x:c r="V67" s="53" t="str">
        <x:v>착수 전</x:v>
      </x:c>
    </x:row>
    <x:row r="68" ht="42" customHeight="1">
      <x:c r="A68" s="36" t="str">
        <x:v>TC-IGM-035-01</x:v>
      </x:c>
      <x:c r="B68" s="36" t="str">
        <x:v>IGM-035</x:v>
      </x:c>
      <x:c r="C68" s="36" t="str">
        <x:v>인게임·게임플레이</x:v>
      </x:c>
      <x:c r="D68" s="36" t="str">
        <x:v>정상 시나리오: 플레이어 간 메모 전달</x:v>
      </x:c>
      <x:c r="E68" s="36" t="str">
        <x:v>전송, 수령, 거부, 소유권 이전을 서버에서 원자적으로 처리하고 부착자와 작성자 개념을 분리해 이력을 유지한다.</x:v>
      </x:c>
      <x:c r="F68" s="36" t="str">
        <x:v>대상 기능이 포함된 출시 후 빌드, 필요한 테스트 계정·룸 설정·로그 접근 권한을 준비한다.</x:v>
      </x:c>
      <x:c r="G68" s="36" t="str">
        <x:v>1. 사전 조건 상태를 구성한다.
2. 표준 설정에서 다음 테스트 대상을 실행한다: 플레이어 간 메모 전달.
3. UI, 서버 상태와 로그·텔레메트리를 확인한다.
4. 필요하면 재입장 또는 재실행하여 재현성을 확인한다.</x:v>
      </x:c>
      <x:c r="H68" s="36" t="str">
        <x:v>전송, 수령, 거부, 소유권 이전을 서버에서 원자적으로 처리하고 부착자와 작성자 개념을 분리해 이력을 유지한다.</x:v>
      </x:c>
      <x:c r="I68" s="36" t="str">
        <x:v>통합</x:v>
      </x:c>
      <x:c r="J68" s="36" t="str">
        <x:v>P2</x:v>
      </x:c>
      <x:c r="K68" s="36" t="str">
        <x:v>전체</x:v>
      </x:c>
      <x:c r="L68" s="36" t="str">
        <x:v>예</x:v>
      </x:c>
      <x:c r="M68" s="36" t="str">
        <x:v>미실시</x:v>
      </x:c>
      <x:c r="N68" s="36" t="str">
        <x:v>미정</x:v>
      </x:c>
      <x:c r="O68" s="36" t="str">
        <x:v>미정</x:v>
      </x:c>
      <x:c r="P68" s="36"/>
      <x:c r="Q68" s="36"/>
      <x:c r="R68" s="44" t="str">
        <x:v>2026-07-10</x:v>
      </x:c>
      <x:c r="S68" s="36"/>
      <x:c r="T68" s="54"/>
      <x:c r="U68" s="54"/>
      <x:c r="V68" s="53" t="str">
        <x:v>착수 전</x:v>
      </x:c>
    </x:row>
    <x:row r="69" ht="42" customHeight="1">
      <x:c r="A69" s="36" t="str">
        <x:v>TC-IGM-036-01</x:v>
      </x:c>
      <x:c r="B69" s="36" t="str">
        <x:v>IGM-036</x:v>
      </x:c>
      <x:c r="C69" s="36" t="str">
        <x:v>인게임·게임플레이</x:v>
      </x:c>
      <x:c r="D69" s="36" t="str">
        <x:v>정상 시나리오: 2인 협동 미니게임 공통 흐름</x:v>
      </x:c>
      <x:c r="E69" s="36" t="str">
        <x:v>두 플레이어의 참가, 동시 시작, 성공, 이탈을 동기화하며 성공 시 양쪽에 메모 1장씩 중복 없이 지급한다.</x:v>
      </x:c>
      <x:c r="F69" s="36" t="str">
        <x:v>대상 기능이 포함된 출시 후 빌드, 필요한 테스트 계정·룸 설정·로그 접근 권한을 준비한다.</x:v>
      </x:c>
      <x:c r="G69" s="36" t="str">
        <x:v>1. 사전 조건 상태를 구성한다.
2. 표준 설정에서 다음 테스트 대상을 실행한다: 2인 협동 미니게임 공통 흐름.
3. UI, 서버 상태와 로그·텔레메트리를 확인한다.
4. 필요하면 재입장 또는 재실행하여 재현성을 확인한다.</x:v>
      </x:c>
      <x:c r="H69" s="36" t="str">
        <x:v>두 플레이어의 참가, 동시 시작, 성공, 이탈을 동기화하며 성공 시 양쪽에 메모 1장씩 중복 없이 지급한다.</x:v>
      </x:c>
      <x:c r="I69" s="36" t="str">
        <x:v>네트워크</x:v>
      </x:c>
      <x:c r="J69" s="36" t="str">
        <x:v>P2</x:v>
      </x:c>
      <x:c r="K69" s="36" t="str">
        <x:v>전체</x:v>
      </x:c>
      <x:c r="L69" s="36" t="str">
        <x:v>예</x:v>
      </x:c>
      <x:c r="M69" s="36" t="str">
        <x:v>미실시</x:v>
      </x:c>
      <x:c r="N69" s="36" t="str">
        <x:v>미정</x:v>
      </x:c>
      <x:c r="O69" s="36" t="str">
        <x:v>미정</x:v>
      </x:c>
      <x:c r="P69" s="36"/>
      <x:c r="Q69" s="36"/>
      <x:c r="R69" s="44" t="str">
        <x:v>2026-07-10</x:v>
      </x:c>
      <x:c r="S69" s="36"/>
      <x:c r="T69" s="54"/>
      <x:c r="U69" s="54"/>
      <x:c r="V69" s="53" t="str">
        <x:v>착수 전</x:v>
      </x:c>
    </x:row>
    <x:row r="70" ht="42" customHeight="1">
      <x:c r="A70" s="36" t="str">
        <x:v>TC-IGM-037-01</x:v>
      </x:c>
      <x:c r="B70" s="36" t="str">
        <x:v>IGM-037</x:v>
      </x:c>
      <x:c r="C70" s="36" t="str">
        <x:v>인게임·게임플레이</x:v>
      </x:c>
      <x:c r="D70" s="36" t="str">
        <x:v>정상 시나리오: 고독한 마피아 자기 부착 능력</x:v>
      </x:c>
      <x:c r="E70" s="36" t="str">
        <x:v>복수 마피아 모드에서 마지막 마피아 1명이 된 경우에만 하루 1회 선택한 색상의 메모를 자신의 등에 부착할 수 있다.</x:v>
      </x:c>
      <x:c r="F70" s="36" t="str">
        <x:v>대상 기능이 포함된 출시 후 빌드, 필요한 테스트 계정·룸 설정·로그 접근 권한을 준비한다.</x:v>
      </x:c>
      <x:c r="G70" s="36" t="str">
        <x:v>1. 사전 조건 상태를 구성한다.
2. 표준 설정에서 다음 테스트 대상을 실행한다: 고독한 마피아 자기 부착 능력.
3. UI, 서버 상태와 로그·텔레메트리를 확인한다.
4. 필요하면 재입장 또는 재실행하여 재현성을 확인한다.</x:v>
      </x:c>
      <x:c r="H70" s="36" t="str">
        <x:v>복수 마피아 모드에서 마지막 마피아 1명이 된 경우에만 하루 1회 선택한 색상의 메모를 자신의 등에 부착할 수 있다.</x:v>
      </x:c>
      <x:c r="I70" s="36" t="str">
        <x:v>경계값</x:v>
      </x:c>
      <x:c r="J70" s="36" t="str">
        <x:v>P3</x:v>
      </x:c>
      <x:c r="K70" s="36" t="str">
        <x:v>전체</x:v>
      </x:c>
      <x:c r="L70" s="36" t="str">
        <x:v>예</x:v>
      </x:c>
      <x:c r="M70" s="36" t="str">
        <x:v>미실시</x:v>
      </x:c>
      <x:c r="N70" s="36" t="str">
        <x:v>미정</x:v>
      </x:c>
      <x:c r="O70" s="36" t="str">
        <x:v>미정</x:v>
      </x:c>
      <x:c r="P70" s="36"/>
      <x:c r="Q70" s="36"/>
      <x:c r="R70" s="44" t="str">
        <x:v>2026-07-10</x:v>
      </x:c>
      <x:c r="S70" s="36"/>
      <x:c r="T70" s="54"/>
      <x:c r="U70" s="54"/>
      <x:c r="V70" s="53" t="str">
        <x:v>착수 전</x:v>
      </x:c>
    </x:row>
    <x:row r="71" ht="42" customHeight="1">
      <x:c r="A71" s="36" t="str">
        <x:v>TC-IGM-038-01</x:v>
      </x:c>
      <x:c r="B71" s="36" t="str">
        <x:v>IGM-038</x:v>
      </x:c>
      <x:c r="C71" s="36" t="str">
        <x:v>인게임·게임플레이</x:v>
      </x:c>
      <x:c r="D71" s="36" t="str">
        <x:v>정상 시나리오: 마피아 조수 임명·지속 승패</x:v>
      </x:c>
      <x:c r="E71" s="36" t="str">
        <x:v>6명 이상에서 첫날 낮에 시민 1명을 비밀리에 임명하고, 마피아 추방 후에도 조수가 생존하면 게임을 계속한다. 사망한 마피아의 정보 열람은 제한한다.</x:v>
      </x:c>
      <x:c r="F71" s="36" t="str">
        <x:v>대상 기능이 포함된 출시 후 빌드, 필요한 테스트 계정·룸 설정·로그 접근 권한을 준비한다.</x:v>
      </x:c>
      <x:c r="G71" s="36" t="str">
        <x:v>1. 사전 조건 상태를 구성한다.
2. 표준 설정에서 다음 테스트 대상을 실행한다: 마피아 조수 임명·지속 승패.
3. UI, 서버 상태와 로그·텔레메트리를 확인한다.
4. 필요하면 재입장 또는 재실행하여 재현성을 확인한다.</x:v>
      </x:c>
      <x:c r="H71" s="36" t="str">
        <x:v>6명 이상에서 첫날 낮에 시민 1명을 비밀리에 임명하고, 마피아 추방 후에도 조수가 생존하면 게임을 계속한다. 사망한 마피아의 정보 열람은 제한한다.</x:v>
      </x:c>
      <x:c r="I71" s="36" t="str">
        <x:v>보안</x:v>
      </x:c>
      <x:c r="J71" s="36" t="str">
        <x:v>P3</x:v>
      </x:c>
      <x:c r="K71" s="36" t="str">
        <x:v>전체</x:v>
      </x:c>
      <x:c r="L71" s="36" t="str">
        <x:v>예</x:v>
      </x:c>
      <x:c r="M71" s="36" t="str">
        <x:v>미실시</x:v>
      </x:c>
      <x:c r="N71" s="36" t="str">
        <x:v>미정</x:v>
      </x:c>
      <x:c r="O71" s="36" t="str">
        <x:v>미정</x:v>
      </x:c>
      <x:c r="P71" s="36"/>
      <x:c r="Q71" s="36"/>
      <x:c r="R71" s="44" t="str">
        <x:v>2026-07-10</x:v>
      </x:c>
      <x:c r="S71" s="36"/>
      <x:c r="T71" s="54"/>
      <x:c r="U71" s="54"/>
      <x:c r="V71" s="53" t="str">
        <x:v>착수 전</x:v>
      </x:c>
    </x:row>
  </x:sheetData>
  <x:conditionalFormatting sqref="M2:M71">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71">
    <x:cfRule type="expression" dxfId="16" priority="7">
      <x:formula>J2="P0"</x:formula>
    </x:cfRule>
    <x:cfRule type="expression" dxfId="17" priority="8">
      <x:formula>J2="P1"</x:formula>
    </x:cfRule>
  </x:conditionalFormatting>
  <x:conditionalFormatting sqref="V2:V71">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71">
      <x:formula1>"기능,통합,경계값,네트워크,보안,성능,호환성,사용성,접근성,현지화,밸런스,운영,안전,부하"</x:formula1>
    </x:dataValidation>
    <x:dataValidation type="list" sqref="J2:J71">
      <x:formula1>"P0,P1,P2,P3"</x:formula1>
    </x:dataValidation>
    <x:dataValidation type="list" sqref="L2:L71">
      <x:formula1>"예,아니요,부분"</x:formula1>
    </x:dataValidation>
    <x:dataValidation type="list" sqref="M2:M71">
      <x:formula1>"미실시,진행 중,통과,실패,차단,대상 제외"</x:formula1>
    </x:dataValidation>
    <x:dataValidation type="list" sqref="K2:K71">
      <x:formula1>"전체,PC,콘솔,모바일,서버,백엔드,도구,웹·관리자"</x:formula1>
    </x:dataValidation>
    <x:dataValidation type="list" sqref="V2:V71">
      <x:formula1>"착수 전,작업 중,완료"</x:formula1>
    </x:dataValidation>
  </x:dataValidations>
  <x:pageMargins left="0.7" right="0.7" top="0.75" bottom="0.75" header="0.3" footer="0.3"/>
  <x:tableParts count="1">
    <x:tablePart xmlns:r="http://schemas.openxmlformats.org/officeDocument/2006/relationships" r:id="R8eeba7d036a24bab"/>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R-IGM-01</x:v>
      </x:c>
      <x:c r="B2" s="36" t="str">
        <x:v>인게임·게임플레이</x:v>
      </x:c>
      <x:c r="C2" s="36" t="str">
        <x:v>규칙</x:v>
      </x:c>
      <x:c r="D2" s="36" t="str">
        <x:v>동률·미투표·연결 끊김 정책이 미확정되어 승패 구현이 분기될 수 있다.</x:v>
      </x:c>
      <x:c r="E2" s="36" t="str">
        <x:v>MVP 사양 동결 시점까지 결정이 완료되지 않음</x:v>
      </x:c>
      <x:c r="F2" s="36" t="str">
        <x:v>밤 투표와 최종 투표 재작업</x:v>
      </x:c>
      <x:c r="G2" s="36" t="str">
        <x:v>높음</x:v>
      </x:c>
      <x:c r="H2" s="36" t="str">
        <x:v>높음</x:v>
      </x:c>
      <x:c r="I2" s="36" t="n">
        <x:f>IF(G2="높음",3,IF(G2="중간",2,1))*IF(H2="높음",3,IF(H2="중간",2,1))</x:f>
        <x:v>9</x:v>
      </x:c>
      <x:c r="J2" s="36" t="str">
        <x:v>게임플레이 디렉터</x:v>
      </x:c>
      <x:c r="K2" s="36" t="str">
        <x:v>의사결정 기록을 기한 내 승인한다.</x:v>
      </x:c>
      <x:c r="L2" s="36" t="str">
        <x:v>임시 규칙을 기능 플래그로 고정한다.</x:v>
      </x:c>
      <x:c r="M2" s="36" t="str">
        <x:v>미대응</x:v>
      </x:c>
      <x:c r="N2" s="36" t="str">
        <x:v>IGM-023,IGM-024,SET-011</x:v>
      </x:c>
      <x:c r="O2" s="44" t="str">
        <x:v>미정</x:v>
      </x:c>
      <x:c r="P2" s="36"/>
    </x:row>
    <x:row r="3" ht="42" customHeight="1">
      <x:c r="A3" s="36" t="str">
        <x:v>R-IGM-02</x:v>
      </x:c>
      <x:c r="B3" s="36" t="str">
        <x:v>인게임·게임플레이</x:v>
      </x:c>
      <x:c r="C3" s="36" t="str">
        <x:v>정보 비공개</x:v>
      </x:c>
      <x:c r="D3" s="36" t="str">
        <x:v>본인 등 메모 또는 실제 작성자 정보가 클라이언트에 유출될 수 있다.</x:v>
      </x:c>
      <x:c r="E3" s="36" t="str">
        <x:v>수신자 구분 없는 공통 스냅샷 배포</x:v>
      </x:c>
      <x:c r="F3" s="36" t="str">
        <x:v>핵심 게임 규칙 훼손·치트 악용</x:v>
      </x:c>
      <x:c r="G3" s="36" t="str">
        <x:v>중간</x:v>
      </x:c>
      <x:c r="H3" s="36" t="str">
        <x:v>높음</x:v>
      </x:c>
      <x:c r="I3" s="36" t="n">
        <x:f>IF(G3="높음",3,IF(G3="중간",2,1))*IF(H3="높음",3,IF(H3="중간",2,1))</x:f>
        <x:v>6</x:v>
      </x:c>
      <x:c r="J3" s="36" t="str">
        <x:v>네트워크 리드</x:v>
      </x:c>
      <x:c r="K3" s="36" t="str">
        <x:v>수신자별 공개 모델과 정보 유출 시험을 적용한다.</x:v>
      </x:c>
      <x:c r="L3" s="36" t="str">
        <x:v>해당 빌드 배포를 중지하고 프로토콜을 수정한다.</x:v>
      </x:c>
      <x:c r="M3" s="36" t="str">
        <x:v>미대응</x:v>
      </x:c>
      <x:c r="N3" s="36" t="str">
        <x:v>IGM-019,IGM-029,NET-018</x:v>
      </x:c>
      <x:c r="O3" s="44" t="str">
        <x:v>미정</x:v>
      </x:c>
      <x:c r="P3" s="36"/>
    </x:row>
    <x:row r="4" ht="42" customHeight="1">
      <x:c r="A4" s="36" t="str">
        <x:v>R-IGM-03</x:v>
      </x:c>
      <x:c r="B4" s="36" t="str">
        <x:v>인게임·게임플레이</x:v>
      </x:c>
      <x:c r="C4" s="36" t="str">
        <x:v>밸런스</x:v>
      </x:c>
      <x:c r="D4" s="36" t="str">
        <x:v>색상 위조가 지나치게 강해 시민 추리가 운에 의존할 수 있다.</x:v>
      </x:c>
      <x:c r="E4" s="36" t="str">
        <x:v>위조 횟수와 검증 수단의 조정 부족</x:v>
      </x:c>
      <x:c r="F4" s="36" t="str">
        <x:v>재방문율·사용자 평가 하락</x:v>
      </x:c>
      <x:c r="G4" s="36" t="str">
        <x:v>중간</x:v>
      </x:c>
      <x:c r="H4" s="36" t="str">
        <x:v>높음</x:v>
      </x:c>
      <x:c r="I4" s="36" t="n">
        <x:f>IF(G4="높음",3,IF(G4="중간",2,1))*IF(H4="높음",3,IF(H4="중간",2,1))</x:f>
        <x:v>6</x:v>
      </x:c>
      <x:c r="J4" s="36" t="str">
        <x:v>게임 디자인</x:v>
      </x:c>
      <x:c r="K4" s="36" t="str">
        <x:v>위조 횟수, 부착 애니메이션, 순서 정보의 영향을 계측한다.</x:v>
      </x:c>
      <x:c r="L4" s="36" t="str">
        <x:v>원격 설정으로 위조 횟수를 조정한다.</x:v>
      </x:c>
      <x:c r="M4" s="36" t="str">
        <x:v>미대응</x:v>
      </x:c>
      <x:c r="N4" s="36" t="str">
        <x:v>IGM-014,IGM-015</x:v>
      </x:c>
      <x:c r="O4" s="44" t="str">
        <x:v>미정</x:v>
      </x:c>
      <x:c r="P4" s="36"/>
    </x:row>
    <x:row r="5" ht="42" customHeight="1">
      <x:c r="A5" s="36" t="str">
        <x:v>R-IGM-04</x:v>
      </x:c>
      <x:c r="B5" s="36" t="str">
        <x:v>인게임·게임플레이</x:v>
      </x:c>
      <x:c r="C5" s="36" t="str">
        <x:v>상태 관리</x:v>
      </x:c>
      <x:c r="D5" s="36" t="str">
        <x:v>페이즈 경계 입력으로 메모 또는 투표가 중복 반영될 수 있다.</x:v>
      </x:c>
      <x:c r="E5" s="36" t="str">
        <x:v>지연, 재전송, 동시 조작</x:v>
      </x:c>
      <x:c r="F5" s="36" t="str">
        <x:v>진행 중단·승패 불일치</x:v>
      </x:c>
      <x:c r="G5" s="36" t="str">
        <x:v>중간</x:v>
      </x:c>
      <x:c r="H5" s="36" t="str">
        <x:v>높음</x:v>
      </x:c>
      <x:c r="I5" s="36" t="n">
        <x:f>IF(G5="높음",3,IF(G5="중간",2,1))*IF(H5="높음",3,IF(H5="중간",2,1))</x:f>
        <x:v>6</x:v>
      </x:c>
      <x:c r="J5" s="36" t="str">
        <x:v>게임플레이 엔지니어링</x:v>
      </x:c>
      <x:c r="K5" s="36" t="str">
        <x:v>원자 처리, 멱등 ID, 경계 자동 시험을 적용한다.</x:v>
      </x:c>
      <x:c r="L5" s="36" t="str">
        <x:v>매치를 무효화하고 관련 로그를 회수한다.</x:v>
      </x:c>
      <x:c r="M5" s="36" t="str">
        <x:v>미대응</x:v>
      </x:c>
      <x:c r="N5" s="36" t="str">
        <x:v>IGM-018,IGM-023</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8b0f0e25abcc437e"/>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D-IGM-01</x:v>
      </x:c>
      <x:c r="B2" s="36" t="str">
        <x:v>인게임·게임플레이</x:v>
      </x:c>
      <x:c r="C2" s="36" t="str">
        <x:v>투표 동률</x:v>
      </x:c>
      <x:c r="D2" s="36" t="str">
        <x:v>밤 투표와 최종 투표가 동률일 때 어떻게 처리할 것인가?</x:v>
      </x:c>
      <x:c r="E2" s="36" t="str">
        <x:v>A: 재투표 / B: 추방 없음 / C: 무작위</x:v>
      </x:c>
      <x:c r="F2" s="36" t="str">
        <x:v>MVP는 짧은 재투표 1회를 실시하고 다시 동률이면 추방하지 않는다.</x:v>
      </x:c>
      <x:c r="G2" s="36" t="str">
        <x:v>미정</x:v>
      </x:c>
      <x:c r="H2" s="36" t="str">
        <x:v>미정</x:v>
      </x:c>
      <x:c r="I2" s="36" t="str">
        <x:v>게임 디렉터</x:v>
      </x:c>
      <x:c r="J2" s="44" t="str">
        <x:v>2026-07-24</x:v>
      </x:c>
      <x:c r="K2" s="36" t="str">
        <x:v>IGM-024,SET-011</x:v>
      </x:c>
      <x:c r="L2" s="36" t="str">
        <x:v>게임 시간과 결과 수용성을 플레이테스트로 비교한다.</x:v>
      </x:c>
      <x:c r="M2" s="44" t="str">
        <x:v>2026-07-10</x:v>
      </x:c>
    </x:row>
    <x:row r="3" ht="42" customHeight="1">
      <x:c r="A3" s="36" t="str">
        <x:v>D-IGM-02</x:v>
      </x:c>
      <x:c r="B3" s="36" t="str">
        <x:v>인게임·게임플레이</x:v>
      </x:c>
      <x:c r="C3" s="36" t="str">
        <x:v>추방 시 역할 공개</x:v>
      </x:c>
      <x:c r="D3" s="36" t="str">
        <x:v>일반 추방 시 역할을 공개할 것인가?</x:v>
      </x:c>
      <x:c r="E3" s="36" t="str">
        <x:v>A: 공개 / B: 비공개 / C: 룸 설정</x:v>
      </x:c>
      <x:c r="F3" s="36" t="str">
        <x:v>MVP는 비공개로 두어 추리를 계속한다.</x:v>
      </x:c>
      <x:c r="G3" s="36" t="str">
        <x:v>미정</x:v>
      </x:c>
      <x:c r="H3" s="36" t="str">
        <x:v>미정</x:v>
      </x:c>
      <x:c r="I3" s="36" t="str">
        <x:v>게임 디렉터</x:v>
      </x:c>
      <x:c r="J3" s="44" t="str">
        <x:v>2026-07-24</x:v>
      </x:c>
      <x:c r="K3" s="36" t="str">
        <x:v>IGM-025,UIX-020</x:v>
      </x:c>
      <x:c r="L3" s="36" t="str">
        <x:v>최종 재판의 가치와 초보자 이해도를 비교한다.</x:v>
      </x:c>
      <x:c r="M3" s="44" t="str">
        <x:v>2026-07-10</x:v>
      </x:c>
    </x:row>
    <x:row r="4" ht="42" customHeight="1">
      <x:c r="A4" s="36" t="str">
        <x:v>D-IGM-03</x:v>
      </x:c>
      <x:c r="B4" s="36" t="str">
        <x:v>인게임·게임플레이</x:v>
      </x:c>
      <x:c r="C4" s="36" t="str">
        <x:v>등 메모 상한</x:v>
      </x:c>
      <x:c r="D4" s="36" t="str">
        <x:v>7장째 이후 메모를 거부, 교체, 보관 중 어떻게 처리할 것인가?</x:v>
      </x:c>
      <x:c r="E4" s="36" t="str">
        <x:v>A: 거부 / B: 가장 오래된 메모 교체 / C: 축소 표시</x:v>
      </x:c>
      <x:c r="F4" s="36" t="str">
        <x:v>MVP는 최대 6장으로 제한하고 신규 부착을 거부한다.</x:v>
      </x:c>
      <x:c r="G4" s="36" t="str">
        <x:v>미정</x:v>
      </x:c>
      <x:c r="H4" s="36" t="str">
        <x:v>미정</x:v>
      </x:c>
      <x:c r="I4" s="36" t="str">
        <x:v>제품 책임자</x:v>
      </x:c>
      <x:c r="J4" s="44" t="str">
        <x:v>2026-07-31</x:v>
      </x:c>
      <x:c r="K4" s="36" t="str">
        <x:v>IGM-022,CHR-010</x:v>
      </x:c>
      <x:c r="L4" s="36" t="str">
        <x:v>판독성과 메모 자원의 가치를 우선한다.</x:v>
      </x:c>
      <x:c r="M4" s="44" t="str">
        <x:v>2026-07-10</x:v>
      </x:c>
    </x:row>
  </x:sheetData>
  <x:conditionalFormatting sqref="H2:H4">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4">
      <x:formula1>"미정,검토 중,승인,기각,보류"</x:formula1>
    </x:dataValidation>
  </x:dataValidations>
  <x:pageMargins left="0.7" right="0.7" top="0.75" bottom="0.75" header="0.3" footer="0.3"/>
  <x:tableParts count="1">
    <x:tablePart xmlns:r="http://schemas.openxmlformats.org/officeDocument/2006/relationships" r:id="Rb52a870b00394a32"/>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