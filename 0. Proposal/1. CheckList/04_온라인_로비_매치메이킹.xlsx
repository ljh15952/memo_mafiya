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8a23bc4bf2412b" /></Relationships>
</file>

<file path=xl/workbook.xml><?xml version="1.0" encoding="utf-8"?>
<x:workbook xmlns:x="http://schemas.openxmlformats.org/spreadsheetml/2006/main">
  <x:sheets>
    <x:sheet xmlns:r="http://schemas.openxmlformats.org/officeDocument/2006/relationships" name="00_개요" sheetId="1" r:id="R58d578dbe92242f4"/>
    <x:sheet xmlns:r="http://schemas.openxmlformats.org/officeDocument/2006/relationships" name="01_백로그" sheetId="2" r:id="Raa82cadf0f6e4fb9"/>
    <x:sheet xmlns:r="http://schemas.openxmlformats.org/officeDocument/2006/relationships" name="02_세션_흐름" sheetId="3" r:id="Rce1922a85c8c4182"/>
    <x:sheet xmlns:r="http://schemas.openxmlformats.org/officeDocument/2006/relationships" name="03_오류코드" sheetId="4" r:id="Ref74574039cb489e"/>
    <x:sheet xmlns:r="http://schemas.openxmlformats.org/officeDocument/2006/relationships" name="04_호환성" sheetId="5" r:id="R1567dfcdcb5b4fac"/>
    <x:sheet xmlns:r="http://schemas.openxmlformats.org/officeDocument/2006/relationships" name="80_QA_케이스" sheetId="6" r:id="Re37643b832624d09"/>
    <x:sheet xmlns:r="http://schemas.openxmlformats.org/officeDocument/2006/relationships" name="90_리스크" sheetId="7" r:id="R7c035b885a074412"/>
    <x:sheet xmlns:r="http://schemas.openxmlformats.org/officeDocument/2006/relationships" name="91_의사결정" sheetId="8" r:id="Rfceb8ddb6fc74980"/>
    <x:sheet xmlns:r="http://schemas.openxmlformats.org/officeDocument/2006/relationships" name="99_목록" sheetId="9" r:id="Rd5c5718711104d5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ED7D31"/>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d556e958c948e2" /><Relationship Type="http://schemas.openxmlformats.org/officeDocument/2006/relationships/theme" Target="/xl/theme/theme1.xml" Id="Rcc6cc92a9657428c" /><Relationship Type="http://schemas.openxmlformats.org/officeDocument/2006/relationships/sharedStrings" Target="/xl/sharedStrings.xml" Id="R3d98a845440b4752" /><Relationship Type="http://schemas.openxmlformats.org/officeDocument/2006/relationships/worksheet" Target="/xl/worksheets/sheet1.xml" Id="R58d578dbe92242f4" /><Relationship Type="http://schemas.openxmlformats.org/officeDocument/2006/relationships/worksheet" Target="/xl/worksheets/sheet2.xml" Id="Raa82cadf0f6e4fb9" /><Relationship Type="http://schemas.openxmlformats.org/officeDocument/2006/relationships/worksheet" Target="/xl/worksheets/sheet3.xml" Id="Rce1922a85c8c4182" /><Relationship Type="http://schemas.openxmlformats.org/officeDocument/2006/relationships/worksheet" Target="/xl/worksheets/sheet4.xml" Id="Ref74574039cb489e" /><Relationship Type="http://schemas.openxmlformats.org/officeDocument/2006/relationships/worksheet" Target="/xl/worksheets/sheet5.xml" Id="R1567dfcdcb5b4fac" /><Relationship Type="http://schemas.openxmlformats.org/officeDocument/2006/relationships/worksheet" Target="/xl/worksheets/sheet6.xml" Id="Re37643b832624d09" /><Relationship Type="http://schemas.openxmlformats.org/officeDocument/2006/relationships/worksheet" Target="/xl/worksheets/sheet7.xml" Id="R7c035b885a074412" /><Relationship Type="http://schemas.openxmlformats.org/officeDocument/2006/relationships/worksheet" Target="/xl/worksheets/sheet8.xml" Id="Rfceb8ddb6fc74980" /><Relationship Type="http://schemas.openxmlformats.org/officeDocument/2006/relationships/worksheet" Target="/xl/worksheets/sheet9.xml" Id="Rd5c5718711104d5c" /></Relationships>
</file>

<file path=xl/drawings/_rels/drawing1.xml.rels>&#65279;<?xml version="1.0" encoding="utf-8"?><Relationships xmlns="http://schemas.openxmlformats.org/package/2006/relationships"><Relationship Type="http://schemas.openxmlformats.org/officeDocument/2006/relationships/chart" Target="/xl/drawings/charts/chart1.xml" Id="R74b7531d5c5847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b7531d5c5847a5"/>
        </a:graphicData>
      </a:graphic>
    </xdr:graphicFrame>
    <xdr:clientData/>
  </xdr:twoCellAnchor>
</xdr:wsDr>
</file>

<file path=xl/tables/table1.xml><?xml version="1.0" encoding="utf-8"?>
<x:table xmlns:x="http://schemas.openxmlformats.org/spreadsheetml/2006/main" id="8" name="BacklogTable" displayName="BacklogTable" ref="A1:AJ26"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ONLSpec1" displayName="ONLSpec1" ref="A1:G8" headerRowCount="1">
  <x:tableColumns count="7">
    <x:tableColumn id="1" name="상태"/>
    <x:tableColumn id="2" name="진입 조건"/>
    <x:tableColumn id="3" name="허용 동작"/>
    <x:tableColumn id="4" name="종료 상태"/>
    <x:tableColumn id="5" name="시간 제한"/>
    <x:tableColumn id="6" name="실패 처리"/>
    <x:tableColumn id="7" name="관련 ID"/>
  </x:tableColumns>
  <x:tableStyleInfo name="TableStyleMedium2" showRowStripes="1"/>
</x:table>
</file>

<file path=xl/tables/table3.xml><?xml version="1.0" encoding="utf-8"?>
<x:table xmlns:x="http://schemas.openxmlformats.org/spreadsheetml/2006/main" id="3" name="ONLSpec2" displayName="ONLSpec2" ref="A1:H8" headerRowCount="1">
  <x:tableColumns count="8">
    <x:tableColumn id="1" name="오류 코드"/>
    <x:tableColumn id="2" name="범주"/>
    <x:tableColumn id="3" name="사용자 표시 키"/>
    <x:tableColumn id="4" name="재시도"/>
    <x:tableColumn id="5" name="주요 원인"/>
    <x:tableColumn id="6" name="복구 경로"/>
    <x:tableColumn id="7" name="로그 수준"/>
    <x:tableColumn id="8" name="관련 ID"/>
  </x:tableColumns>
  <x:tableStyleInfo name="TableStyleMedium2" showRowStripes="1"/>
</x:table>
</file>

<file path=xl/tables/table4.xml><?xml version="1.0" encoding="utf-8"?>
<x:table xmlns:x="http://schemas.openxmlformats.org/spreadsheetml/2006/main" id="4" name="ONLSpec3" displayName="ONLSpec3" ref="A1:G7" headerRowCount="1">
  <x:tableColumns count="7">
    <x:tableColumn id="1" name="클라이언트"/>
    <x:tableColumn id="2" name="서버"/>
    <x:tableColumn id="3" name="프로토콜"/>
    <x:tableColumn id="4" name="설정"/>
    <x:tableColumn id="5" name="콘텐츠"/>
    <x:tableColumn id="6" name="참가 가능 여부"/>
    <x:tableColumn id="7" name="처리"/>
  </x:tableColumns>
  <x:tableStyleInfo name="TableStyleMedium2" showRowStripes="1"/>
</x:table>
</file>

<file path=xl/tables/table5.xml><?xml version="1.0" encoding="utf-8"?>
<x:table xmlns:x="http://schemas.openxmlformats.org/spreadsheetml/2006/main" id="9" name="QACasesTable" displayName="QACasesTable" ref="A1:V43"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25d40e2995d4840" /></Relationships>
</file>

<file path=xl/worksheets/_rels/sheet2.xml.rels>&#65279;<?xml version="1.0" encoding="utf-8"?><Relationships xmlns="http://schemas.openxmlformats.org/package/2006/relationships"><Relationship Type="http://schemas.openxmlformats.org/officeDocument/2006/relationships/table" Target="/xl/tables/table1.xml" Id="Rc40d6af33bfd4de3" /></Relationships>
</file>

<file path=xl/worksheets/_rels/sheet3.xml.rels>&#65279;<?xml version="1.0" encoding="utf-8"?><Relationships xmlns="http://schemas.openxmlformats.org/package/2006/relationships"><Relationship Type="http://schemas.openxmlformats.org/officeDocument/2006/relationships/table" Target="/xl/tables/table2.xml" Id="R548ee94be10748ff" /></Relationships>
</file>

<file path=xl/worksheets/_rels/sheet4.xml.rels>&#65279;<?xml version="1.0" encoding="utf-8"?><Relationships xmlns="http://schemas.openxmlformats.org/package/2006/relationships"><Relationship Type="http://schemas.openxmlformats.org/officeDocument/2006/relationships/table" Target="/xl/tables/table3.xml" Id="Rb45db446036c4e4a" /></Relationships>
</file>

<file path=xl/worksheets/_rels/sheet5.xml.rels>&#65279;<?xml version="1.0" encoding="utf-8"?><Relationships xmlns="http://schemas.openxmlformats.org/package/2006/relationships"><Relationship Type="http://schemas.openxmlformats.org/officeDocument/2006/relationships/table" Target="/xl/tables/table4.xml" Id="R8c7d0f164e5a4f30" /></Relationships>
</file>

<file path=xl/worksheets/_rels/sheet6.xml.rels>&#65279;<?xml version="1.0" encoding="utf-8"?><Relationships xmlns="http://schemas.openxmlformats.org/package/2006/relationships"><Relationship Type="http://schemas.openxmlformats.org/officeDocument/2006/relationships/table" Target="/xl/tables/table5.xml" Id="R289f8fcb40b946c8" /></Relationships>
</file>

<file path=xl/worksheets/_rels/sheet7.xml.rels>&#65279;<?xml version="1.0" encoding="utf-8"?><Relationships xmlns="http://schemas.openxmlformats.org/package/2006/relationships"><Relationship Type="http://schemas.openxmlformats.org/officeDocument/2006/relationships/table" Target="/xl/tables/table6.xml" Id="R8bef6a81297a4e8c" /></Relationships>
</file>

<file path=xl/worksheets/_rels/sheet8.xml.rels>&#65279;<?xml version="1.0" encoding="utf-8"?><Relationships xmlns="http://schemas.openxmlformats.org/package/2006/relationships"><Relationship Type="http://schemas.openxmlformats.org/officeDocument/2006/relationships/table" Target="/xl/tables/table7.xml" Id="R60a7818c9379427b"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온라인·로비·매치메이킹 구현 관리대장</x:v>
      </x:c>
      <x:c r="B1" s="5"/>
      <x:c r="C1" s="5"/>
      <x:c r="D1" s="5"/>
      <x:c r="E1" s="5"/>
      <x:c r="F1" s="5"/>
      <x:c r="G1" s="5"/>
      <x:c r="H1" s="5"/>
    </x:row>
    <x:row r="2" ht="28" customHeight="1">
      <x:c r="A2" s="13" t="str">
        <x:v>버전 2.0-ko / 갱신일 2026-07-10 / 담당 부문: 온라인 엔지니어링</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COUNTA('01_백로그'!A2:A26)</x:f>
        <x:v>25</x:v>
      </x:c>
      <x:c r="C5" s="27" t="str">
        <x:v>백로그 전체 수</x:v>
      </x:c>
      <x:c r="D5" s="27"/>
      <x:c r="E5" s="27" t="str">
        <x:v>미착수</x:v>
      </x:c>
      <x:c r="F5" s="27" t="n">
        <x:f>COUNTIF('01_백로그'!U2:U26,E5)</x:f>
        <x:v>25</x:v>
      </x:c>
      <x:c r="G5" s="28" t="n">
        <x:f>IFERROR(F5/$B$5,0)</x:f>
        <x:v>1</x:v>
      </x:c>
      <x:c r="H5" s="27"/>
    </x:row>
    <x:row r="6">
      <x:c r="A6" s="27" t="str">
        <x:v>MVP 작업</x:v>
      </x:c>
      <x:c r="B6" s="27" t="n">
        <x:f>COUNTIF('01_백로그'!I2:I26,"MVP")</x:f>
        <x:v>13</x:v>
      </x:c>
      <x:c r="C6" s="27" t="str">
        <x:v>MVP 범위</x:v>
      </x:c>
      <x:c r="D6" s="27"/>
      <x:c r="E6" s="27" t="str">
        <x:v>사양 확인 중</x:v>
      </x:c>
      <x:c r="F6" s="27" t="n">
        <x:f>COUNTIF('01_백로그'!U2:U26,E6)</x:f>
        <x:v>0</x:v>
      </x:c>
      <x:c r="G6" s="28" t="n">
        <x:f>IFERROR(F6/$B$5,0)</x:f>
        <x:v>0</x:v>
      </x:c>
      <x:c r="H6" s="27"/>
    </x:row>
    <x:row r="7">
      <x:c r="A7" s="27" t="str">
        <x:v>P0 미완료</x:v>
      </x:c>
      <x:c r="B7" s="27" t="n">
        <x:f>COUNTIFS('01_백로그'!J2:J26,"P0",'01_백로그'!U2:U26,"&lt;&gt;완료")</x:f>
        <x:v>17</x:v>
      </x:c>
      <x:c r="C7" s="27" t="str">
        <x:v>P0이며 완료되지 않은 항목</x:v>
      </x:c>
      <x:c r="D7" s="27"/>
      <x:c r="E7" s="27" t="str">
        <x:v>구현 중</x:v>
      </x:c>
      <x:c r="F7" s="27" t="n">
        <x:f>COUNTIF('01_백로그'!U2:U26,E7)</x:f>
        <x:v>0</x:v>
      </x:c>
      <x:c r="G7" s="28" t="n">
        <x:f>IFERROR(F7/$B$5,0)</x:f>
        <x:v>0</x:v>
      </x:c>
      <x:c r="H7" s="27"/>
    </x:row>
    <x:row r="8">
      <x:c r="A8" s="27" t="str">
        <x:v>차단</x:v>
      </x:c>
      <x:c r="B8" s="27" t="n">
        <x:f>COUNTIF('01_백로그'!U2:U26,"차단")</x:f>
        <x:v>0</x:v>
      </x:c>
      <x:c r="C8" s="27" t="str">
        <x:v>현재 진행을 막는 항목</x:v>
      </x:c>
      <x:c r="D8" s="27"/>
      <x:c r="E8" s="27" t="str">
        <x:v>코드 리뷰</x:v>
      </x:c>
      <x:c r="F8" s="27" t="n">
        <x:f>COUNTIF('01_백로그'!U2:U26,E8)</x:f>
        <x:v>0</x:v>
      </x:c>
      <x:c r="G8" s="28" t="n">
        <x:f>IFERROR(F8/$B$5,0)</x:f>
        <x:v>0</x:v>
      </x:c>
      <x:c r="H8" s="27"/>
    </x:row>
    <x:row r="9">
      <x:c r="A9" s="27" t="str">
        <x:v>완료</x:v>
      </x:c>
      <x:c r="B9" s="27" t="n">
        <x:f>COUNTIF('01_백로그'!U2:U26,"완료")</x:f>
        <x:v>0</x:v>
      </x:c>
      <x:c r="C9" s="27" t="str">
        <x:v>완료 정의·QA·증빙 충족</x:v>
      </x:c>
      <x:c r="D9" s="27"/>
      <x:c r="E9" s="27" t="str">
        <x:v>QA 진행 중</x:v>
      </x:c>
      <x:c r="F9" s="27" t="n">
        <x:f>COUNTIF('01_백로그'!U2:U26,E9)</x:f>
        <x:v>0</x:v>
      </x:c>
      <x:c r="G9" s="28" t="n">
        <x:f>IFERROR(F9/$B$5,0)</x:f>
        <x:v>0</x:v>
      </x:c>
      <x:c r="H9" s="27"/>
    </x:row>
    <x:row r="10">
      <x:c r="A10" s="27" t="str">
        <x:v>평균 진행률</x:v>
      </x:c>
      <x:c r="B10" s="28" t="n">
        <x:f>IFERROR(AVERAGE('01_백로그'!V2:V26),0)</x:f>
        <x:v>0</x:v>
      </x:c>
      <x:c r="C10" s="27" t="str">
        <x:v>상태별 진행률 환산 평균</x:v>
      </x:c>
      <x:c r="D10" s="27"/>
      <x:c r="E10" s="27" t="str">
        <x:v>차단</x:v>
      </x:c>
      <x:c r="F10" s="27" t="n">
        <x:f>COUNTIF('01_백로그'!U2:U26,E10)</x:f>
        <x:v>0</x:v>
      </x:c>
      <x:c r="G10" s="28" t="n">
        <x:f>IFERROR(F10/$B$5,0)</x:f>
        <x:v>0</x:v>
      </x:c>
      <x:c r="H10" s="27"/>
    </x:row>
    <x:row r="11">
      <x:c r="A11" s="27" t="str">
        <x:v>QA 합격률</x:v>
      </x:c>
      <x:c r="B11" s="28" t="n">
        <x:f>IFERROR(COUNTIF('80_QA_케이스'!M2:M43,"합격")/COUNTIF('80_QA_케이스'!M2:M43,"&lt;&gt;대상 제외"),0)</x:f>
        <x:v>0</x:v>
      </x:c>
      <x:c r="C11" s="27" t="str">
        <x:v>대상 QA 중 통과 비율</x:v>
      </x:c>
      <x:c r="D11" s="27"/>
      <x:c r="E11" s="27" t="str">
        <x:v>완료</x:v>
      </x:c>
      <x:c r="F11" s="27" t="n">
        <x:f>COUNTIF('01_백로그'!U2:U26,E11)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COUNTIF('01_백로그'!U2:U26,E12)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b25d40e2995d4840"/>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ONL-001</x:v>
      </x:c>
      <x:c r="B2" s="36" t="str">
        <x:v>온라인·로비·매치메이킹</x:v>
      </x:c>
      <x:c r="C2" s="36" t="str">
        <x:v>온라인 초기화</x:v>
      </x:c>
      <x:c r="D2" s="36" t="str">
        <x:v>서비스 연결</x:v>
      </x:c>
      <x:c r="E2" s="36" t="str">
        <x:v>온라인 서비스 초기화·연결 상태</x:v>
      </x:c>
      <x:c r="F2" s="36" t="str">
        <x:v>게임 규칙, 운영 요구사항과 대상 플랫폼 제약을 충족하도록 온라인 서비스 초기화·연결 상태 기능을 구현하고 검증한다.</x:v>
      </x:c>
      <x:c r="G2" s="36" t="str">
        <x:v>시작 시 인증, 로비, 매치, 음성 서비스의 상태를 확인하고 사용할 수 없는 서비스는 사유와 함께 관련 기능을 제한한다.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온라인 기반</x:v>
      </x:c>
      <x:c r="M2" s="36" t="str">
        <x:v>MVP</x:v>
      </x:c>
      <x:c r="N2" s="36" t="str">
        <x:v>온라인 엔지니어링</x:v>
      </x:c>
      <x:c r="O2" s="36" t="str">
        <x:v>미정</x:v>
      </x:c>
      <x:c r="P2" s="36" t="str">
        <x:v>미정</x:v>
      </x:c>
      <x:c r="Q2" s="36" t="str">
        <x:v>전체</x:v>
      </x:c>
      <x:c r="R2" s="36" t="str">
        <x:v>백엔드 권한</x:v>
      </x:c>
      <x:c r="S2" s="36" t="str">
        <x:v>세션</x:v>
      </x:c>
      <x:c r="T2" s="36" t="str">
        <x:v>L</x:v>
      </x:c>
      <x:c r="U2" s="36" t="str">
        <x:v>미착수</x:v>
      </x:c>
      <x:c r="V2" s="46" t="n">
        <x:f>IF(U2="완료",1,IF(U2="QA 진행 중",0.8,IF(U2="코드 리뷰",0.65,IF(U2="구현 중",0.4,IF(U2="사양 확인 중",0.1,IF(U2="차단",0.4,0))))))</x:f>
        <x:v>0</x:v>
      </x:c>
      <x:c r="W2" s="36" t="str">
        <x:v>미정</x:v>
      </x:c>
      <x:c r="X2" s="44"/>
      <x:c r="Y2" s="36" t="str">
        <x:v>BED-001</x:v>
      </x:c>
      <x:c r="Z2" s="36" t="str">
        <x:v>중간</x:v>
      </x:c>
      <x:c r="AA2" s="36" t="str">
        <x:v>통합</x:v>
      </x:c>
      <x:c r="AB2" s="36" t="str">
        <x:v>TC-ONL-001-01, TC-ONL-001-02</x:v>
      </x:c>
      <x:c r="AC2" s="36"/>
      <x:c r="AD2" s="36" t="str">
        <x:v>게임 기획서</x:v>
      </x:c>
      <x:c r="AE2" s="36"/>
      <x:c r="AF2" s="44" t="str">
        <x:v>2026-07-10</x:v>
      </x:c>
      <x:c r="AG2" s="36"/>
      <x:c r="AH2" s="54"/>
      <x:c r="AI2" s="54"/>
      <x:c r="AJ2" s="53" t="str">
        <x:v>착수 전</x:v>
      </x:c>
    </x:row>
    <x:row r="3" ht="42" customHeight="1">
      <x:c r="A3" s="36" t="str">
        <x:v>ONL-002</x:v>
      </x:c>
      <x:c r="B3" s="36" t="str">
        <x:v>온라인·로비·매치메이킹</x:v>
      </x:c>
      <x:c r="C3" s="36" t="str">
        <x:v>온라인 초기화</x:v>
      </x:c>
      <x:c r="D3" s="36" t="str">
        <x:v>식별</x:v>
      </x:c>
      <x:c r="E3" s="36" t="str">
        <x:v>플랫폼 ID·게임 내부 ID 연결</x:v>
      </x:c>
      <x:c r="F3" s="36" t="str">
        <x:v>게임 규칙, 운영 요구사항과 대상 플랫폼 제약을 충족하도록 플랫폼 ID·게임 내부 ID 연결 기능을 구현하고 검증한다.</x:v>
      </x:c>
      <x:c r="G3" s="36" t="str">
        <x:v>중복 로그인, 만료 토큰, 계정 전환을 처리하고 표시 이름과 내부 식별자를 분리한다.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인증</x:v>
      </x:c>
      <x:c r="M3" s="36" t="str">
        <x:v>MVP</x:v>
      </x:c>
      <x:c r="N3" s="36" t="str">
        <x:v>온라인 엔지니어링</x:v>
      </x:c>
      <x:c r="O3" s="36" t="str">
        <x:v>미정</x:v>
      </x:c>
      <x:c r="P3" s="36" t="str">
        <x:v>미정</x:v>
      </x:c>
      <x:c r="Q3" s="36" t="str">
        <x:v>전체</x:v>
      </x:c>
      <x:c r="R3" s="36" t="str">
        <x:v>백엔드 권한</x:v>
      </x:c>
      <x:c r="S3" s="36" t="str">
        <x:v>계정</x:v>
      </x:c>
      <x:c r="T3" s="36" t="str">
        <x:v>L</x:v>
      </x:c>
      <x:c r="U3" s="36" t="str">
        <x:v>미착수</x:v>
      </x:c>
      <x:c r="V3" s="46" t="n">
        <x:f>IF(U3="완료",1,IF(U3="QA 진행 중",0.8,IF(U3="코드 리뷰",0.65,IF(U3="구현 중",0.4,IF(U3="사양 확인 중",0.1,IF(U3="차단",0.4,0))))))</x:f>
        <x:v>0</x:v>
      </x:c>
      <x:c r="W3" s="36" t="str">
        <x:v>미정</x:v>
      </x:c>
      <x:c r="X3" s="44"/>
      <x:c r="Y3" s="36" t="str">
        <x:v>BED-001,BED-002</x:v>
      </x:c>
      <x:c r="Z3" s="36" t="str">
        <x:v>중간</x:v>
      </x:c>
      <x:c r="AA3" s="36" t="str">
        <x:v>보안</x:v>
      </x:c>
      <x:c r="AB3" s="36" t="str">
        <x:v>TC-ONL-002-01, TC-ONL-002-02</x:v>
      </x:c>
      <x:c r="AC3" s="36"/>
      <x:c r="AD3" s="36" t="str">
        <x:v>게임 기획서</x:v>
      </x:c>
      <x:c r="AE3" s="36"/>
      <x:c r="AF3" s="44" t="str">
        <x:v>2026-07-10</x:v>
      </x:c>
      <x:c r="AG3" s="36"/>
      <x:c r="AH3" s="54"/>
      <x:c r="AI3" s="54"/>
      <x:c r="AJ3" s="53" t="str">
        <x:v>착수 전</x:v>
      </x:c>
    </x:row>
    <x:row r="4" ht="42" customHeight="1">
      <x:c r="A4" s="36" t="str">
        <x:v>ONL-003</x:v>
      </x:c>
      <x:c r="B4" s="36" t="str">
        <x:v>온라인·로비·매치메이킹</x:v>
      </x:c>
      <x:c r="C4" s="36" t="str">
        <x:v>연결성</x:v>
      </x:c>
      <x:c r="D4" s="36" t="str">
        <x:v>지역</x:v>
      </x:c>
      <x:c r="E4" s="36" t="str">
        <x:v>자동 지역 선택·수동 재지정</x:v>
      </x:c>
      <x:c r="F4" s="36" t="str">
        <x:v>게임 규칙, 운영 요구사항과 대상 플랫폼 제약을 충족하도록 자동 지역 선택·수동 재지정 기능을 구현하고 검증한다.</x:v>
      </x:c>
      <x:c r="G4" s="36" t="str">
        <x:v>측정 핑과 서비스 가용성을 기준으로 지역을 선택하고 수동 선택 시 예상 지연을 표시한다. 지역 변경은 매치 시작 전에만 허용한다.</x:v>
      </x:c>
      <x:c r="H4" s="36" t="str">
        <x:v>구현, 코드 리뷰, 사양 갱신, 대상 QA 케이스 실행, 로그·텔레메트리 확인과 관련 플랫폼 검증을 완료하고 미해결 P0·P1 결함이 없다.</x:v>
      </x:c>
      <x:c r="I4" s="36" t="str">
        <x:v>알파</x:v>
      </x:c>
      <x:c r="J4" s="36" t="str">
        <x:v>P1</x:v>
      </x:c>
      <x:c r="K4" s="36" t="str">
        <x:v>필수</x:v>
      </x:c>
      <x:c r="L4" s="36" t="str">
        <x:v>연결 품질</x:v>
      </x:c>
      <x:c r="M4" s="36" t="str">
        <x:v>알파</x:v>
      </x:c>
      <x:c r="N4" s="36" t="str">
        <x:v>온라인 엔지니어링</x:v>
      </x:c>
      <x:c r="O4" s="36" t="str">
        <x:v>미정</x:v>
      </x:c>
      <x:c r="P4" s="36" t="str">
        <x:v>미정</x:v>
      </x:c>
      <x:c r="Q4" s="36" t="str">
        <x:v>전체</x:v>
      </x:c>
      <x:c r="R4" s="36" t="str">
        <x:v>클라이언트 로컬</x:v>
      </x:c>
      <x:c r="S4" s="36" t="str">
        <x:v>단말 로컬</x:v>
      </x:c>
      <x:c r="T4" s="36" t="str">
        <x:v>M</x:v>
      </x:c>
      <x:c r="U4" s="36" t="str">
        <x:v>미착수</x:v>
      </x:c>
      <x:c r="V4" s="46" t="n">
        <x:f>IF(U4="완료",1,IF(U4="QA 진행 중",0.8,IF(U4="코드 리뷰",0.65,IF(U4="구현 중",0.4,IF(U4="사양 확인 중",0.1,IF(U4="차단",0.4,0))))))</x:f>
        <x:v>0</x:v>
      </x:c>
      <x:c r="W4" s="36" t="str">
        <x:v>미정</x:v>
      </x:c>
      <x:c r="X4" s="44"/>
      <x:c r="Y4" s="36" t="str">
        <x:v>NET-023</x:v>
      </x:c>
      <x:c r="Z4" s="36" t="str">
        <x:v>중간</x:v>
      </x:c>
      <x:c r="AA4" s="36" t="str">
        <x:v>네트워크</x:v>
      </x:c>
      <x:c r="AB4" s="36" t="str">
        <x:v>TC-ONL-003-01</x:v>
      </x:c>
      <x:c r="AC4" s="36"/>
      <x:c r="AD4" s="36" t="str">
        <x:v>게임 기획서</x:v>
      </x:c>
      <x:c r="AE4" s="36"/>
      <x:c r="AF4" s="44" t="str">
        <x:v>2026-07-10</x:v>
      </x:c>
      <x:c r="AG4" s="36"/>
      <x:c r="AH4" s="54"/>
      <x:c r="AI4" s="54"/>
      <x:c r="AJ4" s="53" t="str">
        <x:v>착수 전</x:v>
      </x:c>
    </x:row>
    <x:row r="5" ht="42" customHeight="1">
      <x:c r="A5" s="36" t="str">
        <x:v>ONL-004</x:v>
      </x:c>
      <x:c r="B5" s="36" t="str">
        <x:v>온라인·로비·매치메이킹</x:v>
      </x:c>
      <x:c r="C5" s="36" t="str">
        <x:v>로비</x:v>
      </x:c>
      <x:c r="D5" s="36" t="str">
        <x:v>생성</x:v>
      </x:c>
      <x:c r="E5" s="36" t="str">
        <x:v>룸 생성·고유 세션 ID 발급</x:v>
      </x:c>
      <x:c r="F5" s="36" t="str">
        <x:v>게임 규칙, 운영 요구사항과 대상 플랫폼 제약을 충족하도록 룸 생성·고유 세션 ID 발급 기능을 구현하고 검증한다.</x:v>
      </x:c>
      <x:c r="G5" s="36" t="str">
        <x:v>룸 생성 요청에 대해 고유 세션, 참가 코드, 설정 버전, 호스트 권한을 발급하고 실패할 경우 고립 세션을 남기지 않는다.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로비</x:v>
      </x:c>
      <x:c r="M5" s="36" t="str">
        <x:v>MVP</x:v>
      </x:c>
      <x:c r="N5" s="36" t="str">
        <x:v>온라인 엔지니어링</x:v>
      </x:c>
      <x:c r="O5" s="36" t="str">
        <x:v>미정</x:v>
      </x:c>
      <x:c r="P5" s="36" t="str">
        <x:v>미정</x:v>
      </x:c>
      <x:c r="Q5" s="36" t="str">
        <x:v>전체</x:v>
      </x:c>
      <x:c r="R5" s="36" t="str">
        <x:v>백엔드 권한</x:v>
      </x:c>
      <x:c r="S5" s="36" t="str">
        <x:v>세션</x:v>
      </x:c>
      <x:c r="T5" s="36" t="str">
        <x:v>L</x:v>
      </x:c>
      <x:c r="U5" s="36" t="str">
        <x:v>미착수</x:v>
      </x:c>
      <x:c r="V5" s="46" t="n">
        <x:f>IF(U5="완료",1,IF(U5="QA 진행 중",0.8,IF(U5="코드 리뷰",0.65,IF(U5="구현 중",0.4,IF(U5="사양 확인 중",0.1,IF(U5="차단",0.4,0))))))</x:f>
        <x:v>0</x:v>
      </x:c>
      <x:c r="W5" s="36" t="str">
        <x:v>미정</x:v>
      </x:c>
      <x:c r="X5" s="44"/>
      <x:c r="Y5" s="36" t="str">
        <x:v>ONL-001,SET-020</x:v>
      </x:c>
      <x:c r="Z5" s="36" t="str">
        <x:v>중간</x:v>
      </x:c>
      <x:c r="AA5" s="36" t="str">
        <x:v>통합</x:v>
      </x:c>
      <x:c r="AB5" s="36" t="str">
        <x:v>TC-ONL-004-01, TC-ONL-004-02</x:v>
      </x:c>
      <x:c r="AC5" s="36"/>
      <x:c r="AD5" s="36" t="str">
        <x:v>게임 기획서</x:v>
      </x:c>
      <x:c r="AE5" s="36"/>
      <x:c r="AF5" s="44" t="str">
        <x:v>2026-07-10</x:v>
      </x:c>
      <x:c r="AG5" s="36"/>
      <x:c r="AH5" s="54"/>
      <x:c r="AI5" s="54"/>
      <x:c r="AJ5" s="53" t="str">
        <x:v>착수 전</x:v>
      </x:c>
    </x:row>
    <x:row r="6" ht="42" customHeight="1">
      <x:c r="A6" s="36" t="str">
        <x:v>ONL-005</x:v>
      </x:c>
      <x:c r="B6" s="36" t="str">
        <x:v>온라인·로비·매치메이킹</x:v>
      </x:c>
      <x:c r="C6" s="36" t="str">
        <x:v>로비</x:v>
      </x:c>
      <x:c r="D6" s="36" t="str">
        <x:v>개인정보</x:v>
      </x:c>
      <x:c r="E6" s="36" t="str">
        <x:v>공개·비공개·초대 전용 룸</x:v>
      </x:c>
      <x:c r="F6" s="36" t="str">
        <x:v>게임 규칙, 운영 요구사항과 대상 플랫폼 제약을 충족하도록 공개·비공개·초대 전용 룸 기능을 구현하고 검증한다.</x:v>
      </x:c>
      <x:c r="G6" s="36" t="str">
        <x:v>공개 범위에 따라 검색, 코드 참가, 초대 참가를 제어하고 권한이 없는 클라이언트의 설정 변경 요청을 거부한다.</x:v>
      </x:c>
      <x:c r="H6" s="36" t="str">
        <x:v>구현, 코드 리뷰, 사양 갱신, 대상 QA 케이스 실행, 로그·텔레메트리 확인과 관련 플랫폼 검증을 완료하고 미해결 P0·P1 결함이 없다.</x:v>
      </x:c>
      <x:c r="I6" s="36" t="str">
        <x:v>알파</x:v>
      </x:c>
      <x:c r="J6" s="36" t="str">
        <x:v>P1</x:v>
      </x:c>
      <x:c r="K6" s="36" t="str">
        <x:v>필수</x:v>
      </x:c>
      <x:c r="L6" s="36" t="str">
        <x:v>로비</x:v>
      </x:c>
      <x:c r="M6" s="36" t="str">
        <x:v>알파</x:v>
      </x:c>
      <x:c r="N6" s="36" t="str">
        <x:v>온라인 엔지니어링</x:v>
      </x:c>
      <x:c r="O6" s="36" t="str">
        <x:v>미정</x:v>
      </x:c>
      <x:c r="P6" s="36" t="str">
        <x:v>미정</x:v>
      </x:c>
      <x:c r="Q6" s="36" t="str">
        <x:v>전체</x:v>
      </x:c>
      <x:c r="R6" s="36" t="str">
        <x:v>백엔드 권한</x:v>
      </x:c>
      <x:c r="S6" s="36" t="str">
        <x:v>세션</x:v>
      </x:c>
      <x:c r="T6" s="36" t="str">
        <x:v>M</x:v>
      </x:c>
      <x:c r="U6" s="36" t="str">
        <x:v>미착수</x:v>
      </x:c>
      <x:c r="V6" s="46" t="n">
        <x:f>IF(U6="완료",1,IF(U6="QA 진행 중",0.8,IF(U6="코드 리뷰",0.65,IF(U6="구현 중",0.4,IF(U6="사양 확인 중",0.1,IF(U6="차단",0.4,0))))))</x:f>
        <x:v>0</x:v>
      </x:c>
      <x:c r="W6" s="36" t="str">
        <x:v>미정</x:v>
      </x:c>
      <x:c r="X6" s="44"/>
      <x:c r="Y6" s="36" t="str">
        <x:v>ONL-004</x:v>
      </x:c>
      <x:c r="Z6" s="36" t="str">
        <x:v>중간</x:v>
      </x:c>
      <x:c r="AA6" s="36" t="str">
        <x:v>보안</x:v>
      </x:c>
      <x:c r="AB6" s="36" t="str">
        <x:v>TC-ONL-005-01</x:v>
      </x:c>
      <x:c r="AC6" s="36"/>
      <x:c r="AD6" s="36" t="str">
        <x:v>게임 기획서</x:v>
      </x:c>
      <x:c r="AE6" s="36"/>
      <x:c r="AF6" s="44" t="str">
        <x:v>2026-07-10</x:v>
      </x:c>
      <x:c r="AG6" s="36"/>
      <x:c r="AH6" s="54"/>
      <x:c r="AI6" s="54"/>
      <x:c r="AJ6" s="53" t="str">
        <x:v>착수 전</x:v>
      </x:c>
    </x:row>
    <x:row r="7" ht="42" customHeight="1">
      <x:c r="A7" s="36" t="str">
        <x:v>ONL-006</x:v>
      </x:c>
      <x:c r="B7" s="36" t="str">
        <x:v>온라인·로비·매치메이킹</x:v>
      </x:c>
      <x:c r="C7" s="36" t="str">
        <x:v>로비</x:v>
      </x:c>
      <x:c r="D7" s="36" t="str">
        <x:v>참가 코드</x:v>
      </x:c>
      <x:c r="E7" s="36" t="str">
        <x:v>룸 코드 참가·유효 기간</x:v>
      </x:c>
      <x:c r="F7" s="36" t="str">
        <x:v>게임 규칙, 운영 요구사항과 대상 플랫폼 제약을 충족하도록 룸 코드 참가·유효 기간 기능을 구현하고 검증한다.</x:v>
      </x:c>
      <x:c r="G7" s="36" t="str">
        <x:v>대소문자와 혼동 문자를 정규화하고 만료, 만원, 시작됨, 차단, 버전 불일치 사유를 구분해 반환한다.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로비</x:v>
      </x:c>
      <x:c r="M7" s="36" t="str">
        <x:v>MVP</x:v>
      </x:c>
      <x:c r="N7" s="36" t="str">
        <x:v>온라인 엔지니어링</x:v>
      </x:c>
      <x:c r="O7" s="36" t="str">
        <x:v>미정</x:v>
      </x:c>
      <x:c r="P7" s="36" t="str">
        <x:v>미정</x:v>
      </x:c>
      <x:c r="Q7" s="36" t="str">
        <x:v>전체</x:v>
      </x:c>
      <x:c r="R7" s="36" t="str">
        <x:v>백엔드 권한</x:v>
      </x:c>
      <x:c r="S7" s="36" t="str">
        <x:v>세션</x:v>
      </x:c>
      <x:c r="T7" s="36" t="str">
        <x:v>L</x:v>
      </x:c>
      <x:c r="U7" s="36" t="str">
        <x:v>미착수</x:v>
      </x:c>
      <x:c r="V7" s="46" t="n">
        <x:f>IF(U7="완료",1,IF(U7="QA 진행 중",0.8,IF(U7="코드 리뷰",0.65,IF(U7="구현 중",0.4,IF(U7="사양 확인 중",0.1,IF(U7="차단",0.4,0))))))</x:f>
        <x:v>0</x:v>
      </x:c>
      <x:c r="W7" s="36" t="str">
        <x:v>미정</x:v>
      </x:c>
      <x:c r="X7" s="44"/>
      <x:c r="Y7" s="36" t="str">
        <x:v>ONL-004,ONL-020</x:v>
      </x:c>
      <x:c r="Z7" s="36" t="str">
        <x:v>중간</x:v>
      </x:c>
      <x:c r="AA7" s="36" t="str">
        <x:v>경계값</x:v>
      </x:c>
      <x:c r="AB7" s="36" t="str">
        <x:v>TC-ONL-006-01, TC-ONL-006-02</x:v>
      </x:c>
      <x:c r="AC7" s="36"/>
      <x:c r="AD7" s="36" t="str">
        <x:v>게임 기획서</x:v>
      </x:c>
      <x:c r="AE7" s="36"/>
      <x:c r="AF7" s="44" t="str">
        <x:v>2026-07-10</x:v>
      </x:c>
      <x:c r="AG7" s="36"/>
      <x:c r="AH7" s="54"/>
      <x:c r="AI7" s="54"/>
      <x:c r="AJ7" s="53" t="str">
        <x:v>착수 전</x:v>
      </x:c>
    </x:row>
    <x:row r="8" ht="42" customHeight="1">
      <x:c r="A8" s="36" t="str">
        <x:v>ONL-007</x:v>
      </x:c>
      <x:c r="B8" s="36" t="str">
        <x:v>온라인·로비·매치메이킹</x:v>
      </x:c>
      <x:c r="C8" s="36" t="str">
        <x:v>로비</x:v>
      </x:c>
      <x:c r="D8" s="36" t="str">
        <x:v>참가자·수용 인원</x:v>
      </x:c>
      <x:c r="E8" s="36" t="str">
        <x:v>4~6인 참가자 목록·정원·예약 슬롯</x:v>
      </x:c>
      <x:c r="F8" s="36" t="str">
        <x:v>게임 규칙, 운영 요구사항과 대상 플랫폼 제약을 충족하도록 4~6인 참가자 목록·정원·예약 슬롯 기능을 구현하고 검증한다.</x:v>
      </x:c>
      <x:c r="G8" s="36" t="str">
        <x:v>동시 참가 경쟁 상황에서도 정원을 넘지 않고 재접속 예약 슬롯을 고려해 입장 가능 여부를 원자적으로 결정한다.</x:v>
      </x:c>
      <x:c r="H8" s="36" t="str">
        <x:v>구현, 코드 리뷰, 사양 갱신, 대상 QA 케이스 실행, 로그·텔레메트리 확인과 관련 플랫폼 검증을 완료하고 미해결 P0·P1 결함이 없다.</x:v>
      </x:c>
      <x:c r="I8" s="36" t="str">
        <x:v>MVP</x:v>
      </x:c>
      <x:c r="J8" s="36" t="str">
        <x:v>P0</x:v>
      </x:c>
      <x:c r="K8" s="36" t="str">
        <x:v>필수</x:v>
      </x:c>
      <x:c r="L8" s="36" t="str">
        <x:v>로비</x:v>
      </x:c>
      <x:c r="M8" s="36" t="str">
        <x:v>MVP</x:v>
      </x:c>
      <x:c r="N8" s="36" t="str">
        <x:v>온라인 엔지니어링</x:v>
      </x:c>
      <x:c r="O8" s="36" t="str">
        <x:v>미정</x:v>
      </x:c>
      <x:c r="P8" s="36" t="str">
        <x:v>미정</x:v>
      </x:c>
      <x:c r="Q8" s="36" t="str">
        <x:v>전체</x:v>
      </x:c>
      <x:c r="R8" s="36" t="str">
        <x:v>백엔드 권한</x:v>
      </x:c>
      <x:c r="S8" s="36" t="str">
        <x:v>세션</x:v>
      </x:c>
      <x:c r="T8" s="36" t="str">
        <x:v>L</x:v>
      </x:c>
      <x:c r="U8" s="36" t="str">
        <x:v>미착수</x:v>
      </x:c>
      <x:c r="V8" s="46" t="n">
        <x:f>IF(U8="완료",1,IF(U8="QA 진행 중",0.8,IF(U8="코드 리뷰",0.65,IF(U8="구현 중",0.4,IF(U8="사양 확인 중",0.1,IF(U8="차단",0.4,0))))))</x:f>
        <x:v>0</x:v>
      </x:c>
      <x:c r="W8" s="36" t="str">
        <x:v>미정</x:v>
      </x:c>
      <x:c r="X8" s="44"/>
      <x:c r="Y8" s="36" t="str">
        <x:v>ONL-004,NET-006</x:v>
      </x:c>
      <x:c r="Z8" s="36" t="str">
        <x:v>중간</x:v>
      </x:c>
      <x:c r="AA8" s="36" t="str">
        <x:v>네트워크</x:v>
      </x:c>
      <x:c r="AB8" s="36" t="str">
        <x:v>TC-ONL-007-01, TC-ONL-007-02</x:v>
      </x:c>
      <x:c r="AC8" s="36"/>
      <x:c r="AD8" s="36" t="str">
        <x:v>게임 기획서</x:v>
      </x:c>
      <x:c r="AE8" s="36"/>
      <x:c r="AF8" s="44" t="str">
        <x:v>2026-07-10</x:v>
      </x:c>
      <x:c r="AG8" s="36"/>
      <x:c r="AH8" s="54"/>
      <x:c r="AI8" s="54"/>
      <x:c r="AJ8" s="53" t="str">
        <x:v>착수 전</x:v>
      </x:c>
    </x:row>
    <x:row r="9" ht="42" customHeight="1">
      <x:c r="A9" s="36" t="str">
        <x:v>ONL-008</x:v>
      </x:c>
      <x:c r="B9" s="36" t="str">
        <x:v>온라인·로비·매치메이킹</x:v>
      </x:c>
      <x:c r="C9" s="36" t="str">
        <x:v>로비</x:v>
      </x:c>
      <x:c r="D9" s="36" t="str">
        <x:v>호스트·관리자</x:v>
      </x:c>
      <x:c r="E9" s="36" t="str">
        <x:v>호스트 권한·관리 기능</x:v>
      </x:c>
      <x:c r="F9" s="36" t="str">
        <x:v>게임 규칙, 운영 요구사항과 대상 플랫폼 제약을 충족하도록 호스트 권한·관리 기능 기능을 구현하고 검증한다.</x:v>
      </x:c>
      <x:c r="G9" s="36" t="str">
        <x:v>설정 변경, 시작, 강제 퇴장, 공개 범위 변경은 권한 보유자만 실행할 수 있으며 권한 이전 또는 호스트 이탈 정책을 정의한다.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권한</x:v>
      </x:c>
      <x:c r="M9" s="36" t="str">
        <x:v>MVP</x:v>
      </x:c>
      <x:c r="N9" s="36" t="str">
        <x:v>온라인 엔지니어링</x:v>
      </x:c>
      <x:c r="O9" s="36" t="str">
        <x:v>미정</x:v>
      </x:c>
      <x:c r="P9" s="36" t="str">
        <x:v>미정</x:v>
      </x:c>
      <x:c r="Q9" s="36" t="str">
        <x:v>전체</x:v>
      </x:c>
      <x:c r="R9" s="36" t="str">
        <x:v>백엔드 권한</x:v>
      </x:c>
      <x:c r="S9" s="36" t="str">
        <x:v>세션</x:v>
      </x:c>
      <x:c r="T9" s="36" t="str">
        <x:v>L</x:v>
      </x:c>
      <x:c r="U9" s="36" t="str">
        <x:v>미착수</x:v>
      </x:c>
      <x:c r="V9" s="46" t="n">
        <x:f>IF(U9="완료",1,IF(U9="QA 진행 중",0.8,IF(U9="코드 리뷰",0.65,IF(U9="구현 중",0.4,IF(U9="사양 확인 중",0.1,IF(U9="차단",0.4,0))))))</x:f>
        <x:v>0</x:v>
      </x:c>
      <x:c r="W9" s="36" t="str">
        <x:v>미정</x:v>
      </x:c>
      <x:c r="X9" s="44"/>
      <x:c r="Y9" s="36" t="str">
        <x:v>ONL-004</x:v>
      </x:c>
      <x:c r="Z9" s="36" t="str">
        <x:v>중간</x:v>
      </x:c>
      <x:c r="AA9" s="36" t="str">
        <x:v>보안</x:v>
      </x:c>
      <x:c r="AB9" s="36" t="str">
        <x:v>TC-ONL-008-01, TC-ONL-008-02</x:v>
      </x:c>
      <x:c r="AC9" s="36"/>
      <x:c r="AD9" s="36" t="str">
        <x:v>게임 기획서</x:v>
      </x:c>
      <x:c r="AE9" s="36"/>
      <x:c r="AF9" s="44" t="str">
        <x:v>2026-07-10</x:v>
      </x:c>
      <x:c r="AG9" s="36"/>
      <x:c r="AH9" s="54"/>
      <x:c r="AI9" s="54"/>
      <x:c r="AJ9" s="53" t="str">
        <x:v>착수 전</x:v>
      </x:c>
    </x:row>
    <x:row r="10" ht="42" customHeight="1">
      <x:c r="A10" s="36" t="str">
        <x:v>ONL-009</x:v>
      </x:c>
      <x:c r="B10" s="36" t="str">
        <x:v>온라인·로비·매치메이킹</x:v>
      </x:c>
      <x:c r="C10" s="36" t="str">
        <x:v>로비</x:v>
      </x:c>
      <x:c r="D10" s="36" t="str">
        <x:v>색상 예약</x:v>
      </x:c>
      <x:c r="E10" s="36" t="str">
        <x:v>플레이어 색상 예약·충돌 해소</x:v>
      </x:c>
      <x:c r="F10" s="36" t="str">
        <x:v>게임 규칙, 운영 요구사항과 대상 플랫폼 제약을 충족하도록 플레이어 색상 예약·충돌 해소 기능을 구현하고 검증한다.</x:v>
      </x:c>
      <x:c r="G10" s="36" t="str">
        <x:v>사용 가능한 색상 중 하나를 고유하게 예약하고 동시 선택, 연결 끊김, 재접속 시 중복이 생기지 않으며 예약 해제 시점을 명확히 한다.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핵심 규칙</x:v>
      </x:c>
      <x:c r="M10" s="36" t="str">
        <x:v>MVP</x:v>
      </x:c>
      <x:c r="N10" s="36" t="str">
        <x:v>온라인 엔지니어링</x:v>
      </x:c>
      <x:c r="O10" s="36" t="str">
        <x:v>미정</x:v>
      </x:c>
      <x:c r="P10" s="36" t="str">
        <x:v>미정</x:v>
      </x:c>
      <x:c r="Q10" s="36" t="str">
        <x:v>전체</x:v>
      </x:c>
      <x:c r="R10" s="36" t="str">
        <x:v>서버 권한</x:v>
      </x:c>
      <x:c r="S10" s="36" t="str">
        <x:v>세션</x:v>
      </x:c>
      <x:c r="T10" s="36" t="str">
        <x:v>L</x:v>
      </x:c>
      <x:c r="U10" s="36" t="str">
        <x:v>미착수</x:v>
      </x:c>
      <x:c r="V10" s="46" t="n">
        <x:f>IF(U10="완료",1,IF(U10="QA 진행 중",0.8,IF(U10="코드 리뷰",0.65,IF(U10="구현 중",0.4,IF(U10="사양 확인 중",0.1,IF(U10="차단",0.4,0))))))</x:f>
        <x:v>0</x:v>
      </x:c>
      <x:c r="W10" s="36" t="str">
        <x:v>미정</x:v>
      </x:c>
      <x:c r="X10" s="44"/>
      <x:c r="Y10" s="36" t="str">
        <x:v>ONL-007,CHR-005</x:v>
      </x:c>
      <x:c r="Z10" s="36" t="str">
        <x:v>중간</x:v>
      </x:c>
      <x:c r="AA10" s="36" t="str">
        <x:v>네트워크</x:v>
      </x:c>
      <x:c r="AB10" s="36" t="str">
        <x:v>TC-ONL-009-01, TC-ONL-009-02</x:v>
      </x:c>
      <x:c r="AC10" s="36"/>
      <x:c r="AD10" s="36" t="str">
        <x:v>게임 기획서</x:v>
      </x:c>
      <x:c r="AE10" s="36"/>
      <x:c r="AF10" s="44" t="str">
        <x:v>2026-07-10</x:v>
      </x:c>
      <x:c r="AG10" s="36"/>
      <x:c r="AH10" s="54"/>
      <x:c r="AI10" s="54"/>
      <x:c r="AJ10" s="53" t="str">
        <x:v>착수 전</x:v>
      </x:c>
    </x:row>
    <x:row r="11" ht="42" customHeight="1">
      <x:c r="A11" s="36" t="str">
        <x:v>ONL-010</x:v>
      </x:c>
      <x:c r="B11" s="36" t="str">
        <x:v>온라인·로비·매치메이킹</x:v>
      </x:c>
      <x:c r="C11" s="36" t="str">
        <x:v>로비</x:v>
      </x:c>
      <x:c r="D11" s="36" t="str">
        <x:v>준비 상태</x:v>
      </x:c>
      <x:c r="E11" s="36" t="str">
        <x:v>준비 상태 동기화</x:v>
      </x:c>
      <x:c r="F11" s="36" t="str">
        <x:v>게임 규칙, 운영 요구사항과 대상 플랫폼 제약을 충족하도록 준비 상태 동기화 기능을 구현하고 검증한다.</x:v>
      </x:c>
      <x:c r="G11" s="36" t="str">
        <x:v>서버가 참가자별 준비 상태를 보관하고 설정 변경이나 참가자 변동 시 규칙에 따라 준비 상태를 해제한다.</x:v>
      </x:c>
      <x:c r="H11" s="36" t="str">
        <x:v>구현, 코드 리뷰, 사양 갱신, 대상 QA 케이스 실행, 로그·텔레메트리 확인과 관련 플랫폼 검증을 완료하고 미해결 P0·P1 결함이 없다.</x:v>
      </x:c>
      <x:c r="I11" s="36" t="str">
        <x:v>MVP</x:v>
      </x:c>
      <x:c r="J11" s="36" t="str">
        <x:v>P0</x:v>
      </x:c>
      <x:c r="K11" s="36" t="str">
        <x:v>필수</x:v>
      </x:c>
      <x:c r="L11" s="36" t="str">
        <x:v>로비</x:v>
      </x:c>
      <x:c r="M11" s="36" t="str">
        <x:v>MVP</x:v>
      </x:c>
      <x:c r="N11" s="36" t="str">
        <x:v>온라인 엔지니어링</x:v>
      </x:c>
      <x:c r="O11" s="36" t="str">
        <x:v>미정</x:v>
      </x:c>
      <x:c r="P11" s="36" t="str">
        <x:v>미정</x:v>
      </x:c>
      <x:c r="Q11" s="36" t="str">
        <x:v>전체</x:v>
      </x:c>
      <x:c r="R11" s="36" t="str">
        <x:v>서버 권한</x:v>
      </x:c>
      <x:c r="S11" s="36" t="str">
        <x:v>세션</x:v>
      </x:c>
      <x:c r="T11" s="36" t="str">
        <x:v>M</x:v>
      </x:c>
      <x:c r="U11" s="36" t="str">
        <x:v>미착수</x:v>
      </x:c>
      <x:c r="V11" s="46" t="n">
        <x:f>IF(U11="완료",1,IF(U11="QA 진행 중",0.8,IF(U11="코드 리뷰",0.65,IF(U11="구현 중",0.4,IF(U11="사양 확인 중",0.1,IF(U11="차단",0.4,0))))))</x:f>
        <x:v>0</x:v>
      </x:c>
      <x:c r="W11" s="36" t="str">
        <x:v>미정</x:v>
      </x:c>
      <x:c r="X11" s="44"/>
      <x:c r="Y11" s="36" t="str">
        <x:v>ONL-007,SET-021</x:v>
      </x:c>
      <x:c r="Z11" s="36" t="str">
        <x:v>중간</x:v>
      </x:c>
      <x:c r="AA11" s="36" t="str">
        <x:v>통합</x:v>
      </x:c>
      <x:c r="AB11" s="36" t="str">
        <x:v>TC-ONL-010-01, TC-ONL-010-02</x:v>
      </x:c>
      <x:c r="AC11" s="36"/>
      <x:c r="AD11" s="36" t="str">
        <x:v>게임 기획서</x:v>
      </x:c>
      <x:c r="AE11" s="36"/>
      <x:c r="AF11" s="44" t="str">
        <x:v>2026-07-10</x:v>
      </x:c>
      <x:c r="AG11" s="36"/>
      <x:c r="AH11" s="54"/>
      <x:c r="AI11" s="54"/>
      <x:c r="AJ11" s="53" t="str">
        <x:v>착수 전</x:v>
      </x:c>
    </x:row>
    <x:row r="12" ht="42" customHeight="1">
      <x:c r="A12" s="36" t="str">
        <x:v>ONL-011</x:v>
      </x:c>
      <x:c r="B12" s="36" t="str">
        <x:v>온라인·로비·매치메이킹</x:v>
      </x:c>
      <x:c r="C12" s="36" t="str">
        <x:v>로비</x:v>
      </x:c>
      <x:c r="D12" s="36" t="str">
        <x:v>시작 사전 점검</x:v>
      </x:c>
      <x:c r="E12" s="36" t="str">
        <x:v>매치 시작 전 사전 점검</x:v>
      </x:c>
      <x:c r="F12" s="36" t="str">
        <x:v>게임 규칙, 운영 요구사항과 대상 플랫폼 제약을 충족하도록 매치 시작 전 사전 점검 기능을 구현하고 검증한다.</x:v>
      </x:c>
      <x:c r="G12" s="36" t="str">
        <x:v>최소 인원, 전원 준비, 설정 유효성, 콘텐츠 버전, 서버 확보, 음성 연결을 검사하고 모든 조건이 충족된 경우에만 매치를 시작한다.</x:v>
      </x:c>
      <x:c r="H12" s="36" t="str">
        <x:v>구현, 코드 리뷰, 사양 갱신, 대상 QA 케이스 실행, 로그·텔레메트리 확인과 관련 플랫폼 검증을 완료하고 미해결 P0·P1 결함이 없다.</x:v>
      </x:c>
      <x:c r="I12" s="36" t="str">
        <x:v>MVP</x:v>
      </x:c>
      <x:c r="J12" s="36" t="str">
        <x:v>P0</x:v>
      </x:c>
      <x:c r="K12" s="36" t="str">
        <x:v>필수</x:v>
      </x:c>
      <x:c r="L12" s="36" t="str">
        <x:v>시작</x:v>
      </x:c>
      <x:c r="M12" s="36" t="str">
        <x:v>MVP</x:v>
      </x:c>
      <x:c r="N12" s="36" t="str">
        <x:v>온라인 엔지니어링</x:v>
      </x:c>
      <x:c r="O12" s="36" t="str">
        <x:v>미정</x:v>
      </x:c>
      <x:c r="P12" s="36" t="str">
        <x:v>미정</x:v>
      </x:c>
      <x:c r="Q12" s="36" t="str">
        <x:v>전체</x:v>
      </x:c>
      <x:c r="R12" s="36" t="str">
        <x:v>서버 권한</x:v>
      </x:c>
      <x:c r="S12" s="36" t="str">
        <x:v>세션</x:v>
      </x:c>
      <x:c r="T12" s="36" t="str">
        <x:v>XL</x:v>
      </x:c>
      <x:c r="U12" s="36" t="str">
        <x:v>미착수</x:v>
      </x:c>
      <x:c r="V12" s="46" t="n">
        <x:f>IF(U12="완료",1,IF(U12="QA 진행 중",0.8,IF(U12="코드 리뷰",0.65,IF(U12="구현 중",0.4,IF(U12="사양 확인 중",0.1,IF(U12="차단",0.4,0))))))</x:f>
        <x:v>0</x:v>
      </x:c>
      <x:c r="W12" s="36" t="str">
        <x:v>미정</x:v>
      </x:c>
      <x:c r="X12" s="44"/>
      <x:c r="Y12" s="36" t="str">
        <x:v>ONL-010,SET-020,ONL-015,CNT-028,AUD-003</x:v>
      </x:c>
      <x:c r="Z12" s="36" t="str">
        <x:v>중간</x:v>
      </x:c>
      <x:c r="AA12" s="36" t="str">
        <x:v>통합</x:v>
      </x:c>
      <x:c r="AB12" s="36" t="str">
        <x:v>TC-ONL-011-01, TC-ONL-011-02</x:v>
      </x:c>
      <x:c r="AC12" s="36"/>
      <x:c r="AD12" s="36" t="str">
        <x:v>게임 기획서</x:v>
      </x:c>
      <x:c r="AE12" s="36"/>
      <x:c r="AF12" s="44" t="str">
        <x:v>2026-07-10</x:v>
      </x:c>
      <x:c r="AG12" s="36"/>
      <x:c r="AH12" s="54"/>
      <x:c r="AI12" s="54"/>
      <x:c r="AJ12" s="53" t="str">
        <x:v>착수 전</x:v>
      </x:c>
    </x:row>
    <x:row r="13" ht="42" customHeight="1">
      <x:c r="A13" s="36" t="str">
        <x:v>ONL-012</x:v>
      </x:c>
      <x:c r="B13" s="36" t="str">
        <x:v>온라인·로비·매치메이킹</x:v>
      </x:c>
      <x:c r="C13" s="36" t="str">
        <x:v>소셜</x:v>
      </x:c>
      <x:c r="D13" s="36" t="str">
        <x:v>초대</x:v>
      </x:c>
      <x:c r="E13" s="36" t="str">
        <x:v>플랫폼 초대·딥링크 참가</x:v>
      </x:c>
      <x:c r="F13" s="36" t="str">
        <x:v>게임 규칙, 운영 요구사항과 대상 플랫폼 제약을 충족하도록 플랫폼 초대·딥링크 참가 기능을 구현하고 검증한다.</x:v>
      </x:c>
      <x:c r="G13" s="36" t="str">
        <x:v>지원 플랫폼 초대에서 대상 룸으로 이동하며 게임 미실행, 만원, 매치 시작 상태에는 적절한 대체 경로를 제공한다.</x:v>
      </x:c>
      <x:c r="H13" s="36" t="str">
        <x:v>구현, 코드 리뷰, 사양 갱신, 대상 QA 케이스 실행, 로그·텔레메트리 확인과 관련 플랫폼 검증을 완료하고 미해결 P0·P1 결함이 없다.</x:v>
      </x:c>
      <x:c r="I13" s="36" t="str">
        <x:v>베타</x:v>
      </x:c>
      <x:c r="J13" s="36" t="str">
        <x:v>P1</x:v>
      </x:c>
      <x:c r="K13" s="36" t="str">
        <x:v>필수</x:v>
      </x:c>
      <x:c r="L13" s="36" t="str">
        <x:v>소셜</x:v>
      </x:c>
      <x:c r="M13" s="36" t="str">
        <x:v>베타</x:v>
      </x:c>
      <x:c r="N13" s="36" t="str">
        <x:v>온라인 엔지니어링</x:v>
      </x:c>
      <x:c r="O13" s="36" t="str">
        <x:v>미정</x:v>
      </x:c>
      <x:c r="P13" s="36" t="str">
        <x:v>미정</x:v>
      </x:c>
      <x:c r="Q13" s="36" t="str">
        <x:v>전체</x:v>
      </x:c>
      <x:c r="R13" s="36" t="str">
        <x:v>백엔드 권한</x:v>
      </x:c>
      <x:c r="S13" s="36" t="str">
        <x:v>없음</x:v>
      </x:c>
      <x:c r="T13" s="36" t="str">
        <x:v>XL</x:v>
      </x:c>
      <x:c r="U13" s="36" t="str">
        <x:v>미착수</x:v>
      </x:c>
      <x:c r="V13" s="46" t="n">
        <x:f>IF(U13="완료",1,IF(U13="QA 진행 중",0.8,IF(U13="코드 리뷰",0.65,IF(U13="구현 중",0.4,IF(U13="사양 확인 중",0.1,IF(U13="차단",0.4,0))))))</x:f>
        <x:v>0</x:v>
      </x:c>
      <x:c r="W13" s="36" t="str">
        <x:v>미정</x:v>
      </x:c>
      <x:c r="X13" s="44"/>
      <x:c r="Y13" s="36" t="str">
        <x:v>ONL-006,BED-002</x:v>
      </x:c>
      <x:c r="Z13" s="36" t="str">
        <x:v>중간</x:v>
      </x:c>
      <x:c r="AA13" s="36" t="str">
        <x:v>호환성</x:v>
      </x:c>
      <x:c r="AB13" s="36" t="str">
        <x:v>TC-ONL-012-01</x:v>
      </x:c>
      <x:c r="AC13" s="36"/>
      <x:c r="AD13" s="36" t="str">
        <x:v>게임 기획서</x:v>
      </x:c>
      <x:c r="AE13" s="36"/>
      <x:c r="AF13" s="44" t="str">
        <x:v>2026-07-10</x:v>
      </x:c>
      <x:c r="AG13" s="36"/>
      <x:c r="AH13" s="54"/>
      <x:c r="AI13" s="54"/>
      <x:c r="AJ13" s="53" t="str">
        <x:v>착수 전</x:v>
      </x:c>
    </x:row>
    <x:row r="14" ht="42" customHeight="1">
      <x:c r="A14" s="36" t="str">
        <x:v>ONL-013</x:v>
      </x:c>
      <x:c r="B14" s="36" t="str">
        <x:v>온라인·로비·매치메이킹</x:v>
      </x:c>
      <x:c r="C14" s="36" t="str">
        <x:v>매치메이킹</x:v>
      </x:c>
      <x:c r="D14" s="36" t="str">
        <x:v>대기열</x:v>
      </x:c>
      <x:c r="E14" s="36" t="str">
        <x:v>공개 매치메이킹 대기열</x:v>
      </x:c>
      <x:c r="F14" s="36" t="str">
        <x:v>게임 규칙, 운영 요구사항과 대상 플랫폼 제약을 충족하도록 공개 매치메이킹 대기열 기능을 구현하고 검증한다.</x:v>
      </x:c>
      <x:c r="G14" s="36" t="str">
        <x:v>인원, 지역, 크로스플레이, 실력·초보자 구간 등의 조건으로 대기열에 등록하고 매칭 성립 후 룸으로 원자적으로 이동한다.</x:v>
      </x:c>
      <x:c r="H14" s="36" t="str">
        <x:v>구현, 코드 리뷰, 사양 갱신, 대상 QA 케이스 실행, 로그·텔레메트리 확인과 관련 플랫폼 검증을 완료하고 미해결 P0·P1 결함이 없다.</x:v>
      </x:c>
      <x:c r="I14" s="36" t="str">
        <x:v>베타</x:v>
      </x:c>
      <x:c r="J14" s="36" t="str">
        <x:v>P1</x:v>
      </x:c>
      <x:c r="K14" s="36" t="str">
        <x:v>필수</x:v>
      </x:c>
      <x:c r="L14" s="36" t="str">
        <x:v>매치메이킹</x:v>
      </x:c>
      <x:c r="M14" s="36" t="str">
        <x:v>베타</x:v>
      </x:c>
      <x:c r="N14" s="36" t="str">
        <x:v>온라인 엔지니어링</x:v>
      </x:c>
      <x:c r="O14" s="36" t="str">
        <x:v>미정</x:v>
      </x:c>
      <x:c r="P14" s="36" t="str">
        <x:v>미정</x:v>
      </x:c>
      <x:c r="Q14" s="36" t="str">
        <x:v>전체</x:v>
      </x:c>
      <x:c r="R14" s="36" t="str">
        <x:v>백엔드 권한</x:v>
      </x:c>
      <x:c r="S14" s="36" t="str">
        <x:v>세션</x:v>
      </x:c>
      <x:c r="T14" s="36" t="str">
        <x:v>XL</x:v>
      </x:c>
      <x:c r="U14" s="36" t="str">
        <x:v>미착수</x:v>
      </x:c>
      <x:c r="V14" s="46" t="n">
        <x:f>IF(U14="완료",1,IF(U14="QA 진행 중",0.8,IF(U14="코드 리뷰",0.65,IF(U14="구현 중",0.4,IF(U14="사양 확인 중",0.1,IF(U14="차단",0.4,0))))))</x:f>
        <x:v>0</x:v>
      </x:c>
      <x:c r="W14" s="36" t="str">
        <x:v>미정</x:v>
      </x:c>
      <x:c r="X14" s="44"/>
      <x:c r="Y14" s="36" t="str">
        <x:v>ONL-003,ONL-004,ONL-022</x:v>
      </x:c>
      <x:c r="Z14" s="36" t="str">
        <x:v>중간</x:v>
      </x:c>
      <x:c r="AA14" s="36" t="str">
        <x:v>부하</x:v>
      </x:c>
      <x:c r="AB14" s="36" t="str">
        <x:v>TC-ONL-013-01</x:v>
      </x:c>
      <x:c r="AC14" s="36"/>
      <x:c r="AD14" s="36" t="str">
        <x:v>게임 기획서</x:v>
      </x:c>
      <x:c r="AE14" s="36"/>
      <x:c r="AF14" s="44" t="str">
        <x:v>2026-07-10</x:v>
      </x:c>
      <x:c r="AG14" s="36"/>
      <x:c r="AH14" s="54"/>
      <x:c r="AI14" s="54"/>
      <x:c r="AJ14" s="53" t="str">
        <x:v>착수 전</x:v>
      </x:c>
    </x:row>
    <x:row r="15" ht="42" customHeight="1">
      <x:c r="A15" s="36" t="str">
        <x:v>ONL-014</x:v>
      </x:c>
      <x:c r="B15" s="36" t="str">
        <x:v>온라인·로비·매치메이킹</x:v>
      </x:c>
      <x:c r="C15" s="36" t="str">
        <x:v>매치메이킹</x:v>
      </x:c>
      <x:c r="D15" s="36" t="str">
        <x:v>취소·시간 초과</x:v>
      </x:c>
      <x:c r="E15" s="36" t="str">
        <x:v>검색 취소·시간 초과·재시도</x:v>
      </x:c>
      <x:c r="F15" s="36" t="str">
        <x:v>게임 규칙, 운영 요구사항과 대상 플랫폼 제약을 충족하도록 검색 취소·시간 초과·재시도 기능을 구현하고 검증한다.</x:v>
      </x:c>
      <x:c r="G15" s="36" t="str">
        <x:v>취소와 매칭 성립이 동시에 발생해도 중복 참가하지 않으며 시간 초과 후 조건 완화 또는 재시도 선택지를 표시한다.</x:v>
      </x:c>
      <x:c r="H15" s="36" t="str">
        <x:v>구현, 코드 리뷰, 사양 갱신, 대상 QA 케이스 실행, 로그·텔레메트리 확인과 관련 플랫폼 검증을 완료하고 미해결 P0·P1 결함이 없다.</x:v>
      </x:c>
      <x:c r="I15" s="36" t="str">
        <x:v>베타</x:v>
      </x:c>
      <x:c r="J15" s="36" t="str">
        <x:v>P1</x:v>
      </x:c>
      <x:c r="K15" s="36" t="str">
        <x:v>필수</x:v>
      </x:c>
      <x:c r="L15" s="36" t="str">
        <x:v>매치메이킹</x:v>
      </x:c>
      <x:c r="M15" s="36" t="str">
        <x:v>베타</x:v>
      </x:c>
      <x:c r="N15" s="36" t="str">
        <x:v>온라인 엔지니어링</x:v>
      </x:c>
      <x:c r="O15" s="36" t="str">
        <x:v>미정</x:v>
      </x:c>
      <x:c r="P15" s="36" t="str">
        <x:v>미정</x:v>
      </x:c>
      <x:c r="Q15" s="36" t="str">
        <x:v>전체</x:v>
      </x:c>
      <x:c r="R15" s="36" t="str">
        <x:v>백엔드 권한</x:v>
      </x:c>
      <x:c r="S15" s="36" t="str">
        <x:v>세션</x:v>
      </x:c>
      <x:c r="T15" s="36" t="str">
        <x:v>L</x:v>
      </x:c>
      <x:c r="U15" s="36" t="str">
        <x:v>미착수</x:v>
      </x:c>
      <x:c r="V15" s="46" t="n">
        <x:f>IF(U15="완료",1,IF(U15="QA 진행 중",0.8,IF(U15="코드 리뷰",0.65,IF(U15="구현 중",0.4,IF(U15="사양 확인 중",0.1,IF(U15="차단",0.4,0))))))</x:f>
        <x:v>0</x:v>
      </x:c>
      <x:c r="W15" s="36" t="str">
        <x:v>미정</x:v>
      </x:c>
      <x:c r="X15" s="44"/>
      <x:c r="Y15" s="36" t="str">
        <x:v>ONL-013</x:v>
      </x:c>
      <x:c r="Z15" s="36" t="str">
        <x:v>중간</x:v>
      </x:c>
      <x:c r="AA15" s="36" t="str">
        <x:v>경계값</x:v>
      </x:c>
      <x:c r="AB15" s="36" t="str">
        <x:v>TC-ONL-014-01</x:v>
      </x:c>
      <x:c r="AC15" s="36"/>
      <x:c r="AD15" s="36" t="str">
        <x:v>게임 기획서</x:v>
      </x:c>
      <x:c r="AE15" s="36"/>
      <x:c r="AF15" s="44" t="str">
        <x:v>2026-07-10</x:v>
      </x:c>
      <x:c r="AG15" s="36"/>
      <x:c r="AH15" s="54"/>
      <x:c r="AI15" s="54"/>
      <x:c r="AJ15" s="53" t="str">
        <x:v>착수 전</x:v>
      </x:c>
    </x:row>
    <x:row r="16" ht="42" customHeight="1">
      <x:c r="A16" s="36" t="str">
        <x:v>ONL-015</x:v>
      </x:c>
      <x:c r="B16" s="36" t="str">
        <x:v>온라인·로비·매치메이킹</x:v>
      </x:c>
      <x:c r="C16" s="36" t="str">
        <x:v>호환성</x:v>
      </x:c>
      <x:c r="D16" s="36" t="str">
        <x:v>버전</x:v>
      </x:c>
      <x:c r="E16" s="36" t="str">
        <x:v>클라이언트·서버·콘텐츠 호환성</x:v>
      </x:c>
      <x:c r="F16" s="36" t="str">
        <x:v>게임 규칙, 운영 요구사항과 대상 플랫폼 제약을 충족하도록 클라이언트·서버·콘텐츠 호환성 기능을 구현하고 검증한다.</x:v>
      </x:c>
      <x:c r="G16" s="36" t="str">
        <x:v>프로토콜, 게임 규칙, 콘텐츠, 설정 스키마의 호환 범위를 시작 전에 확인하고 호환되지 않는 클라이언트를 명확히 거부한다.</x:v>
      </x:c>
      <x:c r="H16" s="36" t="str">
        <x:v>구현, 코드 리뷰, 사양 갱신, 대상 QA 케이스 실행, 로그·텔레메트리 확인과 관련 플랫폼 검증을 완료하고 미해결 P0·P1 결함이 없다.</x:v>
      </x:c>
      <x:c r="I16" s="36" t="str">
        <x:v>MVP</x:v>
      </x:c>
      <x:c r="J16" s="36" t="str">
        <x:v>P0</x:v>
      </x:c>
      <x:c r="K16" s="36" t="str">
        <x:v>필수</x:v>
      </x:c>
      <x:c r="L16" s="36" t="str">
        <x:v>호환성</x:v>
      </x:c>
      <x:c r="M16" s="36" t="str">
        <x:v>MVP</x:v>
      </x:c>
      <x:c r="N16" s="36" t="str">
        <x:v>온라인 엔지니어링</x:v>
      </x:c>
      <x:c r="O16" s="36" t="str">
        <x:v>미정</x:v>
      </x:c>
      <x:c r="P16" s="36" t="str">
        <x:v>미정</x:v>
      </x:c>
      <x:c r="Q16" s="36" t="str">
        <x:v>전체</x:v>
      </x:c>
      <x:c r="R16" s="36" t="str">
        <x:v>백엔드 권한</x:v>
      </x:c>
      <x:c r="S16" s="36" t="str">
        <x:v>없음</x:v>
      </x:c>
      <x:c r="T16" s="36" t="str">
        <x:v>L</x:v>
      </x:c>
      <x:c r="U16" s="36" t="str">
        <x:v>미착수</x:v>
      </x:c>
      <x:c r="V16" s="46" t="n">
        <x:f>IF(U16="완료",1,IF(U16="QA 진행 중",0.8,IF(U16="코드 리뷰",0.65,IF(U16="구현 중",0.4,IF(U16="사양 확인 중",0.1,IF(U16="차단",0.4,0))))))</x:f>
        <x:v>0</x:v>
      </x:c>
      <x:c r="W16" s="36" t="str">
        <x:v>미정</x:v>
      </x:c>
      <x:c r="X16" s="44"/>
      <x:c r="Y16" s="36" t="str">
        <x:v>NET-002,BED-015,CNT-028</x:v>
      </x:c>
      <x:c r="Z16" s="36" t="str">
        <x:v>중간</x:v>
      </x:c>
      <x:c r="AA16" s="36" t="str">
        <x:v>호환성</x:v>
      </x:c>
      <x:c r="AB16" s="36" t="str">
        <x:v>TC-ONL-015-01, TC-ONL-015-02</x:v>
      </x:c>
      <x:c r="AC16" s="36"/>
      <x:c r="AD16" s="36" t="str">
        <x:v>게임 기획서</x:v>
      </x:c>
      <x:c r="AE16" s="36"/>
      <x:c r="AF16" s="44" t="str">
        <x:v>2026-07-10</x:v>
      </x:c>
      <x:c r="AG16" s="36"/>
      <x:c r="AH16" s="54"/>
      <x:c r="AI16" s="54"/>
      <x:c r="AJ16" s="53" t="str">
        <x:v>착수 전</x:v>
      </x:c>
    </x:row>
    <x:row r="17" ht="42" customHeight="1">
      <x:c r="A17" s="36" t="str">
        <x:v>ONL-016</x:v>
      </x:c>
      <x:c r="B17" s="36" t="str">
        <x:v>온라인·로비·매치메이킹</x:v>
      </x:c>
      <x:c r="C17" s="36" t="str">
        <x:v>세션 정책</x:v>
      </x:c>
      <x:c r="D17" s="36" t="str">
        <x:v>진행 중 참가</x:v>
      </x:c>
      <x:c r="E17" s="36" t="str">
        <x:v>매치 시작 후 참가·백필 정책</x:v>
      </x:c>
      <x:c r="F17" s="36" t="str">
        <x:v>게임 규칙, 운영 요구사항과 대상 플랫폼 제약을 충족하도록 매치 시작 후 참가·백필 정책 기능을 구현하고 검증한다.</x:v>
      </x:c>
      <x:c r="G17" s="36" t="str">
        <x:v>MVP에서는 매치 시작 후 신규 참가를 금지하고 재접속만 허용한다. 향후 백필 기능은 역할 비공개와 공정성 검토를 필수로 한다.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정보 비공개</x:v>
      </x:c>
      <x:c r="M17" s="36" t="str">
        <x:v>MVP</x:v>
      </x:c>
      <x:c r="N17" s="36" t="str">
        <x:v>온라인 엔지니어링</x:v>
      </x:c>
      <x:c r="O17" s="36" t="str">
        <x:v>미정</x:v>
      </x:c>
      <x:c r="P17" s="36" t="str">
        <x:v>미정</x:v>
      </x:c>
      <x:c r="Q17" s="36" t="str">
        <x:v>전체</x:v>
      </x:c>
      <x:c r="R17" s="36" t="str">
        <x:v>서버 권한</x:v>
      </x:c>
      <x:c r="S17" s="36" t="str">
        <x:v>세션</x:v>
      </x:c>
      <x:c r="T17" s="36" t="str">
        <x:v>M</x:v>
      </x:c>
      <x:c r="U17" s="36" t="str">
        <x:v>미착수</x:v>
      </x:c>
      <x:c r="V17" s="46" t="n">
        <x:f>IF(U17="완료",1,IF(U17="QA 진행 중",0.8,IF(U17="코드 리뷰",0.65,IF(U17="구현 중",0.4,IF(U17="사양 확인 중",0.1,IF(U17="차단",0.4,0))))))</x:f>
        <x:v>0</x:v>
      </x:c>
      <x:c r="W17" s="36" t="str">
        <x:v>미정</x:v>
      </x:c>
      <x:c r="X17" s="44"/>
      <x:c r="Y17" s="36" t="str">
        <x:v>ONL-011</x:v>
      </x:c>
      <x:c r="Z17" s="36" t="str">
        <x:v>중간</x:v>
      </x:c>
      <x:c r="AA17" s="36" t="str">
        <x:v>보안</x:v>
      </x:c>
      <x:c r="AB17" s="36" t="str">
        <x:v>TC-ONL-016-01, TC-ONL-016-02</x:v>
      </x:c>
      <x:c r="AC17" s="36"/>
      <x:c r="AD17" s="36" t="str">
        <x:v>게임 기획서</x:v>
      </x:c>
      <x:c r="AE17" s="36"/>
      <x:c r="AF17" s="44" t="str">
        <x:v>2026-07-10</x:v>
      </x:c>
      <x:c r="AG17" s="36"/>
      <x:c r="AH17" s="54"/>
      <x:c r="AI17" s="54"/>
      <x:c r="AJ17" s="53" t="str">
        <x:v>착수 전</x:v>
      </x:c>
    </x:row>
    <x:row r="18" ht="42" customHeight="1">
      <x:c r="A18" s="36" t="str">
        <x:v>ONL-017</x:v>
      </x:c>
      <x:c r="B18" s="36" t="str">
        <x:v>온라인·로비·매치메이킹</x:v>
      </x:c>
      <x:c r="C18" s="36" t="str">
        <x:v>복원력</x:v>
      </x:c>
      <x:c r="D18" s="36" t="str">
        <x:v>재접속 예약 슬롯</x:v>
      </x:c>
      <x:c r="E18" s="36" t="str">
        <x:v>연결 끊김 감지·재접속 예약·유예</x:v>
      </x:c>
      <x:c r="F18" s="36" t="str">
        <x:v>게임 규칙, 운영 요구사항과 대상 플랫폼 제약을 충족하도록 연결 끊김 감지·재접속 예약·유예 기능을 구현하고 검증한다.</x:v>
      </x:c>
      <x:c r="G18" s="36" t="str">
        <x:v>연결 끊김 이후 설정된 시간 동안 같은 ID의 예약 슬롯을 유지하고 토큰 검증 후 동일한 플레이어 슬롯으로 복귀시킨다.</x:v>
      </x:c>
      <x:c r="H18" s="36" t="str">
        <x:v>구현, 코드 리뷰, 사양 갱신, 대상 QA 케이스 실행, 로그·텔레메트리 확인과 관련 플랫폼 검증을 완료하고 미해결 P0·P1 결함이 없다.</x:v>
      </x:c>
      <x:c r="I18" s="36" t="str">
        <x:v>알파</x:v>
      </x:c>
      <x:c r="J18" s="36" t="str">
        <x:v>P0</x:v>
      </x:c>
      <x:c r="K18" s="36" t="str">
        <x:v>필수</x:v>
      </x:c>
      <x:c r="L18" s="36" t="str">
        <x:v>안정성</x:v>
      </x:c>
      <x:c r="M18" s="36" t="str">
        <x:v>알파</x:v>
      </x:c>
      <x:c r="N18" s="36" t="str">
        <x:v>온라인 엔지니어링</x:v>
      </x:c>
      <x:c r="O18" s="36" t="str">
        <x:v>미정</x:v>
      </x:c>
      <x:c r="P18" s="36" t="str">
        <x:v>미정</x:v>
      </x:c>
      <x:c r="Q18" s="36" t="str">
        <x:v>전체</x:v>
      </x:c>
      <x:c r="R18" s="36" t="str">
        <x:v>백엔드 권한</x:v>
      </x:c>
      <x:c r="S18" s="36" t="str">
        <x:v>세션</x:v>
      </x:c>
      <x:c r="T18" s="36" t="str">
        <x:v>XL</x:v>
      </x:c>
      <x:c r="U18" s="36" t="str">
        <x:v>미착수</x:v>
      </x:c>
      <x:c r="V18" s="46" t="n">
        <x:f>IF(U18="완료",1,IF(U18="QA 진행 중",0.8,IF(U18="코드 리뷰",0.65,IF(U18="구현 중",0.4,IF(U18="사양 확인 중",0.1,IF(U18="차단",0.4,0))))))</x:f>
        <x:v>0</x:v>
      </x:c>
      <x:c r="W18" s="36" t="str">
        <x:v>미정</x:v>
      </x:c>
      <x:c r="X18" s="44"/>
      <x:c r="Y18" s="36" t="str">
        <x:v>ONL-002,ONL-007,NET-019</x:v>
      </x:c>
      <x:c r="Z18" s="36" t="str">
        <x:v>중간</x:v>
      </x:c>
      <x:c r="AA18" s="36" t="str">
        <x:v>네트워크</x:v>
      </x:c>
      <x:c r="AB18" s="36" t="str">
        <x:v>TC-ONL-017-01, TC-ONL-017-02</x:v>
      </x:c>
      <x:c r="AC18" s="36"/>
      <x:c r="AD18" s="36" t="str">
        <x:v>게임 기획서</x:v>
      </x:c>
      <x:c r="AE18" s="36"/>
      <x:c r="AF18" s="44" t="str">
        <x:v>2026-07-10</x:v>
      </x:c>
      <x:c r="AG18" s="36"/>
      <x:c r="AH18" s="54"/>
      <x:c r="AI18" s="54"/>
      <x:c r="AJ18" s="53" t="str">
        <x:v>착수 전</x:v>
      </x:c>
    </x:row>
    <x:row r="19" ht="42" customHeight="1">
      <x:c r="A19" s="36" t="str">
        <x:v>ONL-018</x:v>
      </x:c>
      <x:c r="B19" s="36" t="str">
        <x:v>온라인·로비·매치메이킹</x:v>
      </x:c>
      <x:c r="C19" s="36" t="str">
        <x:v>로비</x:v>
      </x:c>
      <x:c r="D19" s="36" t="str">
        <x:v>나가기·강제 퇴장</x:v>
      </x:c>
      <x:c r="E19" s="36" t="str">
        <x:v>자발적 이탈·강제 퇴장·차단 처리</x:v>
      </x:c>
      <x:c r="F19" s="36" t="str">
        <x:v>게임 규칙, 운영 요구사항과 대상 플랫폼 제약을 충족하도록 자발적 이탈·강제 퇴장·차단 처리 기능을 구현하고 검증한다.</x:v>
      </x:c>
      <x:c r="G19" s="36" t="str">
        <x:v>이탈과 강제 퇴장을 모든 클라이언트에 알리고 호스트 이전, 색상 해제, 준비 취소, 재접속 불가 상태를 일관되게 처리한다.</x:v>
      </x:c>
      <x:c r="H19" s="36" t="str">
        <x:v>구현, 코드 리뷰, 사양 갱신, 대상 QA 케이스 실행, 로그·텔레메트리 확인과 관련 플랫폼 검증을 완료하고 미해결 P0·P1 결함이 없다.</x:v>
      </x:c>
      <x:c r="I19" s="36" t="str">
        <x:v>알파</x:v>
      </x:c>
      <x:c r="J19" s="36" t="str">
        <x:v>P1</x:v>
      </x:c>
      <x:c r="K19" s="36" t="str">
        <x:v>필수</x:v>
      </x:c>
      <x:c r="L19" s="36" t="str">
        <x:v>운영</x:v>
      </x:c>
      <x:c r="M19" s="36" t="str">
        <x:v>알파</x:v>
      </x:c>
      <x:c r="N19" s="36" t="str">
        <x:v>온라인 엔지니어링</x:v>
      </x:c>
      <x:c r="O19" s="36" t="str">
        <x:v>미정</x:v>
      </x:c>
      <x:c r="P19" s="36" t="str">
        <x:v>미정</x:v>
      </x:c>
      <x:c r="Q19" s="36" t="str">
        <x:v>전체</x:v>
      </x:c>
      <x:c r="R19" s="36" t="str">
        <x:v>백엔드 권한</x:v>
      </x:c>
      <x:c r="S19" s="36" t="str">
        <x:v>감사 로그</x:v>
      </x:c>
      <x:c r="T19" s="36" t="str">
        <x:v>L</x:v>
      </x:c>
      <x:c r="U19" s="36" t="str">
        <x:v>미착수</x:v>
      </x:c>
      <x:c r="V19" s="46" t="n">
        <x:f>IF(U19="완료",1,IF(U19="QA 진행 중",0.8,IF(U19="코드 리뷰",0.65,IF(U19="구현 중",0.4,IF(U19="사양 확인 중",0.1,IF(U19="차단",0.4,0))))))</x:f>
        <x:v>0</x:v>
      </x:c>
      <x:c r="W19" s="36" t="str">
        <x:v>미정</x:v>
      </x:c>
      <x:c r="X19" s="44"/>
      <x:c r="Y19" s="36" t="str">
        <x:v>ONL-008,ONL-009,BED-009</x:v>
      </x:c>
      <x:c r="Z19" s="36" t="str">
        <x:v>중간</x:v>
      </x:c>
      <x:c r="AA19" s="36" t="str">
        <x:v>통합</x:v>
      </x:c>
      <x:c r="AB19" s="36" t="str">
        <x:v>TC-ONL-018-01</x:v>
      </x:c>
      <x:c r="AC19" s="36"/>
      <x:c r="AD19" s="36" t="str">
        <x:v>게임 기획서</x:v>
      </x:c>
      <x:c r="AE19" s="36"/>
      <x:c r="AF19" s="44" t="str">
        <x:v>2026-07-10</x:v>
      </x:c>
      <x:c r="AG19" s="36"/>
      <x:c r="AH19" s="54"/>
      <x:c r="AI19" s="54"/>
      <x:c r="AJ19" s="53" t="str">
        <x:v>착수 전</x:v>
      </x:c>
    </x:row>
    <x:row r="20" ht="42" customHeight="1">
      <x:c r="A20" s="36" t="str">
        <x:v>ONL-019</x:v>
      </x:c>
      <x:c r="B20" s="36" t="str">
        <x:v>온라인·로비·매치메이킹</x:v>
      </x:c>
      <x:c r="C20" s="36" t="str">
        <x:v>세션 수명주기</x:v>
      </x:c>
      <x:c r="D20" s="36" t="str">
        <x:v>종료 처리</x:v>
      </x:c>
      <x:c r="E20" s="36" t="str">
        <x:v>매치 종료·로비 복귀·세션 정리</x:v>
      </x:c>
      <x:c r="F20" s="36" t="str">
        <x:v>게임 규칙, 운영 요구사항과 대상 플랫폼 제약을 충족하도록 매치 종료·로비 복귀·세션 정리 기능을 구현하고 검증한다.</x:v>
      </x:c>
      <x:c r="G20" s="36" t="str">
        <x:v>결과 확정 후 모든 참가자를 동일 로비로 복귀시키고 보상·기록 저장이 완료되기 전에 세션을 삭제하지 않는다. 시간 초과 시 재전송할 수 있다.</x:v>
      </x:c>
      <x:c r="H20" s="36" t="str">
        <x:v>구현, 코드 리뷰, 사양 갱신, 대상 QA 케이스 실행, 로그·텔레메트리 확인과 관련 플랫폼 검증을 완료하고 미해결 P0·P1 결함이 없다.</x:v>
      </x:c>
      <x:c r="I20" s="36" t="str">
        <x:v>MVP</x:v>
      </x:c>
      <x:c r="J20" s="36" t="str">
        <x:v>P0</x:v>
      </x:c>
      <x:c r="K20" s="36" t="str">
        <x:v>필수</x:v>
      </x:c>
      <x:c r="L20" s="36" t="str">
        <x:v>데이터 무결성</x:v>
      </x:c>
      <x:c r="M20" s="36" t="str">
        <x:v>MVP</x:v>
      </x:c>
      <x:c r="N20" s="36" t="str">
        <x:v>온라인 엔지니어링</x:v>
      </x:c>
      <x:c r="O20" s="36" t="str">
        <x:v>미정</x:v>
      </x:c>
      <x:c r="P20" s="36" t="str">
        <x:v>미정</x:v>
      </x:c>
      <x:c r="Q20" s="36" t="str">
        <x:v>전체</x:v>
      </x:c>
      <x:c r="R20" s="36" t="str">
        <x:v>백엔드 권한</x:v>
      </x:c>
      <x:c r="S20" s="36" t="str">
        <x:v>매치</x:v>
      </x:c>
      <x:c r="T20" s="36" t="str">
        <x:v>L</x:v>
      </x:c>
      <x:c r="U20" s="36" t="str">
        <x:v>미착수</x:v>
      </x:c>
      <x:c r="V20" s="46" t="n">
        <x:f>IF(U20="완료",1,IF(U20="QA 진행 중",0.8,IF(U20="코드 리뷰",0.65,IF(U20="구현 중",0.4,IF(U20="사양 확인 중",0.1,IF(U20="차단",0.4,0))))))</x:f>
        <x:v>0</x:v>
      </x:c>
      <x:c r="W20" s="36" t="str">
        <x:v>미정</x:v>
      </x:c>
      <x:c r="X20" s="44"/>
      <x:c r="Y20" s="36" t="str">
        <x:v>IGM-026,IGM-027,IGM-031,BED-006,BED-007</x:v>
      </x:c>
      <x:c r="Z20" s="36" t="str">
        <x:v>중간</x:v>
      </x:c>
      <x:c r="AA20" s="36" t="str">
        <x:v>통합</x:v>
      </x:c>
      <x:c r="AB20" s="36" t="str">
        <x:v>TC-ONL-019-01, TC-ONL-019-02</x:v>
      </x:c>
      <x:c r="AC20" s="36"/>
      <x:c r="AD20" s="36" t="str">
        <x:v>게임 기획서</x:v>
      </x:c>
      <x:c r="AE20" s="36"/>
      <x:c r="AF20" s="44" t="str">
        <x:v>2026-07-10</x:v>
      </x:c>
      <x:c r="AG20" s="36"/>
      <x:c r="AH20" s="54"/>
      <x:c r="AI20" s="54"/>
      <x:c r="AJ20" s="53" t="str">
        <x:v>착수 전</x:v>
      </x:c>
    </x:row>
    <x:row r="21" ht="42" customHeight="1">
      <x:c r="A21" s="36" t="str">
        <x:v>ONL-020</x:v>
      </x:c>
      <x:c r="B21" s="36" t="str">
        <x:v>온라인·로비·매치메이킹</x:v>
      </x:c>
      <x:c r="C21" s="36" t="str">
        <x:v>오류 처리</x:v>
      </x:c>
      <x:c r="D21" s="36" t="str">
        <x:v>카탈로그</x:v>
      </x:c>
      <x:c r="E21" s="36" t="str">
        <x:v>온라인 오류 코드 체계</x:v>
      </x:c>
      <x:c r="F21" s="36" t="str">
        <x:v>게임 규칙, 운영 요구사항과 대상 플랫폼 제약을 충족하도록 온라인 오류 코드 체계 기능을 구현하고 검증한다.</x:v>
      </x:c>
      <x:c r="G21" s="36" t="str">
        <x:v>인증, 만원, 시작됨, 만료, 호환성, 점검, 요청 제한, 차단, 네트워크 끊김을 고유 코드와 현지화 키로 정의한다.</x:v>
      </x:c>
      <x:c r="H21" s="36" t="str">
        <x:v>구현, 코드 리뷰, 사양 갱신, 대상 QA 케이스 실행, 로그·텔레메트리 확인과 관련 플랫폼 검증을 완료하고 미해결 P0·P1 결함이 없다.</x:v>
      </x:c>
      <x:c r="I21" s="36" t="str">
        <x:v>MVP</x:v>
      </x:c>
      <x:c r="J21" s="36" t="str">
        <x:v>P0</x:v>
      </x:c>
      <x:c r="K21" s="36" t="str">
        <x:v>필수</x:v>
      </x:c>
      <x:c r="L21" s="36" t="str">
        <x:v>운영</x:v>
      </x:c>
      <x:c r="M21" s="36" t="str">
        <x:v>MVP</x:v>
      </x:c>
      <x:c r="N21" s="36" t="str">
        <x:v>온라인 엔지니어링</x:v>
      </x:c>
      <x:c r="O21" s="36" t="str">
        <x:v>미정</x:v>
      </x:c>
      <x:c r="P21" s="36" t="str">
        <x:v>미정</x:v>
      </x:c>
      <x:c r="Q21" s="36" t="str">
        <x:v>전체</x:v>
      </x:c>
      <x:c r="R21" s="36" t="str">
        <x:v>콘텐츠 데이터</x:v>
      </x:c>
      <x:c r="S21" s="36" t="str">
        <x:v>없음</x:v>
      </x:c>
      <x:c r="T21" s="36" t="str">
        <x:v>M</x:v>
      </x:c>
      <x:c r="U21" s="36" t="str">
        <x:v>미착수</x:v>
      </x:c>
      <x:c r="V21" s="46" t="n">
        <x:f>IF(U21="완료",1,IF(U21="QA 진행 중",0.8,IF(U21="코드 리뷰",0.65,IF(U21="구현 중",0.4,IF(U21="사양 확인 중",0.1,IF(U21="차단",0.4,0))))))</x:f>
        <x:v>0</x:v>
      </x:c>
      <x:c r="W21" s="36" t="str">
        <x:v>미정</x:v>
      </x:c>
      <x:c r="X21" s="44"/>
      <x:c r="Y21" s="36" t="str">
        <x:v>ONL-001,BED-018</x:v>
      </x:c>
      <x:c r="Z21" s="36" t="str">
        <x:v>중간</x:v>
      </x:c>
      <x:c r="AA21" s="36" t="str">
        <x:v>운영</x:v>
      </x:c>
      <x:c r="AB21" s="36" t="str">
        <x:v>TC-ONL-020-01, TC-ONL-020-02</x:v>
      </x:c>
      <x:c r="AC21" s="36"/>
      <x:c r="AD21" s="36" t="str">
        <x:v>게임 기획서</x:v>
      </x:c>
      <x:c r="AE21" s="36"/>
      <x:c r="AF21" s="44" t="str">
        <x:v>2026-07-10</x:v>
      </x:c>
      <x:c r="AG21" s="36"/>
      <x:c r="AH21" s="54"/>
      <x:c r="AI21" s="54"/>
      <x:c r="AJ21" s="53" t="str">
        <x:v>착수 전</x:v>
      </x:c>
    </x:row>
    <x:row r="22" ht="42" customHeight="1">
      <x:c r="A22" s="36" t="str">
        <x:v>ONL-021</x:v>
      </x:c>
      <x:c r="B22" s="36" t="str">
        <x:v>온라인·로비·매치메이킹</x:v>
      </x:c>
      <x:c r="C22" s="36" t="str">
        <x:v>복원력</x:v>
      </x:c>
      <x:c r="D22" s="36" t="str">
        <x:v>호스트 장애</x:v>
      </x:c>
      <x:c r="E22" s="36" t="str">
        <x:v>호스트 이탈·서버 장애 정책</x:v>
      </x:c>
      <x:c r="F22" s="36" t="str">
        <x:v>게임 규칙, 운영 요구사항과 대상 플랫폼 제약을 충족하도록 호스트 이탈·서버 장애 정책 기능을 구현하고 검증한다.</x:v>
      </x:c>
      <x:c r="G22" s="36" t="str">
        <x:v>전용 서버 구성에서는 호스트 이탈과 무관하게 매치를 계속하고 서버 장애 시 재접속 또는 무효 매치를 결정한다. P2P 적용 시 별도의 이전 사양을 정의한다.</x:v>
      </x:c>
      <x:c r="H22" s="36" t="str">
        <x:v>구현, 코드 리뷰, 사양 갱신, 대상 QA 케이스 실행, 로그·텔레메트리 확인과 관련 플랫폼 검증을 완료하고 미해결 P0·P1 결함이 없다.</x:v>
      </x:c>
      <x:c r="I22" s="36" t="str">
        <x:v>알파</x:v>
      </x:c>
      <x:c r="J22" s="36" t="str">
        <x:v>P0</x:v>
      </x:c>
      <x:c r="K22" s="36" t="str">
        <x:v>필수</x:v>
      </x:c>
      <x:c r="L22" s="36" t="str">
        <x:v>안정성</x:v>
      </x:c>
      <x:c r="M22" s="36" t="str">
        <x:v>알파</x:v>
      </x:c>
      <x:c r="N22" s="36" t="str">
        <x:v>온라인 엔지니어링</x:v>
      </x:c>
      <x:c r="O22" s="36" t="str">
        <x:v>미정</x:v>
      </x:c>
      <x:c r="P22" s="36" t="str">
        <x:v>미정</x:v>
      </x:c>
      <x:c r="Q22" s="36" t="str">
        <x:v>전체</x:v>
      </x:c>
      <x:c r="R22" s="36" t="str">
        <x:v>백엔드 권한</x:v>
      </x:c>
      <x:c r="S22" s="36" t="str">
        <x:v>세션</x:v>
      </x:c>
      <x:c r="T22" s="36" t="str">
        <x:v>XL</x:v>
      </x:c>
      <x:c r="U22" s="36" t="str">
        <x:v>미착수</x:v>
      </x:c>
      <x:c r="V22" s="46" t="n">
        <x:f>IF(U22="완료",1,IF(U22="QA 진행 중",0.8,IF(U22="코드 리뷰",0.65,IF(U22="구현 중",0.4,IF(U22="사양 확인 중",0.1,IF(U22="차단",0.4,0))))))</x:f>
        <x:v>0</x:v>
      </x:c>
      <x:c r="W22" s="36" t="str">
        <x:v>미정</x:v>
      </x:c>
      <x:c r="X22" s="44"/>
      <x:c r="Y22" s="36" t="str">
        <x:v>ONL-008,NET-020</x:v>
      </x:c>
      <x:c r="Z22" s="36" t="str">
        <x:v>중간</x:v>
      </x:c>
      <x:c r="AA22" s="36" t="str">
        <x:v>네트워크</x:v>
      </x:c>
      <x:c r="AB22" s="36" t="str">
        <x:v>TC-ONL-021-01, TC-ONL-021-02</x:v>
      </x:c>
      <x:c r="AC22" s="36"/>
      <x:c r="AD22" s="36" t="str">
        <x:v>게임 기획서</x:v>
      </x:c>
      <x:c r="AE22" s="36"/>
      <x:c r="AF22" s="44" t="str">
        <x:v>2026-07-10</x:v>
      </x:c>
      <x:c r="AG22" s="36"/>
      <x:c r="AH22" s="54"/>
      <x:c r="AI22" s="54"/>
      <x:c r="AJ22" s="53" t="str">
        <x:v>착수 전</x:v>
      </x:c>
    </x:row>
    <x:row r="23" ht="42" customHeight="1">
      <x:c r="A23" s="36" t="str">
        <x:v>ONL-022</x:v>
      </x:c>
      <x:c r="B23" s="36" t="str">
        <x:v>온라인·로비·매치메이킹</x:v>
      </x:c>
      <x:c r="C23" s="36" t="str">
        <x:v>호환성</x:v>
      </x:c>
      <x:c r="D23" s="36" t="str">
        <x:v>크로스플레이</x:v>
      </x:c>
      <x:c r="E23" s="36" t="str">
        <x:v>크로스플레이·입력·지역 제한</x:v>
      </x:c>
      <x:c r="F23" s="36" t="str">
        <x:v>게임 규칙, 운영 요구사항과 대상 플랫폼 제약을 충족하도록 크로스플레이·입력·지역 제한 기능을 구현하고 검증한다.</x:v>
      </x:c>
      <x:c r="G23" s="36" t="str">
        <x:v>플랫폼, 크로스플레이 허용, 연령 제한, 지역 규제를 매칭 조건에 반영하고 지원하지 않는 조합은 대기열 등록 전에 거부한다.</x:v>
      </x:c>
      <x:c r="H23" s="36" t="str">
        <x:v>구현, 코드 리뷰, 사양 갱신, 대상 QA 케이스 실행, 로그·텔레메트리 확인과 관련 플랫폼 검증을 완료하고 미해결 P0·P1 결함이 없다.</x:v>
      </x:c>
      <x:c r="I23" s="36" t="str">
        <x:v>베타</x:v>
      </x:c>
      <x:c r="J23" s="36" t="str">
        <x:v>P1</x:v>
      </x:c>
      <x:c r="K23" s="36" t="str">
        <x:v>필수</x:v>
      </x:c>
      <x:c r="L23" s="36" t="str">
        <x:v>호환성</x:v>
      </x:c>
      <x:c r="M23" s="36" t="str">
        <x:v>베타</x:v>
      </x:c>
      <x:c r="N23" s="36" t="str">
        <x:v>온라인 엔지니어링</x:v>
      </x:c>
      <x:c r="O23" s="36" t="str">
        <x:v>미정</x:v>
      </x:c>
      <x:c r="P23" s="36" t="str">
        <x:v>미정</x:v>
      </x:c>
      <x:c r="Q23" s="36" t="str">
        <x:v>전체</x:v>
      </x:c>
      <x:c r="R23" s="36" t="str">
        <x:v>백엔드 권한</x:v>
      </x:c>
      <x:c r="S23" s="36" t="str">
        <x:v>계정</x:v>
      </x:c>
      <x:c r="T23" s="36" t="str">
        <x:v>XL</x:v>
      </x:c>
      <x:c r="U23" s="36" t="str">
        <x:v>미착수</x:v>
      </x:c>
      <x:c r="V23" s="46" t="n">
        <x:f>IF(U23="완료",1,IF(U23="QA 진행 중",0.8,IF(U23="코드 리뷰",0.65,IF(U23="구현 중",0.4,IF(U23="사양 확인 중",0.1,IF(U23="차단",0.4,0))))))</x:f>
        <x:v>0</x:v>
      </x:c>
      <x:c r="W23" s="36" t="str">
        <x:v>미정</x:v>
      </x:c>
      <x:c r="X23" s="44"/>
      <x:c r="Y23" s="36" t="str">
        <x:v>SET-026,BED-013</x:v>
      </x:c>
      <x:c r="Z23" s="36" t="str">
        <x:v>중간</x:v>
      </x:c>
      <x:c r="AA23" s="36" t="str">
        <x:v>호환성</x:v>
      </x:c>
      <x:c r="AB23" s="36" t="str">
        <x:v>TC-ONL-022-01</x:v>
      </x:c>
      <x:c r="AC23" s="36"/>
      <x:c r="AD23" s="36" t="str">
        <x:v>게임 기획서</x:v>
      </x:c>
      <x:c r="AE23" s="36"/>
      <x:c r="AF23" s="44" t="str">
        <x:v>2026-07-10</x:v>
      </x:c>
      <x:c r="AG23" s="36"/>
      <x:c r="AH23" s="54"/>
      <x:c r="AI23" s="54"/>
      <x:c r="AJ23" s="53" t="str">
        <x:v>착수 전</x:v>
      </x:c>
    </x:row>
    <x:row r="24" ht="42" customHeight="1">
      <x:c r="A24" s="36" t="str">
        <x:v>ONL-023</x:v>
      </x:c>
      <x:c r="B24" s="36" t="str">
        <x:v>온라인·로비·매치메이킹</x:v>
      </x:c>
      <x:c r="C24" s="36" t="str">
        <x:v>악용 방어</x:v>
      </x:c>
      <x:c r="D24" s="36" t="str">
        <x:v>요청 제한</x:v>
      </x:c>
      <x:c r="E24" s="36" t="str">
        <x:v>룸 생성·참가·초대 요청 제한</x:v>
      </x:c>
      <x:c r="F24" s="36" t="str">
        <x:v>게임 규칙, 운영 요구사항과 대상 플랫폼 제약을 충족하도록 룸 생성·참가·초대 요청 제한 기능을 구현하고 검증한다.</x:v>
      </x:c>
      <x:c r="G24" s="36" t="str">
        <x:v>IP, 계정, 기기 단위의 요청 제한과 점진적 대기 시간을 적용하되 정상 사용자의 재시도를 과도하게 방해하지 않는다.</x:v>
      </x:c>
      <x:c r="H24" s="36" t="str">
        <x:v>구현, 코드 리뷰, 사양 갱신, 대상 QA 케이스 실행, 로그·텔레메트리 확인과 관련 플랫폼 검증을 완료하고 미해결 P0·P1 결함이 없다.</x:v>
      </x:c>
      <x:c r="I24" s="36" t="str">
        <x:v>출시</x:v>
      </x:c>
      <x:c r="J24" s="36" t="str">
        <x:v>P0</x:v>
      </x:c>
      <x:c r="K24" s="36" t="str">
        <x:v>필수</x:v>
      </x:c>
      <x:c r="L24" s="36" t="str">
        <x:v>보안</x:v>
      </x:c>
      <x:c r="M24" s="36" t="str">
        <x:v>출시</x:v>
      </x:c>
      <x:c r="N24" s="36" t="str">
        <x:v>온라인 엔지니어링</x:v>
      </x:c>
      <x:c r="O24" s="36" t="str">
        <x:v>미정</x:v>
      </x:c>
      <x:c r="P24" s="36" t="str">
        <x:v>미정</x:v>
      </x:c>
      <x:c r="Q24" s="36" t="str">
        <x:v>전체</x:v>
      </x:c>
      <x:c r="R24" s="36" t="str">
        <x:v>백엔드 권한</x:v>
      </x:c>
      <x:c r="S24" s="36" t="str">
        <x:v>감사 로그</x:v>
      </x:c>
      <x:c r="T24" s="36" t="str">
        <x:v>L</x:v>
      </x:c>
      <x:c r="U24" s="36" t="str">
        <x:v>미착수</x:v>
      </x:c>
      <x:c r="V24" s="46" t="n">
        <x:f>IF(U24="완료",1,IF(U24="QA 진행 중",0.8,IF(U24="코드 리뷰",0.65,IF(U24="구현 중",0.4,IF(U24="사양 확인 중",0.1,IF(U24="차단",0.4,0))))))</x:f>
        <x:v>0</x:v>
      </x:c>
      <x:c r="W24" s="36" t="str">
        <x:v>미정</x:v>
      </x:c>
      <x:c r="X24" s="44"/>
      <x:c r="Y24" s="36" t="str">
        <x:v>BED-017,BED-018</x:v>
      </x:c>
      <x:c r="Z24" s="36" t="str">
        <x:v>중간</x:v>
      </x:c>
      <x:c r="AA24" s="36" t="str">
        <x:v>보안</x:v>
      </x:c>
      <x:c r="AB24" s="36" t="str">
        <x:v>TC-ONL-023-01, TC-ONL-023-02</x:v>
      </x:c>
      <x:c r="AC24" s="36"/>
      <x:c r="AD24" s="36" t="str">
        <x:v>게임 기획서</x:v>
      </x:c>
      <x:c r="AE24" s="36"/>
      <x:c r="AF24" s="44" t="str">
        <x:v>2026-07-10</x:v>
      </x:c>
      <x:c r="AG24" s="36"/>
      <x:c r="AH24" s="54"/>
      <x:c r="AI24" s="54"/>
      <x:c r="AJ24" s="53" t="str">
        <x:v>착수 전</x:v>
      </x:c>
    </x:row>
    <x:row r="25" ht="42" customHeight="1">
      <x:c r="A25" s="36" t="str">
        <x:v>ONL-024</x:v>
      </x:c>
      <x:c r="B25" s="36" t="str">
        <x:v>온라인·로비·매치메이킹</x:v>
      </x:c>
      <x:c r="C25" s="36" t="str">
        <x:v>매치메이킹</x:v>
      </x:c>
      <x:c r="D25" s="36" t="str">
        <x:v>품질</x:v>
      </x:c>
      <x:c r="E25" s="36" t="str">
        <x:v>매치 품질 지표</x:v>
      </x:c>
      <x:c r="F25" s="36" t="str">
        <x:v>게임 규칙, 운영 요구사항과 대상 플랫폼 제약을 충족하도록 매치 품질 지표 기능을 구현하고 검증한다.</x:v>
      </x:c>
      <x:c r="G25" s="36" t="str">
        <x:v>검색 시간, 매칭 성립률, 예상·실측 핑, 이탈률, 재접속률을 익명화해 수집하고 지역과 버전별로 모니터링할 수 있다.</x:v>
      </x:c>
      <x:c r="H25" s="36" t="str">
        <x:v>구현, 코드 리뷰, 사양 갱신, 대상 QA 케이스 실행, 로그·텔레메트리 확인과 관련 플랫폼 검증을 완료하고 미해결 P0·P1 결함이 없다.</x:v>
      </x:c>
      <x:c r="I25" s="36" t="str">
        <x:v>베타</x:v>
      </x:c>
      <x:c r="J25" s="36" t="str">
        <x:v>P1</x:v>
      </x:c>
      <x:c r="K25" s="36" t="str">
        <x:v>필수</x:v>
      </x:c>
      <x:c r="L25" s="36" t="str">
        <x:v>운영</x:v>
      </x:c>
      <x:c r="M25" s="36" t="str">
        <x:v>베타</x:v>
      </x:c>
      <x:c r="N25" s="36" t="str">
        <x:v>온라인 엔지니어링</x:v>
      </x:c>
      <x:c r="O25" s="36" t="str">
        <x:v>미정</x:v>
      </x:c>
      <x:c r="P25" s="36" t="str">
        <x:v>미정</x:v>
      </x:c>
      <x:c r="Q25" s="36" t="str">
        <x:v>전체</x:v>
      </x:c>
      <x:c r="R25" s="36" t="str">
        <x:v>백엔드 권한</x:v>
      </x:c>
      <x:c r="S25" s="36" t="str">
        <x:v>백엔드</x:v>
      </x:c>
      <x:c r="T25" s="36" t="str">
        <x:v>L</x:v>
      </x:c>
      <x:c r="U25" s="36" t="str">
        <x:v>미착수</x:v>
      </x:c>
      <x:c r="V25" s="46" t="n">
        <x:f>IF(U25="완료",1,IF(U25="QA 진행 중",0.8,IF(U25="코드 리뷰",0.65,IF(U25="구현 중",0.4,IF(U25="사양 확인 중",0.1,IF(U25="차단",0.4,0))))))</x:f>
        <x:v>0</x:v>
      </x:c>
      <x:c r="W25" s="36" t="str">
        <x:v>미정</x:v>
      </x:c>
      <x:c r="X25" s="44"/>
      <x:c r="Y25" s="36" t="str">
        <x:v>ONL-013,BED-008</x:v>
      </x:c>
      <x:c r="Z25" s="36" t="str">
        <x:v>중간</x:v>
      </x:c>
      <x:c r="AA25" s="36" t="str">
        <x:v>운영</x:v>
      </x:c>
      <x:c r="AB25" s="36" t="str">
        <x:v>TC-ONL-024-01</x:v>
      </x:c>
      <x:c r="AC25" s="36"/>
      <x:c r="AD25" s="36" t="str">
        <x:v>게임 기획서</x:v>
      </x:c>
      <x:c r="AE25" s="36"/>
      <x:c r="AF25" s="44" t="str">
        <x:v>2026-07-10</x:v>
      </x:c>
      <x:c r="AG25" s="36"/>
      <x:c r="AH25" s="54"/>
      <x:c r="AI25" s="54"/>
      <x:c r="AJ25" s="53" t="str">
        <x:v>착수 전</x:v>
      </x:c>
    </x:row>
    <x:row r="26" ht="42" customHeight="1">
      <x:c r="A26" s="36" t="str">
        <x:v>ONL-025</x:v>
      </x:c>
      <x:c r="B26" s="36" t="str">
        <x:v>온라인·로비·매치메이킹</x:v>
      </x:c>
      <x:c r="C26" s="36" t="str">
        <x:v>서비스 운영</x:v>
      </x:c>
      <x:c r="D26" s="36" t="str">
        <x:v>점검</x:v>
      </x:c>
      <x:c r="E26" s="36" t="str">
        <x:v>점검·축소 운영·상태 공지</x:v>
      </x:c>
      <x:c r="F26" s="36" t="str">
        <x:v>게임 규칙, 운영 요구사항과 대상 플랫폼 제약을 충족하도록 점검·축소 운영·상태 공지 기능을 구현하고 검증한다.</x:v>
      </x:c>
      <x:c r="G26" s="36" t="str">
        <x:v>계획 점검, 부분 장애, 신규 매치 시작 중지, 기존 매치 지속 여부를 원격 제어하고 클라이언트에 일관된 안내 문구를 표시한다.</x:v>
      </x:c>
      <x:c r="H26" s="36" t="str">
        <x:v>구현, 코드 리뷰, 사양 갱신, 대상 QA 케이스 실행, 로그·텔레메트리 확인과 관련 플랫폼 검증을 완료하고 미해결 P0·P1 결함이 없다.</x:v>
      </x:c>
      <x:c r="I26" s="36" t="str">
        <x:v>출시</x:v>
      </x:c>
      <x:c r="J26" s="36" t="str">
        <x:v>P0</x:v>
      </x:c>
      <x:c r="K26" s="36" t="str">
        <x:v>필수</x:v>
      </x:c>
      <x:c r="L26" s="36" t="str">
        <x:v>운영</x:v>
      </x:c>
      <x:c r="M26" s="36" t="str">
        <x:v>출시</x:v>
      </x:c>
      <x:c r="N26" s="36" t="str">
        <x:v>온라인 엔지니어링</x:v>
      </x:c>
      <x:c r="O26" s="36" t="str">
        <x:v>미정</x:v>
      </x:c>
      <x:c r="P26" s="36" t="str">
        <x:v>미정</x:v>
      </x:c>
      <x:c r="Q26" s="36" t="str">
        <x:v>전체</x:v>
      </x:c>
      <x:c r="R26" s="36" t="str">
        <x:v>백엔드 권한</x:v>
      </x:c>
      <x:c r="S26" s="36" t="str">
        <x:v>백엔드</x:v>
      </x:c>
      <x:c r="T26" s="36" t="str">
        <x:v>L</x:v>
      </x:c>
      <x:c r="U26" s="36" t="str">
        <x:v>미착수</x:v>
      </x:c>
      <x:c r="V26" s="46" t="n">
        <x:f>IF(U26="완료",1,IF(U26="QA 진행 중",0.8,IF(U26="코드 리뷰",0.65,IF(U26="구현 중",0.4,IF(U26="사양 확인 중",0.1,IF(U26="차단",0.4,0))))))</x:f>
        <x:v>0</x:v>
      </x:c>
      <x:c r="W26" s="36" t="str">
        <x:v>미정</x:v>
      </x:c>
      <x:c r="X26" s="44"/>
      <x:c r="Y26" s="36" t="str">
        <x:v>BED-016,BED-019,UIX-026</x:v>
      </x:c>
      <x:c r="Z26" s="36" t="str">
        <x:v>중간</x:v>
      </x:c>
      <x:c r="AA26" s="36" t="str">
        <x:v>운영</x:v>
      </x:c>
      <x:c r="AB26" s="36" t="str">
        <x:v>TC-ONL-025-01, TC-ONL-025-02</x:v>
      </x:c>
      <x:c r="AC26" s="36"/>
      <x:c r="AD26" s="36" t="str">
        <x:v>게임 기획서</x:v>
      </x:c>
      <x:c r="AE26" s="36"/>
      <x:c r="AF26" s="44" t="str">
        <x:v>2026-07-10</x:v>
      </x:c>
      <x:c r="AG26" s="36"/>
      <x:c r="AH26" s="54"/>
      <x:c r="AI26" s="54"/>
      <x:c r="AJ26" s="53" t="str">
        <x:v>착수 전</x:v>
      </x:c>
    </x:row>
  </x:sheetData>
  <x:conditionalFormatting sqref="U2:U26">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26">
    <x:cfRule type="expression" dxfId="6" priority="7">
      <x:formula>J2="P0"</x:formula>
    </x:cfRule>
    <x:cfRule type="expression" dxfId="7" priority="8">
      <x:formula>J2="P1"</x:formula>
    </x:cfRule>
  </x:conditionalFormatting>
  <x:conditionalFormatting sqref="Z2:Z26">
    <x:cfRule type="expression" dxfId="8" priority="9">
      <x:formula>Z2="높음"</x:formula>
    </x:cfRule>
    <x:cfRule type="expression" dxfId="9" priority="10">
      <x:formula>Z2="중간"</x:formula>
    </x:cfRule>
  </x:conditionalFormatting>
  <x:conditionalFormatting sqref="AJ2:AJ26">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26">
      <x:formula1>"MVP,알파,베타,릴리스 후보,출시,출시 후,대상 제외"</x:formula1>
    </x:dataValidation>
    <x:dataValidation type="list" sqref="J2:J26">
      <x:formula1>"P0,P1,P2,P3"</x:formula1>
    </x:dataValidation>
    <x:dataValidation type="list" sqref="K2:K26">
      <x:formula1>"필수,조건부,권장,대상 제외"</x:formula1>
    </x:dataValidation>
    <x:dataValidation type="list" sqref="Q2:Q26">
      <x:formula1>"전체,PC,콘솔,모바일,서버,백엔드,도구,웹·관리자"</x:formula1>
    </x:dataValidation>
    <x:dataValidation type="list" sqref="R2:R26">
      <x:formula1>"서버 권한,클라이언트 예측·서버 검증,클라이언트 로컬,백엔드 권한,호스트 권한,콘텐츠 데이터,해당 없음"</x:formula1>
    </x:dataValidation>
    <x:dataValidation type="list" sqref="S2:S26">
      <x:formula1>"없음,세션,매치,계정,단말 로컬,백엔드,감사 로그"</x:formula1>
    </x:dataValidation>
    <x:dataValidation type="list" sqref="T2:T26">
      <x:formula1>"XS,S,M,L,XL,분할 필요"</x:formula1>
    </x:dataValidation>
    <x:dataValidation type="list" sqref="U2:U26">
      <x:formula1>"미착수,사양 확인 중,구현 중,코드 리뷰,QA 진행 중,차단,완료,보류"</x:formula1>
    </x:dataValidation>
    <x:dataValidation type="list" sqref="Z2:Z26">
      <x:formula1>"높음,중간,낮음"</x:formula1>
    </x:dataValidation>
    <x:dataValidation type="list" sqref="AA2:AA26">
      <x:formula1>"기능,통합,경계값,네트워크,보안,성능,호환성,사용성,접근성,현지화,밸런스,운영,안전,부하"</x:formula1>
    </x:dataValidation>
    <x:dataValidation type="list" sqref="AJ2:AJ26">
      <x:formula1>"착수 전,작업 중,완료"</x:formula1>
    </x:dataValidation>
  </x:dataValidations>
  <x:pageMargins left="0.7" right="0.7" top="0.75" bottom="0.75" header="0.3" footer="0.3"/>
  <x:tableParts count="1">
    <x:tablePart xmlns:r="http://schemas.openxmlformats.org/officeDocument/2006/relationships" r:id="Rc40d6af33bfd4de3"/>
  </x:tableParts>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34" hidden="0" customWidth="1"/>
    <x:col min="4" max="4" width="24" hidden="0" customWidth="1"/>
    <x:col min="5" max="5" width="14" hidden="0" customWidth="1"/>
    <x:col min="6" max="6" width="42" hidden="0" customWidth="1"/>
    <x:col min="7" max="7" width="24" hidden="0" customWidth="1"/>
  </x:cols>
  <x:sheetData>
    <x:row r="1" ht="30" customHeight="1">
      <x:c r="A1" s="40" t="str">
        <x:v>상태</x:v>
      </x:c>
      <x:c r="B1" s="40" t="str">
        <x:v>진입 조건</x:v>
      </x:c>
      <x:c r="C1" s="40" t="str">
        <x:v>허용 동작</x:v>
      </x:c>
      <x:c r="D1" s="40" t="str">
        <x:v>종료 상태</x:v>
      </x:c>
      <x:c r="E1" s="40" t="str">
        <x:v>시간 제한</x:v>
      </x:c>
      <x:c r="F1" s="40" t="str">
        <x:v>실패 처리</x:v>
      </x:c>
      <x:c r="G1" s="40" t="str">
        <x:v>관련 ID</x:v>
      </x:c>
    </x:row>
    <x:row r="2" ht="42" customHeight="1">
      <x:c r="A2" s="36" t="str">
        <x:v>오프라인</x:v>
      </x:c>
      <x:c r="B2" s="36" t="str">
        <x:v>앱 실행·연결 끊김</x:v>
      </x:c>
      <x:c r="C2" s="36" t="str">
        <x:v>재접속·설정</x:v>
      </x:c>
      <x:c r="D2" s="36" t="str">
        <x:v>인증 중</x:v>
      </x:c>
      <x:c r="E2" s="36" t="str">
        <x:v>30초</x:v>
      </x:c>
      <x:c r="F2" s="36" t="str">
        <x:v>오프라인 상태 표시</x:v>
      </x:c>
      <x:c r="G2" s="36" t="str">
        <x:v>ONL-001</x:v>
      </x:c>
    </x:row>
    <x:row r="3" ht="42" customHeight="1">
      <x:c r="A3" s="36" t="str">
        <x:v>인증 중</x:v>
      </x:c>
      <x:c r="B3" s="36" t="str">
        <x:v>인증 시작</x:v>
      </x:c>
      <x:c r="C3" s="36" t="str">
        <x:v>취소</x:v>
      </x:c>
      <x:c r="D3" s="36" t="str">
        <x:v>온라인 대기</x:v>
      </x:c>
      <x:c r="E3" s="36" t="str">
        <x:v>20초</x:v>
      </x:c>
      <x:c r="F3" s="36" t="str">
        <x:v>토큰 갱신·오류 표시</x:v>
      </x:c>
      <x:c r="G3" s="36" t="str">
        <x:v>ONL-002</x:v>
      </x:c>
    </x:row>
    <x:row r="4" ht="42" customHeight="1">
      <x:c r="A4" s="36" t="str">
        <x:v>온라인 대기</x:v>
      </x:c>
      <x:c r="B4" s="36" t="str">
        <x:v>인증 성공</x:v>
      </x:c>
      <x:c r="C4" s="36" t="str">
        <x:v>룸 생성·참가·검색</x:v>
      </x:c>
      <x:c r="D4" s="36" t="str">
        <x:v>로비·매치메이킹</x:v>
      </x:c>
      <x:c r="E4" s="36" t="str">
        <x:v>해당 없음</x:v>
      </x:c>
      <x:c r="F4" s="36" t="str">
        <x:v>서비스 상태 표시</x:v>
      </x:c>
      <x:c r="G4" s="36" t="str">
        <x:v>ONL-004,ONL-006,ONL-013</x:v>
      </x:c>
    </x:row>
    <x:row r="5" ht="42" customHeight="1">
      <x:c r="A5" s="36" t="str">
        <x:v>로비</x:v>
      </x:c>
      <x:c r="B5" s="36" t="str">
        <x:v>룸 생성·참가</x:v>
      </x:c>
      <x:c r="C5" s="36" t="str">
        <x:v>준비·설정·초대·나가기</x:v>
      </x:c>
      <x:c r="D5" s="36" t="str">
        <x:v>시작 중·온라인 대기</x:v>
      </x:c>
      <x:c r="E5" s="36" t="str">
        <x:v>해당 없음</x:v>
      </x:c>
      <x:c r="F5" s="36" t="str">
        <x:v>호스트·예약 슬롯 처리</x:v>
      </x:c>
      <x:c r="G5" s="36" t="str">
        <x:v>ONL-007,ONL-010</x:v>
      </x:c>
    </x:row>
    <x:row r="6" ht="42" customHeight="1">
      <x:c r="A6" s="36" t="str">
        <x:v>시작 중</x:v>
      </x:c>
      <x:c r="B6" s="36" t="str">
        <x:v>시작 요청</x:v>
      </x:c>
      <x:c r="C6" s="36" t="str">
        <x:v>취소 불가</x:v>
      </x:c>
      <x:c r="D6" s="36" t="str">
        <x:v>매치 중·로비</x:v>
      </x:c>
      <x:c r="E6" s="36" t="str">
        <x:v>45초</x:v>
      </x:c>
      <x:c r="F6" s="36" t="str">
        <x:v>사전 점검 실패를 로비에 표시</x:v>
      </x:c>
      <x:c r="G6" s="36" t="str">
        <x:v>ONL-011</x:v>
      </x:c>
    </x:row>
    <x:row r="7" ht="42" customHeight="1">
      <x:c r="A7" s="36" t="str">
        <x:v>매치 중</x:v>
      </x:c>
      <x:c r="B7" s="36" t="str">
        <x:v>시작 성공</x:v>
      </x:c>
      <x:c r="C7" s="36" t="str">
        <x:v>재접속·나가기</x:v>
      </x:c>
      <x:c r="D7" s="36" t="str">
        <x:v>매치 종료 후</x:v>
      </x:c>
      <x:c r="E7" s="36" t="str">
        <x:v>매치 규칙</x:v>
      </x:c>
      <x:c r="F7" s="36" t="str">
        <x:v>연결 끊김 예약 슬롯 유지</x:v>
      </x:c>
      <x:c r="G7" s="36" t="str">
        <x:v>ONL-016,ONL-017</x:v>
      </x:c>
    </x:row>
    <x:row r="8" ht="42" customHeight="1">
      <x:c r="A8" s="36" t="str">
        <x:v>매치 종료 후</x:v>
      </x:c>
      <x:c r="B8" s="36" t="str">
        <x:v>결과 확정</x:v>
      </x:c>
      <x:c r="C8" s="36" t="str">
        <x:v>재대결·나가기</x:v>
      </x:c>
      <x:c r="D8" s="36" t="str">
        <x:v>로비·온라인 대기</x:v>
      </x:c>
      <x:c r="E8" s="36" t="str">
        <x:v>30초</x:v>
      </x:c>
      <x:c r="F8" s="36" t="str">
        <x:v>저장 재전송</x:v>
      </x:c>
      <x:c r="G8" s="36" t="str">
        <x:v>ONL-019</x:v>
      </x:c>
    </x:row>
  </x:sheetData>
  <x:pageMargins left="0.7" right="0.7" top="0.75" bottom="0.75" header="0.3" footer="0.3"/>
  <x:tableParts count="1">
    <x:tablePart xmlns:r="http://schemas.openxmlformats.org/officeDocument/2006/relationships" r:id="R548ee94be10748ff"/>
  </x:tableParts>
</x:worksheet>
</file>

<file path=xl/worksheets/sheet4.xml><?xml version="1.0" encoding="utf-8"?>
<x:worksheet xmlns:x="http://schemas.openxmlformats.org/spreadsheetml/2006/main">
  <x:sheetFormatPr defaultRowHeight="15"/>
  <x:cols>
    <x:col min="1" max="1" width="20" hidden="0" customWidth="1"/>
    <x:col min="2" max="2" width="16" hidden="0" customWidth="1"/>
    <x:col min="3" max="3" width="30" hidden="0" customWidth="1"/>
    <x:col min="4" max="4" width="12" hidden="0" customWidth="1"/>
    <x:col min="5" max="5" width="34" hidden="0" customWidth="1"/>
    <x:col min="6" max="6" width="32" hidden="0" customWidth="1"/>
    <x:col min="7" max="7" width="14" hidden="0" customWidth="1"/>
    <x:col min="8" max="8" width="24" hidden="0" customWidth="1"/>
  </x:cols>
  <x:sheetData>
    <x:row r="1" ht="30" customHeight="1">
      <x:c r="A1" s="40" t="str">
        <x:v>오류 코드</x:v>
      </x:c>
      <x:c r="B1" s="40" t="str">
        <x:v>범주</x:v>
      </x:c>
      <x:c r="C1" s="40" t="str">
        <x:v>사용자 표시 키</x:v>
      </x:c>
      <x:c r="D1" s="40" t="str">
        <x:v>재시도</x:v>
      </x:c>
      <x:c r="E1" s="40" t="str">
        <x:v>주요 원인</x:v>
      </x:c>
      <x:c r="F1" s="40" t="str">
        <x:v>복구 경로</x:v>
      </x:c>
      <x:c r="G1" s="40" t="str">
        <x:v>로그 수준</x:v>
      </x:c>
      <x:c r="H1" s="40" t="str">
        <x:v>관련 ID</x:v>
      </x:c>
    </x:row>
    <x:row r="2" ht="42" customHeight="1">
      <x:c r="A2" s="36" t="str">
        <x:v>ONL-AUTH-001</x:v>
      </x:c>
      <x:c r="B2" s="36" t="str">
        <x:v>인증</x:v>
      </x:c>
      <x:c r="C2" s="36" t="str">
        <x:v>error.auth.expired</x:v>
      </x:c>
      <x:c r="D2" s="36" t="str">
        <x:v>가능</x:v>
      </x:c>
      <x:c r="E2" s="36" t="str">
        <x:v>토큰 만료</x:v>
      </x:c>
      <x:c r="F2" s="36" t="str">
        <x:v>재인증</x:v>
      </x:c>
      <x:c r="G2" s="36" t="str">
        <x:v>경고</x:v>
      </x:c>
      <x:c r="H2" s="36" t="str">
        <x:v>ONL-002</x:v>
      </x:c>
    </x:row>
    <x:row r="3" ht="42" customHeight="1">
      <x:c r="A3" s="36" t="str">
        <x:v>ONL-LOBBY-001</x:v>
      </x:c>
      <x:c r="B3" s="36" t="str">
        <x:v>로비</x:v>
      </x:c>
      <x:c r="C3" s="36" t="str">
        <x:v>error.lobby.full</x:v>
      </x:c>
      <x:c r="D3" s="36" t="str">
        <x:v>불가</x:v>
      </x:c>
      <x:c r="E3" s="36" t="str">
        <x:v>정원·예약 슬롯</x:v>
      </x:c>
      <x:c r="F3" s="36" t="str">
        <x:v>다른 룸 검색</x:v>
      </x:c>
      <x:c r="G3" s="36" t="str">
        <x:v>정보</x:v>
      </x:c>
      <x:c r="H3" s="36" t="str">
        <x:v>ONL-007</x:v>
      </x:c>
    </x:row>
    <x:row r="4" ht="42" customHeight="1">
      <x:c r="A4" s="36" t="str">
        <x:v>ONL-LOBBY-002</x:v>
      </x:c>
      <x:c r="B4" s="36" t="str">
        <x:v>로비</x:v>
      </x:c>
      <x:c r="C4" s="36" t="str">
        <x:v>error.lobby.started</x:v>
      </x:c>
      <x:c r="D4" s="36" t="str">
        <x:v>불가</x:v>
      </x:c>
      <x:c r="E4" s="36" t="str">
        <x:v>매치 시작됨</x:v>
      </x:c>
      <x:c r="F4" s="36" t="str">
        <x:v>로비로 돌아가기</x:v>
      </x:c>
      <x:c r="G4" s="36" t="str">
        <x:v>정보</x:v>
      </x:c>
      <x:c r="H4" s="36" t="str">
        <x:v>ONL-016</x:v>
      </x:c>
    </x:row>
    <x:row r="5" ht="42" customHeight="1">
      <x:c r="A5" s="36" t="str">
        <x:v>ONL-VER-001</x:v>
      </x:c>
      <x:c r="B5" s="36" t="str">
        <x:v>버전</x:v>
      </x:c>
      <x:c r="C5" s="36" t="str">
        <x:v>error.version.incompatible</x:v>
      </x:c>
      <x:c r="D5" s="36" t="str">
        <x:v>불가</x:v>
      </x:c>
      <x:c r="E5" s="36" t="str">
        <x:v>프로토콜·콘텐츠 버전</x:v>
      </x:c>
      <x:c r="F5" s="36" t="str">
        <x:v>업데이트 안내</x:v>
      </x:c>
      <x:c r="G5" s="36" t="str">
        <x:v>경고</x:v>
      </x:c>
      <x:c r="H5" s="36" t="str">
        <x:v>ONL-015</x:v>
      </x:c>
    </x:row>
    <x:row r="6" ht="42" customHeight="1">
      <x:c r="A6" s="36" t="str">
        <x:v>ONL-NET-001</x:v>
      </x:c>
      <x:c r="B6" s="36" t="str">
        <x:v>네트워크</x:v>
      </x:c>
      <x:c r="C6" s="36" t="str">
        <x:v>error.network.timeout</x:v>
      </x:c>
      <x:c r="D6" s="36" t="str">
        <x:v>가능</x:v>
      </x:c>
      <x:c r="E6" s="36" t="str">
        <x:v>연결 시간 초과</x:v>
      </x:c>
      <x:c r="F6" s="36" t="str">
        <x:v>재시도·지역 변경</x:v>
      </x:c>
      <x:c r="G6" s="36" t="str">
        <x:v>경고</x:v>
      </x:c>
      <x:c r="H6" s="36" t="str">
        <x:v>ONL-003,NET-025</x:v>
      </x:c>
    </x:row>
    <x:row r="7" ht="42" customHeight="1">
      <x:c r="A7" s="36" t="str">
        <x:v>ONL-SVC-001</x:v>
      </x:c>
      <x:c r="B7" s="36" t="str">
        <x:v>서비스</x:v>
      </x:c>
      <x:c r="C7" s="36" t="str">
        <x:v>error.service.maintenance</x:v>
      </x:c>
      <x:c r="D7" s="36" t="str">
        <x:v>나중에</x:v>
      </x:c>
      <x:c r="E7" s="36" t="str">
        <x:v>점검 중</x:v>
      </x:c>
      <x:c r="F7" s="36" t="str">
        <x:v>서비스 상태 표시</x:v>
      </x:c>
      <x:c r="G7" s="36" t="str">
        <x:v>정보</x:v>
      </x:c>
      <x:c r="H7" s="36" t="str">
        <x:v>ONL-025</x:v>
      </x:c>
    </x:row>
    <x:row r="8" ht="42" customHeight="1">
      <x:c r="A8" s="36" t="str">
        <x:v>ONL-RATE-001</x:v>
      </x:c>
      <x:c r="B8" s="36" t="str">
        <x:v>요청 제한</x:v>
      </x:c>
      <x:c r="C8" s="36" t="str">
        <x:v>error.rate_limited</x:v>
      </x:c>
      <x:c r="D8" s="36" t="str">
        <x:v>나중에</x:v>
      </x:c>
      <x:c r="E8" s="36" t="str">
        <x:v>요청 횟수 제한</x:v>
      </x:c>
      <x:c r="F8" s="36" t="str">
        <x:v>재시도 가능 시간 표시</x:v>
      </x:c>
      <x:c r="G8" s="36" t="str">
        <x:v>경고</x:v>
      </x:c>
      <x:c r="H8" s="36" t="str">
        <x:v>ONL-023</x:v>
      </x:c>
    </x:row>
  </x:sheetData>
  <x:pageMargins left="0.7" right="0.7" top="0.75" bottom="0.75" header="0.3" footer="0.3"/>
  <x:tableParts count="1">
    <x:tablePart xmlns:r="http://schemas.openxmlformats.org/officeDocument/2006/relationships" r:id="Rb45db446036c4e4a"/>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14" hidden="0" customWidth="1"/>
    <x:col min="5" max="5" width="14" hidden="0" customWidth="1"/>
    <x:col min="6" max="6" width="14" hidden="0" customWidth="1"/>
    <x:col min="7" max="7" width="30" hidden="0" customWidth="1"/>
  </x:cols>
  <x:sheetData>
    <x:row r="1" ht="30" customHeight="1">
      <x:c r="A1" s="40" t="str">
        <x:v>클라이언트</x:v>
      </x:c>
      <x:c r="B1" s="40" t="str">
        <x:v>서버</x:v>
      </x:c>
      <x:c r="C1" s="40" t="str">
        <x:v>프로토콜</x:v>
      </x:c>
      <x:c r="D1" s="40" t="str">
        <x:v>설정</x:v>
      </x:c>
      <x:c r="E1" s="40" t="str">
        <x:v>콘텐츠</x:v>
      </x:c>
      <x:c r="F1" s="40" t="str">
        <x:v>참가 가능 여부</x:v>
      </x:c>
      <x:c r="G1" s="40" t="str">
        <x:v>처리</x:v>
      </x:c>
    </x:row>
    <x:row r="2" ht="42" customHeight="1">
      <x:c r="A2" s="36" t="str">
        <x:v>N</x:v>
      </x:c>
      <x:c r="B2" s="36" t="str">
        <x:v>N</x:v>
      </x:c>
      <x:c r="C2" s="36" t="str">
        <x:v>N</x:v>
      </x:c>
      <x:c r="D2" s="36" t="str">
        <x:v>N</x:v>
      </x:c>
      <x:c r="E2" s="36" t="str">
        <x:v>N</x:v>
      </x:c>
      <x:c r="F2" s="36" t="str">
        <x:v>가능</x:v>
      </x:c>
      <x:c r="G2" s="36" t="str">
        <x:v>표준</x:v>
      </x:c>
    </x:row>
    <x:row r="3" ht="42" customHeight="1">
      <x:c r="A3" s="36" t="str">
        <x:v>N-1</x:v>
      </x:c>
      <x:c r="B3" s="36" t="str">
        <x:v>N</x:v>
      </x:c>
      <x:c r="C3" s="36" t="str">
        <x:v>호환</x:v>
      </x:c>
      <x:c r="D3" s="36" t="str">
        <x:v>호환</x:v>
      </x:c>
      <x:c r="E3" s="36" t="str">
        <x:v>호환</x:v>
      </x:c>
      <x:c r="F3" s="36" t="str">
        <x:v>가능</x:v>
      </x:c>
      <x:c r="G3" s="36" t="str">
        <x:v>경고 없음</x:v>
      </x:c>
    </x:row>
    <x:row r="4" ht="42" customHeight="1">
      <x:c r="A4" s="36" t="str">
        <x:v>N-2</x:v>
      </x:c>
      <x:c r="B4" s="36" t="str">
        <x:v>N</x:v>
      </x:c>
      <x:c r="C4" s="36" t="str">
        <x:v>비호환</x:v>
      </x:c>
      <x:c r="D4" s="36" t="str">
        <x:v>무관</x:v>
      </x:c>
      <x:c r="E4" s="36" t="str">
        <x:v>무관</x:v>
      </x:c>
      <x:c r="F4" s="36" t="str">
        <x:v>불가</x:v>
      </x:c>
      <x:c r="G4" s="36" t="str">
        <x:v>강제 업데이트</x:v>
      </x:c>
    </x:row>
    <x:row r="5" ht="42" customHeight="1">
      <x:c r="A5" s="36" t="str">
        <x:v>N</x:v>
      </x:c>
      <x:c r="B5" s="36" t="str">
        <x:v>N-1</x:v>
      </x:c>
      <x:c r="C5" s="36" t="str">
        <x:v>호환</x:v>
      </x:c>
      <x:c r="D5" s="36" t="str">
        <x:v>호환</x:v>
      </x:c>
      <x:c r="E5" s="36" t="str">
        <x:v>호환</x:v>
      </x:c>
      <x:c r="F5" s="36" t="str">
        <x:v>조건부</x:v>
      </x:c>
      <x:c r="G5" s="36" t="str">
        <x:v>서버 업데이트 대기</x:v>
      </x:c>
    </x:row>
    <x:row r="6" ht="42" customHeight="1">
      <x:c r="A6" s="36" t="str">
        <x:v>N</x:v>
      </x:c>
      <x:c r="B6" s="36" t="str">
        <x:v>N</x:v>
      </x:c>
      <x:c r="C6" s="36" t="str">
        <x:v>N</x:v>
      </x:c>
      <x:c r="D6" s="36" t="str">
        <x:v>N+1</x:v>
      </x:c>
      <x:c r="E6" s="36" t="str">
        <x:v>N</x:v>
      </x:c>
      <x:c r="F6" s="36" t="str">
        <x:v>불가</x:v>
      </x:c>
      <x:c r="G6" s="36" t="str">
        <x:v>설정 버전 다시 받기</x:v>
      </x:c>
    </x:row>
    <x:row r="7" ht="42" customHeight="1">
      <x:c r="A7" s="36" t="str">
        <x:v>N</x:v>
      </x:c>
      <x:c r="B7" s="36" t="str">
        <x:v>N</x:v>
      </x:c>
      <x:c r="C7" s="36" t="str">
        <x:v>N</x:v>
      </x:c>
      <x:c r="D7" s="36" t="str">
        <x:v>N</x:v>
      </x:c>
      <x:c r="E7" s="36" t="str">
        <x:v>N+1</x:v>
      </x:c>
      <x:c r="F7" s="36" t="str">
        <x:v>불가</x:v>
      </x:c>
      <x:c r="G7" s="36" t="str">
        <x:v>콘텐츠 업데이트</x:v>
      </x:c>
    </x:row>
  </x:sheetData>
  <x:pageMargins left="0.7" right="0.7" top="0.75" bottom="0.75" header="0.3" footer="0.3"/>
  <x:tableParts count="1">
    <x:tablePart xmlns:r="http://schemas.openxmlformats.org/officeDocument/2006/relationships" r:id="R8c7d0f164e5a4f30"/>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TC-ONL-001-01</x:v>
      </x:c>
      <x:c r="B2" s="36" t="str">
        <x:v>ONL-001</x:v>
      </x:c>
      <x:c r="C2" s="36" t="str">
        <x:v>온라인·로비·매치메이킹</x:v>
      </x:c>
      <x:c r="D2" s="36" t="str">
        <x:v>정상 시나리오: 온라인 서비스 초기화·연결 상태</x:v>
      </x:c>
      <x:c r="E2" s="36" t="str">
        <x:v>시작 시 인증, 로비, 매치, 음성 서비스의 상태를 확인하고 사용할 수 없는 서비스는 사유와 함께 관련 기능을 제한한다.</x:v>
      </x:c>
      <x:c r="F2" s="36" t="str">
        <x:v>대상 기능이 포함된 MVP 빌드, 필요한 테스트 계정·룸 설정·로그 접근 권한을 준비한다.</x:v>
      </x:c>
      <x:c r="G2" s="36" t="str">
        <x:v>1. 사전 조건 상태를 구성한다.
2. 표준 설정에서 다음 테스트 대상을 실행한다: 온라인 서비스 초기화·연결 상태.
3. UI, 서버 상태와 로그·텔레메트리를 확인한다.
4. 필요하면 재입장 또는 재실행하여 재현성을 확인한다.</x:v>
      </x:c>
      <x:c r="H2" s="36" t="str">
        <x:v>시작 시 인증, 로비, 매치, 음성 서비스의 상태를 확인하고 사용할 수 없는 서비스는 사유와 함께 관련 기능을 제한한다.</x:v>
      </x:c>
      <x:c r="I2" s="36" t="str">
        <x:v>통합</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TC-ONL-001-02</x:v>
      </x:c>
      <x:c r="B3" s="36" t="str">
        <x:v>ONL-001</x:v>
      </x:c>
      <x:c r="C3" s="36" t="str">
        <x:v>온라인·로비·매치메이킹</x:v>
      </x:c>
      <x:c r="D3" s="36" t="str">
        <x:v>예외·경계 시나리오: 온라인 서비스 초기화·연결 상태</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온라인 서비스 초기화·연결 상태에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통합</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TC-ONL-002-01</x:v>
      </x:c>
      <x:c r="B4" s="36" t="str">
        <x:v>ONL-002</x:v>
      </x:c>
      <x:c r="C4" s="36" t="str">
        <x:v>온라인·로비·매치메이킹</x:v>
      </x:c>
      <x:c r="D4" s="36" t="str">
        <x:v>정상 시나리오: 플랫폼 ID·게임 내부 ID 연결</x:v>
      </x:c>
      <x:c r="E4" s="36" t="str">
        <x:v>중복 로그인, 만료 토큰, 계정 전환을 처리하고 표시 이름과 내부 식별자를 분리한다.</x:v>
      </x:c>
      <x:c r="F4" s="36" t="str">
        <x:v>대상 기능이 포함된 MVP 빌드, 필요한 테스트 계정·룸 설정·로그 접근 권한을 준비한다.</x:v>
      </x:c>
      <x:c r="G4" s="36" t="str">
        <x:v>1. 사전 조건 상태를 구성한다.
2. 표준 설정에서 다음 테스트 대상을 실행한다: 플랫폼 ID·게임 내부 ID 연결.
3. UI, 서버 상태와 로그·텔레메트리를 확인한다.
4. 필요하면 재입장 또는 재실행하여 재현성을 확인한다.</x:v>
      </x:c>
      <x:c r="H4" s="36" t="str">
        <x:v>중복 로그인, 만료 토큰, 계정 전환을 처리하고 표시 이름과 내부 식별자를 분리한다.</x:v>
      </x:c>
      <x:c r="I4" s="36" t="str">
        <x:v>보안</x:v>
      </x:c>
      <x:c r="J4" s="36" t="str">
        <x:v>P0</x:v>
      </x:c>
      <x:c r="K4" s="36" t="str">
        <x:v>전체</x:v>
      </x:c>
      <x:c r="L4" s="36" t="str">
        <x:v>예</x:v>
      </x:c>
      <x:c r="M4" s="36" t="str">
        <x:v>미실시</x:v>
      </x:c>
      <x:c r="N4" s="36" t="str">
        <x:v>미정</x:v>
      </x:c>
      <x:c r="O4" s="36" t="str">
        <x:v>미정</x:v>
      </x:c>
      <x:c r="P4" s="36"/>
      <x:c r="Q4" s="36"/>
      <x:c r="R4" s="44" t="str">
        <x:v>2026-07-10</x:v>
      </x:c>
      <x:c r="S4" s="36"/>
      <x:c r="T4" s="54"/>
      <x:c r="U4" s="54"/>
      <x:c r="V4" s="53" t="str">
        <x:v>착수 전</x:v>
      </x:c>
    </x:row>
    <x:row r="5" ht="42" customHeight="1">
      <x:c r="A5" s="36" t="str">
        <x:v>TC-ONL-002-02</x:v>
      </x:c>
      <x:c r="B5" s="36" t="str">
        <x:v>ONL-002</x:v>
      </x:c>
      <x:c r="C5" s="36" t="str">
        <x:v>온라인·로비·매치메이킹</x:v>
      </x:c>
      <x:c r="D5" s="36" t="str">
        <x:v>예외·경계 시나리오: 플랫폼 ID·게임 내부 ID 연결</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플랫폼 ID·게임 내부 ID 연결에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보안</x:v>
      </x:c>
      <x:c r="J5" s="36" t="str">
        <x:v>P0</x:v>
      </x:c>
      <x:c r="K5" s="36" t="str">
        <x:v>전체</x:v>
      </x:c>
      <x:c r="L5" s="36" t="str">
        <x:v>예</x:v>
      </x:c>
      <x:c r="M5" s="36" t="str">
        <x:v>미실시</x:v>
      </x:c>
      <x:c r="N5" s="36" t="str">
        <x:v>미정</x:v>
      </x:c>
      <x:c r="O5" s="36" t="str">
        <x:v>미정</x:v>
      </x:c>
      <x:c r="P5" s="36"/>
      <x:c r="Q5" s="36"/>
      <x:c r="R5" s="44" t="str">
        <x:v>2026-07-10</x:v>
      </x:c>
      <x:c r="S5" s="36"/>
      <x:c r="T5" s="54"/>
      <x:c r="U5" s="54"/>
      <x:c r="V5" s="53" t="str">
        <x:v>착수 전</x:v>
      </x:c>
    </x:row>
    <x:row r="6" ht="42" customHeight="1">
      <x:c r="A6" s="36" t="str">
        <x:v>TC-ONL-003-01</x:v>
      </x:c>
      <x:c r="B6" s="36" t="str">
        <x:v>ONL-003</x:v>
      </x:c>
      <x:c r="C6" s="36" t="str">
        <x:v>온라인·로비·매치메이킹</x:v>
      </x:c>
      <x:c r="D6" s="36" t="str">
        <x:v>정상 시나리오: 자동 지역 선택·수동 재지정</x:v>
      </x:c>
      <x:c r="E6" s="36" t="str">
        <x:v>측정 핑과 서비스 가용성을 기준으로 지역을 선택하고 수동 선택 시 예상 지연을 표시한다. 지역 변경은 매치 시작 전에만 허용한다.</x:v>
      </x:c>
      <x:c r="F6" s="36" t="str">
        <x:v>대상 기능이 포함된 알파 빌드, 필요한 테스트 계정·룸 설정·로그 접근 권한을 준비한다.</x:v>
      </x:c>
      <x:c r="G6" s="36" t="str">
        <x:v>1. 사전 조건 상태를 구성한다.
2. 표준 설정에서 다음 테스트 대상을 실행한다: 자동 지역 선택·수동 재지정.
3. UI, 서버 상태와 로그·텔레메트리를 확인한다.
4. 필요하면 재입장 또는 재실행하여 재현성을 확인한다.</x:v>
      </x:c>
      <x:c r="H6" s="36" t="str">
        <x:v>측정 핑과 서비스 가용성을 기준으로 지역을 선택하고 수동 선택 시 예상 지연을 표시한다. 지역 변경은 매치 시작 전에만 허용한다.</x:v>
      </x:c>
      <x:c r="I6" s="36" t="str">
        <x:v>네트워크</x:v>
      </x:c>
      <x:c r="J6" s="36" t="str">
        <x:v>P1</x:v>
      </x:c>
      <x:c r="K6" s="36" t="str">
        <x:v>전체</x:v>
      </x:c>
      <x:c r="L6" s="36" t="str">
        <x:v>부분</x:v>
      </x:c>
      <x:c r="M6" s="36" t="str">
        <x:v>미실시</x:v>
      </x:c>
      <x:c r="N6" s="36" t="str">
        <x:v>미정</x:v>
      </x:c>
      <x:c r="O6" s="36" t="str">
        <x:v>미정</x:v>
      </x:c>
      <x:c r="P6" s="36"/>
      <x:c r="Q6" s="36"/>
      <x:c r="R6" s="44" t="str">
        <x:v>2026-07-10</x:v>
      </x:c>
      <x:c r="S6" s="36"/>
      <x:c r="T6" s="54"/>
      <x:c r="U6" s="54"/>
      <x:c r="V6" s="53" t="str">
        <x:v>착수 전</x:v>
      </x:c>
    </x:row>
    <x:row r="7" ht="42" customHeight="1">
      <x:c r="A7" s="36" t="str">
        <x:v>TC-ONL-004-01</x:v>
      </x:c>
      <x:c r="B7" s="36" t="str">
        <x:v>ONL-004</x:v>
      </x:c>
      <x:c r="C7" s="36" t="str">
        <x:v>온라인·로비·매치메이킹</x:v>
      </x:c>
      <x:c r="D7" s="36" t="str">
        <x:v>정상 시나리오: 룸 생성·고유 세션 ID 발급</x:v>
      </x:c>
      <x:c r="E7" s="36" t="str">
        <x:v>룸 생성 요청에 대해 고유 세션, 참가 코드, 설정 버전, 호스트 권한을 발급하고 실패할 경우 고립 세션을 남기지 않는다.</x:v>
      </x:c>
      <x:c r="F7" s="36" t="str">
        <x:v>대상 기능이 포함된 MVP 빌드, 필요한 테스트 계정·룸 설정·로그 접근 권한을 준비한다.</x:v>
      </x:c>
      <x:c r="G7" s="36" t="str">
        <x:v>1. 사전 조건 상태를 구성한다.
2. 표준 설정에서 다음 테스트 대상을 실행한다: 룸 생성·고유 세션 ID 발급.
3. UI, 서버 상태와 로그·텔레메트리를 확인한다.
4. 필요하면 재입장 또는 재실행하여 재현성을 확인한다.</x:v>
      </x:c>
      <x:c r="H7" s="36" t="str">
        <x:v>룸 생성 요청에 대해 고유 세션, 참가 코드, 설정 버전, 호스트 권한을 발급하고 실패할 경우 고립 세션을 남기지 않는다.</x:v>
      </x:c>
      <x:c r="I7" s="36" t="str">
        <x:v>통합</x:v>
      </x:c>
      <x:c r="J7" s="36" t="str">
        <x:v>P0</x:v>
      </x:c>
      <x:c r="K7" s="36" t="str">
        <x:v>전체</x:v>
      </x:c>
      <x:c r="L7" s="36" t="str">
        <x:v>예</x:v>
      </x:c>
      <x:c r="M7" s="36" t="str">
        <x:v>미실시</x:v>
      </x:c>
      <x:c r="N7" s="36" t="str">
        <x:v>미정</x:v>
      </x:c>
      <x:c r="O7" s="36" t="str">
        <x:v>미정</x:v>
      </x:c>
      <x:c r="P7" s="36"/>
      <x:c r="Q7" s="36"/>
      <x:c r="R7" s="44" t="str">
        <x:v>2026-07-10</x:v>
      </x:c>
      <x:c r="S7" s="36"/>
      <x:c r="T7" s="54"/>
      <x:c r="U7" s="54"/>
      <x:c r="V7" s="53" t="str">
        <x:v>착수 전</x:v>
      </x:c>
    </x:row>
    <x:row r="8" ht="42" customHeight="1">
      <x:c r="A8" s="36" t="str">
        <x:v>TC-ONL-004-02</x:v>
      </x:c>
      <x:c r="B8" s="36" t="str">
        <x:v>ONL-004</x:v>
      </x:c>
      <x:c r="C8" s="36" t="str">
        <x:v>온라인·로비·매치메이킹</x:v>
      </x:c>
      <x:c r="D8" s="36" t="str">
        <x:v>예외·경계 시나리오: 룸 생성·고유 세션 ID 발급</x:v>
      </x:c>
      <x:c r="E8" s="36" t="str">
        <x:v>허용되지 않은 상태, 잘못된 값, 중복, 만료, 권한 부족, 연결 끊김 입력으로 데이터 손상·정보 유출·클라이언트 상태 분기가 발생하지 않는지 확인한다.</x:v>
      </x:c>
      <x:c r="F8" s="36" t="str">
        <x:v>대상 기능이 포함된 MVP 빌드와 디버그 입력, 네트워크 열화, 비정상 요청 재현 수단을 준비한다.</x:v>
      </x:c>
      <x:c r="G8" s="36" t="str">
        <x:v>1. 허용되지 않은 페이즈 또는 경계값 조건을 구성한다.
2. 룸 생성·고유 세션 ID 발급에 대해 중복·무효·지연·연결 끊김을 포함한 요청을 전송한다.
3. 서버 거부, 롤백, 오류 표시와 감사 로그를 확인한다.
4. 모든 클라이언트의 상태가 일치하는지 확인한다.</x:v>
      </x:c>
      <x:c r="H8" s="36" t="str">
        <x:v>요청은 사양에 따라 거부되거나 안전하게 복구되며, 중복 반영, 데이터 손실, 정보 유출 또는 진행 중단이 발생하지 않는다. 오류와 상관관계 ID가 기록된다.</x:v>
      </x:c>
      <x:c r="I8" s="36" t="str">
        <x:v>통합</x:v>
      </x:c>
      <x:c r="J8" s="36" t="str">
        <x:v>P0</x:v>
      </x:c>
      <x:c r="K8" s="36" t="str">
        <x:v>전체</x:v>
      </x:c>
      <x:c r="L8" s="36" t="str">
        <x:v>예</x:v>
      </x:c>
      <x:c r="M8" s="36" t="str">
        <x:v>미실시</x:v>
      </x:c>
      <x:c r="N8" s="36" t="str">
        <x:v>미정</x:v>
      </x:c>
      <x:c r="O8" s="36" t="str">
        <x:v>미정</x:v>
      </x:c>
      <x:c r="P8" s="36"/>
      <x:c r="Q8" s="36"/>
      <x:c r="R8" s="44" t="str">
        <x:v>2026-07-10</x:v>
      </x:c>
      <x:c r="S8" s="36"/>
      <x:c r="T8" s="54"/>
      <x:c r="U8" s="54"/>
      <x:c r="V8" s="53" t="str">
        <x:v>착수 전</x:v>
      </x:c>
    </x:row>
    <x:row r="9" ht="42" customHeight="1">
      <x:c r="A9" s="36" t="str">
        <x:v>TC-ONL-005-01</x:v>
      </x:c>
      <x:c r="B9" s="36" t="str">
        <x:v>ONL-005</x:v>
      </x:c>
      <x:c r="C9" s="36" t="str">
        <x:v>온라인·로비·매치메이킹</x:v>
      </x:c>
      <x:c r="D9" s="36" t="str">
        <x:v>정상 시나리오: 공개·비공개·초대 전용 룸</x:v>
      </x:c>
      <x:c r="E9" s="36" t="str">
        <x:v>공개 범위에 따라 검색, 코드 참가, 초대 참가를 제어하고 권한이 없는 클라이언트의 설정 변경 요청을 거부한다.</x:v>
      </x:c>
      <x:c r="F9" s="36" t="str">
        <x:v>대상 기능이 포함된 알파 빌드, 필요한 테스트 계정·룸 설정·로그 접근 권한을 준비한다.</x:v>
      </x:c>
      <x:c r="G9" s="36" t="str">
        <x:v>1. 사전 조건 상태를 구성한다.
2. 표준 설정에서 다음 테스트 대상을 실행한다: 공개·비공개·초대 전용 룸.
3. UI, 서버 상태와 로그·텔레메트리를 확인한다.
4. 필요하면 재입장 또는 재실행하여 재현성을 확인한다.</x:v>
      </x:c>
      <x:c r="H9" s="36" t="str">
        <x:v>공개 범위에 따라 검색, 코드 참가, 초대 참가를 제어하고 권한이 없는 클라이언트의 설정 변경 요청을 거부한다.</x:v>
      </x:c>
      <x:c r="I9" s="36" t="str">
        <x:v>보안</x:v>
      </x:c>
      <x:c r="J9" s="36" t="str">
        <x:v>P1</x:v>
      </x:c>
      <x:c r="K9" s="36" t="str">
        <x:v>전체</x:v>
      </x:c>
      <x:c r="L9" s="36" t="str">
        <x:v>예</x:v>
      </x:c>
      <x:c r="M9" s="36" t="str">
        <x:v>미실시</x:v>
      </x:c>
      <x:c r="N9" s="36" t="str">
        <x:v>미정</x:v>
      </x:c>
      <x:c r="O9" s="36" t="str">
        <x:v>미정</x:v>
      </x:c>
      <x:c r="P9" s="36"/>
      <x:c r="Q9" s="36"/>
      <x:c r="R9" s="44" t="str">
        <x:v>2026-07-10</x:v>
      </x:c>
      <x:c r="S9" s="36"/>
      <x:c r="T9" s="54"/>
      <x:c r="U9" s="54"/>
      <x:c r="V9" s="53" t="str">
        <x:v>착수 전</x:v>
      </x:c>
    </x:row>
    <x:row r="10" ht="42" customHeight="1">
      <x:c r="A10" s="36" t="str">
        <x:v>TC-ONL-006-01</x:v>
      </x:c>
      <x:c r="B10" s="36" t="str">
        <x:v>ONL-006</x:v>
      </x:c>
      <x:c r="C10" s="36" t="str">
        <x:v>온라인·로비·매치메이킹</x:v>
      </x:c>
      <x:c r="D10" s="36" t="str">
        <x:v>정상 시나리오: 룸 코드 참가·유효 기간</x:v>
      </x:c>
      <x:c r="E10" s="36" t="str">
        <x:v>대소문자와 혼동 문자를 정규화하고 만료, 만원, 시작됨, 차단, 버전 불일치 사유를 구분해 반환한다.</x:v>
      </x:c>
      <x:c r="F10" s="36" t="str">
        <x:v>대상 기능이 포함된 MVP 빌드, 필요한 테스트 계정·룸 설정·로그 접근 권한을 준비한다.</x:v>
      </x:c>
      <x:c r="G10" s="36" t="str">
        <x:v>1. 사전 조건 상태를 구성한다.
2. 표준 설정에서 다음 테스트 대상을 실행한다: 룸 코드 참가·유효 기간.
3. UI, 서버 상태와 로그·텔레메트리를 확인한다.
4. 필요하면 재입장 또는 재실행하여 재현성을 확인한다.</x:v>
      </x:c>
      <x:c r="H10" s="36" t="str">
        <x:v>대소문자와 혼동 문자를 정규화하고 만료, 만원, 시작됨, 차단, 버전 불일치 사유를 구분해 반환한다.</x:v>
      </x:c>
      <x:c r="I10" s="36" t="str">
        <x:v>경계값</x:v>
      </x:c>
      <x:c r="J10" s="36" t="str">
        <x:v>P0</x:v>
      </x:c>
      <x:c r="K10" s="36" t="str">
        <x:v>전체</x:v>
      </x:c>
      <x:c r="L10" s="36" t="str">
        <x:v>예</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TC-ONL-006-02</x:v>
      </x:c>
      <x:c r="B11" s="36" t="str">
        <x:v>ONL-006</x:v>
      </x:c>
      <x:c r="C11" s="36" t="str">
        <x:v>온라인·로비·매치메이킹</x:v>
      </x:c>
      <x:c r="D11" s="36" t="str">
        <x:v>예외·경계 시나리오: 룸 코드 참가·유효 기간</x:v>
      </x:c>
      <x:c r="E11" s="36" t="str">
        <x:v>허용되지 않은 상태, 잘못된 값, 중복, 만료, 권한 부족, 연결 끊김 입력으로 데이터 손상·정보 유출·클라이언트 상태 분기가 발생하지 않는지 확인한다.</x:v>
      </x:c>
      <x:c r="F11" s="36" t="str">
        <x:v>대상 기능이 포함된 MVP 빌드와 디버그 입력, 네트워크 열화, 비정상 요청 재현 수단을 준비한다.</x:v>
      </x:c>
      <x:c r="G11" s="36" t="str">
        <x:v>1. 허용되지 않은 페이즈 또는 경계값 조건을 구성한다.
2. 룸 코드 참가·유효 기간에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경계값</x:v>
      </x:c>
      <x:c r="J11" s="36" t="str">
        <x:v>P0</x:v>
      </x:c>
      <x:c r="K11" s="36" t="str">
        <x:v>전체</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TC-ONL-007-01</x:v>
      </x:c>
      <x:c r="B12" s="36" t="str">
        <x:v>ONL-007</x:v>
      </x:c>
      <x:c r="C12" s="36" t="str">
        <x:v>온라인·로비·매치메이킹</x:v>
      </x:c>
      <x:c r="D12" s="36" t="str">
        <x:v>정상 시나리오: 4~6인 참가자 목록·정원·예약 슬롯</x:v>
      </x:c>
      <x:c r="E12" s="36" t="str">
        <x:v>동시 참가 경쟁 상황에서도 정원을 넘지 않고 재접속 예약 슬롯을 고려해 입장 가능 여부를 원자적으로 결정한다.</x:v>
      </x:c>
      <x:c r="F12" s="36" t="str">
        <x:v>대상 기능이 포함된 MVP 빌드, 필요한 테스트 계정·룸 설정·로그 접근 권한을 준비한다.</x:v>
      </x:c>
      <x:c r="G12" s="36" t="str">
        <x:v>1. 사전 조건 상태를 구성한다.
2. 표준 설정에서 다음 테스트 대상을 실행한다: 4~6인 참가자 목록·정원·예약 슬롯.
3. UI, 서버 상태와 로그·텔레메트리를 확인한다.
4. 필요하면 재입장 또는 재실행하여 재현성을 확인한다.</x:v>
      </x:c>
      <x:c r="H12" s="36" t="str">
        <x:v>동시 참가 경쟁 상황에서도 정원을 넘지 않고 재접속 예약 슬롯을 고려해 입장 가능 여부를 원자적으로 결정한다.</x:v>
      </x:c>
      <x:c r="I12" s="36" t="str">
        <x:v>네트워크</x:v>
      </x:c>
      <x:c r="J12" s="36" t="str">
        <x:v>P0</x:v>
      </x:c>
      <x:c r="K12" s="36" t="str">
        <x:v>전체</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TC-ONL-007-02</x:v>
      </x:c>
      <x:c r="B13" s="36" t="str">
        <x:v>ONL-007</x:v>
      </x:c>
      <x:c r="C13" s="36" t="str">
        <x:v>온라인·로비·매치메이킹</x:v>
      </x:c>
      <x:c r="D13" s="36" t="str">
        <x:v>예외·경계 시나리오: 4~6인 참가자 목록·정원·예약 슬롯</x:v>
      </x:c>
      <x:c r="E13" s="36" t="str">
        <x:v>허용되지 않은 상태, 잘못된 값, 중복, 만료, 권한 부족, 연결 끊김 입력으로 데이터 손상·정보 유출·클라이언트 상태 분기가 발생하지 않는지 확인한다.</x:v>
      </x:c>
      <x:c r="F13" s="36" t="str">
        <x:v>대상 기능이 포함된 MVP 빌드와 디버그 입력, 네트워크 열화, 비정상 요청 재현 수단을 준비한다.</x:v>
      </x:c>
      <x:c r="G13" s="36" t="str">
        <x:v>1. 허용되지 않은 페이즈 또는 경계값 조건을 구성한다.
2. 4~6인 참가자 목록·정원·예약 슬롯에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네트워크</x:v>
      </x:c>
      <x:c r="J13" s="36" t="str">
        <x:v>P0</x:v>
      </x:c>
      <x:c r="K13" s="36" t="str">
        <x:v>전체</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TC-ONL-008-01</x:v>
      </x:c>
      <x:c r="B14" s="36" t="str">
        <x:v>ONL-008</x:v>
      </x:c>
      <x:c r="C14" s="36" t="str">
        <x:v>온라인·로비·매치메이킹</x:v>
      </x:c>
      <x:c r="D14" s="36" t="str">
        <x:v>정상 시나리오: 호스트 권한·관리 기능</x:v>
      </x:c>
      <x:c r="E14" s="36" t="str">
        <x:v>설정 변경, 시작, 강제 퇴장, 공개 범위 변경은 권한 보유자만 실행할 수 있으며 권한 이전 또는 호스트 이탈 정책을 정의한다.</x:v>
      </x:c>
      <x:c r="F14" s="36" t="str">
        <x:v>대상 기능이 포함된 MVP 빌드, 필요한 테스트 계정·룸 설정·로그 접근 권한을 준비한다.</x:v>
      </x:c>
      <x:c r="G14" s="36" t="str">
        <x:v>1. 사전 조건 상태를 구성한다.
2. 표준 설정에서 다음 테스트 대상을 실행한다: 호스트 권한·관리 기능.
3. UI, 서버 상태와 로그·텔레메트리를 확인한다.
4. 필요하면 재입장 또는 재실행하여 재현성을 확인한다.</x:v>
      </x:c>
      <x:c r="H14" s="36" t="str">
        <x:v>설정 변경, 시작, 강제 퇴장, 공개 범위 변경은 권한 보유자만 실행할 수 있으며 권한 이전 또는 호스트 이탈 정책을 정의한다.</x:v>
      </x:c>
      <x:c r="I14" s="36" t="str">
        <x:v>보안</x:v>
      </x:c>
      <x:c r="J14" s="36" t="str">
        <x:v>P0</x:v>
      </x:c>
      <x:c r="K14" s="36" t="str">
        <x:v>전체</x:v>
      </x:c>
      <x:c r="L14" s="36" t="str">
        <x:v>예</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TC-ONL-008-02</x:v>
      </x:c>
      <x:c r="B15" s="36" t="str">
        <x:v>ONL-008</x:v>
      </x:c>
      <x:c r="C15" s="36" t="str">
        <x:v>온라인·로비·매치메이킹</x:v>
      </x:c>
      <x:c r="D15" s="36" t="str">
        <x:v>예외·경계 시나리오: 호스트 권한·관리 기능</x:v>
      </x:c>
      <x:c r="E15" s="36" t="str">
        <x:v>허용되지 않은 상태, 잘못된 값, 중복, 만료, 권한 부족, 연결 끊김 입력으로 데이터 손상·정보 유출·클라이언트 상태 분기가 발생하지 않는지 확인한다.</x:v>
      </x:c>
      <x:c r="F15" s="36" t="str">
        <x:v>대상 기능이 포함된 MVP 빌드와 디버그 입력, 네트워크 열화, 비정상 요청 재현 수단을 준비한다.</x:v>
      </x:c>
      <x:c r="G15" s="36" t="str">
        <x:v>1. 허용되지 않은 페이즈 또는 경계값 조건을 구성한다.
2. 호스트 권한·관리 기능에 대해 중복·무효·지연·연결 끊김을 포함한 요청을 전송한다.
3. 서버 거부, 롤백, 오류 표시와 감사 로그를 확인한다.
4. 모든 클라이언트의 상태가 일치하는지 확인한다.</x:v>
      </x:c>
      <x:c r="H15" s="36" t="str">
        <x:v>요청은 사양에 따라 거부되거나 안전하게 복구되며, 중복 반영, 데이터 손실, 정보 유출 또는 진행 중단이 발생하지 않는다. 오류와 상관관계 ID가 기록된다.</x:v>
      </x:c>
      <x:c r="I15" s="36" t="str">
        <x:v>보안</x:v>
      </x:c>
      <x:c r="J15" s="36" t="str">
        <x:v>P0</x:v>
      </x:c>
      <x:c r="K15" s="36" t="str">
        <x:v>전체</x:v>
      </x:c>
      <x:c r="L15" s="36" t="str">
        <x:v>예</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TC-ONL-009-01</x:v>
      </x:c>
      <x:c r="B16" s="36" t="str">
        <x:v>ONL-009</x:v>
      </x:c>
      <x:c r="C16" s="36" t="str">
        <x:v>온라인·로비·매치메이킹</x:v>
      </x:c>
      <x:c r="D16" s="36" t="str">
        <x:v>정상 시나리오: 플레이어 색상 예약·충돌 해소</x:v>
      </x:c>
      <x:c r="E16" s="36" t="str">
        <x:v>사용 가능한 색상 중 하나를 고유하게 예약하고 동시 선택, 연결 끊김, 재접속 시 중복이 생기지 않으며 예약 해제 시점을 명확히 한다.</x:v>
      </x:c>
      <x:c r="F16" s="36" t="str">
        <x:v>대상 기능이 포함된 MVP 빌드, 필요한 테스트 계정·룸 설정·로그 접근 권한을 준비한다.</x:v>
      </x:c>
      <x:c r="G16" s="36" t="str">
        <x:v>1. 사전 조건 상태를 구성한다.
2. 표준 설정에서 다음 테스트 대상을 실행한다: 플레이어 색상 예약·충돌 해소.
3. UI, 서버 상태와 로그·텔레메트리를 확인한다.
4. 필요하면 재입장 또는 재실행하여 재현성을 확인한다.</x:v>
      </x:c>
      <x:c r="H16" s="36" t="str">
        <x:v>사용 가능한 색상 중 하나를 고유하게 예약하고 동시 선택, 연결 끊김, 재접속 시 중복이 생기지 않으며 예약 해제 시점을 명확히 한다.</x:v>
      </x:c>
      <x:c r="I16" s="36" t="str">
        <x:v>네트워크</x:v>
      </x:c>
      <x:c r="J16" s="36" t="str">
        <x:v>P0</x:v>
      </x:c>
      <x:c r="K16" s="36" t="str">
        <x:v>전체</x:v>
      </x:c>
      <x:c r="L16" s="36" t="str">
        <x:v>예</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TC-ONL-009-02</x:v>
      </x:c>
      <x:c r="B17" s="36" t="str">
        <x:v>ONL-009</x:v>
      </x:c>
      <x:c r="C17" s="36" t="str">
        <x:v>온라인·로비·매치메이킹</x:v>
      </x:c>
      <x:c r="D17" s="36" t="str">
        <x:v>예외·경계 시나리오: 플레이어 색상 예약·충돌 해소</x:v>
      </x:c>
      <x:c r="E17" s="36" t="str">
        <x:v>허용되지 않은 상태, 잘못된 값, 중복, 만료, 권한 부족, 연결 끊김 입력으로 데이터 손상·정보 유출·클라이언트 상태 분기가 발생하지 않는지 확인한다.</x:v>
      </x:c>
      <x:c r="F17" s="36" t="str">
        <x:v>대상 기능이 포함된 MVP 빌드와 디버그 입력, 네트워크 열화, 비정상 요청 재현 수단을 준비한다.</x:v>
      </x:c>
      <x:c r="G17" s="36" t="str">
        <x:v>1. 허용되지 않은 페이즈 또는 경계값 조건을 구성한다.
2. 플레이어 색상 예약·충돌 해소에 대해 중복·무효·지연·연결 끊김을 포함한 요청을 전송한다.
3. 서버 거부, 롤백, 오류 표시와 감사 로그를 확인한다.
4. 모든 클라이언트의 상태가 일치하는지 확인한다.</x:v>
      </x:c>
      <x:c r="H17" s="36" t="str">
        <x:v>요청은 사양에 따라 거부되거나 안전하게 복구되며, 중복 반영, 데이터 손실, 정보 유출 또는 진행 중단이 발생하지 않는다. 오류와 상관관계 ID가 기록된다.</x:v>
      </x:c>
      <x:c r="I17" s="36" t="str">
        <x:v>네트워크</x:v>
      </x:c>
      <x:c r="J17" s="36" t="str">
        <x:v>P0</x:v>
      </x:c>
      <x:c r="K17" s="36" t="str">
        <x:v>전체</x:v>
      </x:c>
      <x:c r="L17" s="36" t="str">
        <x:v>예</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TC-ONL-010-01</x:v>
      </x:c>
      <x:c r="B18" s="36" t="str">
        <x:v>ONL-010</x:v>
      </x:c>
      <x:c r="C18" s="36" t="str">
        <x:v>온라인·로비·매치메이킹</x:v>
      </x:c>
      <x:c r="D18" s="36" t="str">
        <x:v>정상 시나리오: 준비 상태 동기화</x:v>
      </x:c>
      <x:c r="E18" s="36" t="str">
        <x:v>서버가 참가자별 준비 상태를 보관하고 설정 변경이나 참가자 변동 시 규칙에 따라 준비 상태를 해제한다.</x:v>
      </x:c>
      <x:c r="F18" s="36" t="str">
        <x:v>대상 기능이 포함된 MVP 빌드, 필요한 테스트 계정·룸 설정·로그 접근 권한을 준비한다.</x:v>
      </x:c>
      <x:c r="G18" s="36" t="str">
        <x:v>1. 사전 조건 상태를 구성한다.
2. 표준 설정에서 다음 테스트 대상을 실행한다: 준비 상태 동기화.
3. UI, 서버 상태와 로그·텔레메트리를 확인한다.
4. 필요하면 재입장 또는 재실행하여 재현성을 확인한다.</x:v>
      </x:c>
      <x:c r="H18" s="36" t="str">
        <x:v>서버가 참가자별 준비 상태를 보관하고 설정 변경이나 참가자 변동 시 규칙에 따라 준비 상태를 해제한다.</x:v>
      </x:c>
      <x:c r="I18" s="36" t="str">
        <x:v>통합</x:v>
      </x:c>
      <x:c r="J18" s="36" t="str">
        <x:v>P0</x:v>
      </x:c>
      <x:c r="K18" s="36" t="str">
        <x:v>전체</x:v>
      </x:c>
      <x:c r="L18" s="36" t="str">
        <x:v>예</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TC-ONL-010-02</x:v>
      </x:c>
      <x:c r="B19" s="36" t="str">
        <x:v>ONL-010</x:v>
      </x:c>
      <x:c r="C19" s="36" t="str">
        <x:v>온라인·로비·매치메이킹</x:v>
      </x:c>
      <x:c r="D19" s="36" t="str">
        <x:v>예외·경계 시나리오: 준비 상태 동기화</x:v>
      </x:c>
      <x:c r="E19" s="36" t="str">
        <x:v>허용되지 않은 상태, 잘못된 값, 중복, 만료, 권한 부족, 연결 끊김 입력으로 데이터 손상·정보 유출·클라이언트 상태 분기가 발생하지 않는지 확인한다.</x:v>
      </x:c>
      <x:c r="F19" s="36" t="str">
        <x:v>대상 기능이 포함된 MVP 빌드와 디버그 입력, 네트워크 열화, 비정상 요청 재현 수단을 준비한다.</x:v>
      </x:c>
      <x:c r="G19" s="36" t="str">
        <x:v>1. 허용되지 않은 페이즈 또는 경계값 조건을 구성한다.
2. 준비 상태 동기화에 대해 중복·무효·지연·연결 끊김을 포함한 요청을 전송한다.
3. 서버 거부, 롤백, 오류 표시와 감사 로그를 확인한다.
4. 모든 클라이언트의 상태가 일치하는지 확인한다.</x:v>
      </x:c>
      <x:c r="H19" s="36" t="str">
        <x:v>요청은 사양에 따라 거부되거나 안전하게 복구되며, 중복 반영, 데이터 손실, 정보 유출 또는 진행 중단이 발생하지 않는다. 오류와 상관관계 ID가 기록된다.</x:v>
      </x:c>
      <x:c r="I19" s="36" t="str">
        <x:v>통합</x:v>
      </x:c>
      <x:c r="J19" s="36" t="str">
        <x:v>P0</x:v>
      </x:c>
      <x:c r="K19" s="36" t="str">
        <x:v>전체</x:v>
      </x:c>
      <x:c r="L19" s="36" t="str">
        <x:v>예</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TC-ONL-011-01</x:v>
      </x:c>
      <x:c r="B20" s="36" t="str">
        <x:v>ONL-011</x:v>
      </x:c>
      <x:c r="C20" s="36" t="str">
        <x:v>온라인·로비·매치메이킹</x:v>
      </x:c>
      <x:c r="D20" s="36" t="str">
        <x:v>정상 시나리오: 매치 시작 전 사전 점검</x:v>
      </x:c>
      <x:c r="E20" s="36" t="str">
        <x:v>최소 인원, 전원 준비, 설정 유효성, 콘텐츠 버전, 서버 확보, 음성 연결을 검사하고 모든 조건이 충족된 경우에만 매치를 시작한다.</x:v>
      </x:c>
      <x:c r="F20" s="36" t="str">
        <x:v>대상 기능이 포함된 MVP 빌드, 필요한 테스트 계정·룸 설정·로그 접근 권한을 준비한다.</x:v>
      </x:c>
      <x:c r="G20" s="36" t="str">
        <x:v>1. 사전 조건 상태를 구성한다.
2. 표준 설정에서 다음 테스트 대상을 실행한다: 매치 시작 전 사전 점검.
3. UI, 서버 상태와 로그·텔레메트리를 확인한다.
4. 필요하면 재입장 또는 재실행하여 재현성을 확인한다.</x:v>
      </x:c>
      <x:c r="H20" s="36" t="str">
        <x:v>최소 인원, 전원 준비, 설정 유효성, 콘텐츠 버전, 서버 확보, 음성 연결을 검사하고 모든 조건이 충족된 경우에만 매치를 시작한다.</x:v>
      </x:c>
      <x:c r="I20" s="36" t="str">
        <x:v>통합</x:v>
      </x:c>
      <x:c r="J20" s="36" t="str">
        <x:v>P0</x:v>
      </x:c>
      <x:c r="K20" s="36" t="str">
        <x:v>전체</x:v>
      </x:c>
      <x:c r="L20" s="36" t="str">
        <x:v>예</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TC-ONL-011-02</x:v>
      </x:c>
      <x:c r="B21" s="36" t="str">
        <x:v>ONL-011</x:v>
      </x:c>
      <x:c r="C21" s="36" t="str">
        <x:v>온라인·로비·매치메이킹</x:v>
      </x:c>
      <x:c r="D21" s="36" t="str">
        <x:v>예외·경계 시나리오: 매치 시작 전 사전 점검</x:v>
      </x:c>
      <x:c r="E21" s="36" t="str">
        <x:v>허용되지 않은 상태, 잘못된 값, 중복, 만료, 권한 부족, 연결 끊김 입력으로 데이터 손상·정보 유출·클라이언트 상태 분기가 발생하지 않는지 확인한다.</x:v>
      </x:c>
      <x:c r="F21" s="36" t="str">
        <x:v>대상 기능이 포함된 MVP 빌드와 디버그 입력, 네트워크 열화, 비정상 요청 재현 수단을 준비한다.</x:v>
      </x:c>
      <x:c r="G21" s="36" t="str">
        <x:v>1. 허용되지 않은 페이즈 또는 경계값 조건을 구성한다.
2. 매치 시작 전 사전 점검에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통합</x:v>
      </x:c>
      <x:c r="J21" s="36" t="str">
        <x:v>P0</x:v>
      </x:c>
      <x:c r="K21" s="36" t="str">
        <x:v>전체</x:v>
      </x:c>
      <x:c r="L21" s="36" t="str">
        <x:v>예</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TC-ONL-012-01</x:v>
      </x:c>
      <x:c r="B22" s="36" t="str">
        <x:v>ONL-012</x:v>
      </x:c>
      <x:c r="C22" s="36" t="str">
        <x:v>온라인·로비·매치메이킹</x:v>
      </x:c>
      <x:c r="D22" s="36" t="str">
        <x:v>정상 시나리오: 플랫폼 초대·딥링크 참가</x:v>
      </x:c>
      <x:c r="E22" s="36" t="str">
        <x:v>지원 플랫폼 초대에서 대상 룸으로 이동하며 게임 미실행, 만원, 매치 시작 상태에는 적절한 대체 경로를 제공한다.</x:v>
      </x:c>
      <x:c r="F22" s="36" t="str">
        <x:v>대상 기능이 포함된 베타 빌드, 필요한 테스트 계정·룸 설정·로그 접근 권한을 준비한다.</x:v>
      </x:c>
      <x:c r="G22" s="36" t="str">
        <x:v>1. 사전 조건 상태를 구성한다.
2. 표준 설정에서 다음 테스트 대상을 실행한다: 플랫폼 초대·딥링크 참가.
3. UI, 서버 상태와 로그·텔레메트리를 확인한다.
4. 필요하면 재입장 또는 재실행하여 재현성을 확인한다.</x:v>
      </x:c>
      <x:c r="H22" s="36" t="str">
        <x:v>지원 플랫폼 초대에서 대상 룸으로 이동하며 게임 미실행, 만원, 매치 시작 상태에는 적절한 대체 경로를 제공한다.</x:v>
      </x:c>
      <x:c r="I22" s="36" t="str">
        <x:v>호환성</x:v>
      </x:c>
      <x:c r="J22" s="36" t="str">
        <x:v>P1</x:v>
      </x:c>
      <x:c r="K22" s="36" t="str">
        <x:v>전체</x:v>
      </x:c>
      <x:c r="L22" s="36" t="str">
        <x:v>예</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TC-ONL-013-01</x:v>
      </x:c>
      <x:c r="B23" s="36" t="str">
        <x:v>ONL-013</x:v>
      </x:c>
      <x:c r="C23" s="36" t="str">
        <x:v>온라인·로비·매치메이킹</x:v>
      </x:c>
      <x:c r="D23" s="36" t="str">
        <x:v>정상 시나리오: 공개 매치메이킹 대기열</x:v>
      </x:c>
      <x:c r="E23" s="36" t="str">
        <x:v>인원, 지역, 크로스플레이, 실력·초보자 구간 등의 조건으로 대기열에 등록하고 매칭 성립 후 룸으로 원자적으로 이동한다.</x:v>
      </x:c>
      <x:c r="F23" s="36" t="str">
        <x:v>대상 기능이 포함된 베타 빌드, 필요한 테스트 계정·룸 설정·로그 접근 권한을 준비한다.</x:v>
      </x:c>
      <x:c r="G23" s="36" t="str">
        <x:v>1. 사전 조건 상태를 구성한다.
2. 표준 설정에서 다음 테스트 대상을 실행한다: 공개 매치메이킹 대기열.
3. UI, 서버 상태와 로그·텔레메트리를 확인한다.
4. 필요하면 재입장 또는 재실행하여 재현성을 확인한다.</x:v>
      </x:c>
      <x:c r="H23" s="36" t="str">
        <x:v>인원, 지역, 크로스플레이, 실력·초보자 구간 등의 조건으로 대기열에 등록하고 매칭 성립 후 룸으로 원자적으로 이동한다.</x:v>
      </x:c>
      <x:c r="I23" s="36" t="str">
        <x:v>부하</x:v>
      </x:c>
      <x:c r="J23" s="36" t="str">
        <x:v>P1</x:v>
      </x:c>
      <x:c r="K23" s="36" t="str">
        <x:v>전체</x:v>
      </x:c>
      <x:c r="L23" s="36" t="str">
        <x:v>예</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TC-ONL-014-01</x:v>
      </x:c>
      <x:c r="B24" s="36" t="str">
        <x:v>ONL-014</x:v>
      </x:c>
      <x:c r="C24" s="36" t="str">
        <x:v>온라인·로비·매치메이킹</x:v>
      </x:c>
      <x:c r="D24" s="36" t="str">
        <x:v>정상 시나리오: 검색 취소·시간 초과·재시도</x:v>
      </x:c>
      <x:c r="E24" s="36" t="str">
        <x:v>취소와 매칭 성립이 동시에 발생해도 중복 참가하지 않으며 시간 초과 후 조건 완화 또는 재시도 선택지를 표시한다.</x:v>
      </x:c>
      <x:c r="F24" s="36" t="str">
        <x:v>대상 기능이 포함된 베타 빌드, 필요한 테스트 계정·룸 설정·로그 접근 권한을 준비한다.</x:v>
      </x:c>
      <x:c r="G24" s="36" t="str">
        <x:v>1. 사전 조건 상태를 구성한다.
2. 표준 설정에서 다음 테스트 대상을 실행한다: 검색 취소·시간 초과·재시도.
3. UI, 서버 상태와 로그·텔레메트리를 확인한다.
4. 필요하면 재입장 또는 재실행하여 재현성을 확인한다.</x:v>
      </x:c>
      <x:c r="H24" s="36" t="str">
        <x:v>취소와 매칭 성립이 동시에 발생해도 중복 참가하지 않으며 시간 초과 후 조건 완화 또는 재시도 선택지를 표시한다.</x:v>
      </x:c>
      <x:c r="I24" s="36" t="str">
        <x:v>경계값</x:v>
      </x:c>
      <x:c r="J24" s="36" t="str">
        <x:v>P1</x:v>
      </x:c>
      <x:c r="K24" s="36" t="str">
        <x:v>전체</x:v>
      </x:c>
      <x:c r="L24" s="36" t="str">
        <x:v>예</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TC-ONL-015-01</x:v>
      </x:c>
      <x:c r="B25" s="36" t="str">
        <x:v>ONL-015</x:v>
      </x:c>
      <x:c r="C25" s="36" t="str">
        <x:v>온라인·로비·매치메이킹</x:v>
      </x:c>
      <x:c r="D25" s="36" t="str">
        <x:v>정상 시나리오: 클라이언트·서버·콘텐츠 호환성</x:v>
      </x:c>
      <x:c r="E25" s="36" t="str">
        <x:v>프로토콜, 게임 규칙, 콘텐츠, 설정 스키마의 호환 범위를 시작 전에 확인하고 호환되지 않는 클라이언트를 명확히 거부한다.</x:v>
      </x:c>
      <x:c r="F25" s="36" t="str">
        <x:v>대상 기능이 포함된 MVP 빌드, 필요한 테스트 계정·룸 설정·로그 접근 권한을 준비한다.</x:v>
      </x:c>
      <x:c r="G25" s="36" t="str">
        <x:v>1. 사전 조건 상태를 구성한다.
2. 표준 설정에서 다음 테스트 대상을 실행한다: 클라이언트·서버·콘텐츠 호환성.
3. UI, 서버 상태와 로그·텔레메트리를 확인한다.
4. 필요하면 재입장 또는 재실행하여 재현성을 확인한다.</x:v>
      </x:c>
      <x:c r="H25" s="36" t="str">
        <x:v>프로토콜, 게임 규칙, 콘텐츠, 설정 스키마의 호환 범위를 시작 전에 확인하고 호환되지 않는 클라이언트를 명확히 거부한다.</x:v>
      </x:c>
      <x:c r="I25" s="36" t="str">
        <x:v>호환성</x:v>
      </x:c>
      <x:c r="J25" s="36" t="str">
        <x:v>P0</x:v>
      </x:c>
      <x:c r="K25" s="36" t="str">
        <x:v>전체</x:v>
      </x:c>
      <x:c r="L25" s="36" t="str">
        <x:v>예</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TC-ONL-015-02</x:v>
      </x:c>
      <x:c r="B26" s="36" t="str">
        <x:v>ONL-015</x:v>
      </x:c>
      <x:c r="C26" s="36" t="str">
        <x:v>온라인·로비·매치메이킹</x:v>
      </x:c>
      <x:c r="D26" s="36" t="str">
        <x:v>예외·경계 시나리오: 클라이언트·서버·콘텐츠 호환성</x:v>
      </x:c>
      <x:c r="E26" s="36" t="str">
        <x:v>허용되지 않은 상태, 잘못된 값, 중복, 만료, 권한 부족, 연결 끊김 입력으로 데이터 손상·정보 유출·클라이언트 상태 분기가 발생하지 않는지 확인한다.</x:v>
      </x:c>
      <x:c r="F26" s="36" t="str">
        <x:v>대상 기능이 포함된 MVP 빌드와 디버그 입력, 네트워크 열화, 비정상 요청 재현 수단을 준비한다.</x:v>
      </x:c>
      <x:c r="G26" s="36" t="str">
        <x:v>1. 허용되지 않은 페이즈 또는 경계값 조건을 구성한다.
2. 클라이언트·서버·콘텐츠 호환성에 대해 중복·무효·지연·연결 끊김을 포함한 요청을 전송한다.
3. 서버 거부, 롤백, 오류 표시와 감사 로그를 확인한다.
4. 모든 클라이언트의 상태가 일치하는지 확인한다.</x:v>
      </x:c>
      <x:c r="H26" s="36" t="str">
        <x:v>요청은 사양에 따라 거부되거나 안전하게 복구되며, 중복 반영, 데이터 손실, 정보 유출 또는 진행 중단이 발생하지 않는다. 오류와 상관관계 ID가 기록된다.</x:v>
      </x:c>
      <x:c r="I26" s="36" t="str">
        <x:v>호환성</x:v>
      </x:c>
      <x:c r="J26" s="36" t="str">
        <x:v>P0</x:v>
      </x:c>
      <x:c r="K26" s="36" t="str">
        <x:v>전체</x:v>
      </x:c>
      <x:c r="L26" s="36" t="str">
        <x:v>예</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TC-ONL-016-01</x:v>
      </x:c>
      <x:c r="B27" s="36" t="str">
        <x:v>ONL-016</x:v>
      </x:c>
      <x:c r="C27" s="36" t="str">
        <x:v>온라인·로비·매치메이킹</x:v>
      </x:c>
      <x:c r="D27" s="36" t="str">
        <x:v>정상 시나리오: 매치 시작 후 참가·백필 정책</x:v>
      </x:c>
      <x:c r="E27" s="36" t="str">
        <x:v>MVP에서는 매치 시작 후 신규 참가를 금지하고 재접속만 허용한다. 향후 백필 기능은 역할 비공개와 공정성 검토를 필수로 한다.</x:v>
      </x:c>
      <x:c r="F27" s="36" t="str">
        <x:v>대상 기능이 포함된 MVP 빌드, 필요한 테스트 계정·룸 설정·로그 접근 권한을 준비한다.</x:v>
      </x:c>
      <x:c r="G27" s="36" t="str">
        <x:v>1. 사전 조건 상태를 구성한다.
2. 표준 설정에서 다음 테스트 대상을 실행한다: 매치 시작 후 참가·백필 정책.
3. UI, 서버 상태와 로그·텔레메트리를 확인한다.
4. 필요하면 재입장 또는 재실행하여 재현성을 확인한다.</x:v>
      </x:c>
      <x:c r="H27" s="36" t="str">
        <x:v>MVP에서는 매치 시작 후 신규 참가를 금지하고 재접속만 허용한다. 향후 백필 기능은 역할 비공개와 공정성 검토를 필수로 한다.</x:v>
      </x:c>
      <x:c r="I27" s="36" t="str">
        <x:v>보안</x:v>
      </x:c>
      <x:c r="J27" s="36" t="str">
        <x:v>P0</x:v>
      </x:c>
      <x:c r="K27" s="36" t="str">
        <x:v>전체</x:v>
      </x:c>
      <x:c r="L27" s="36" t="str">
        <x:v>예</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TC-ONL-016-02</x:v>
      </x:c>
      <x:c r="B28" s="36" t="str">
        <x:v>ONL-016</x:v>
      </x:c>
      <x:c r="C28" s="36" t="str">
        <x:v>온라인·로비·매치메이킹</x:v>
      </x:c>
      <x:c r="D28" s="36" t="str">
        <x:v>예외·경계 시나리오: 매치 시작 후 참가·백필 정책</x:v>
      </x:c>
      <x:c r="E28" s="36" t="str">
        <x:v>허용되지 않은 상태, 잘못된 값, 중복, 만료, 권한 부족, 연결 끊김 입력으로 데이터 손상·정보 유출·클라이언트 상태 분기가 발생하지 않는지 확인한다.</x:v>
      </x:c>
      <x:c r="F28" s="36" t="str">
        <x:v>대상 기능이 포함된 MVP 빌드와 디버그 입력, 네트워크 열화, 비정상 요청 재현 수단을 준비한다.</x:v>
      </x:c>
      <x:c r="G28" s="36" t="str">
        <x:v>1. 허용되지 않은 페이즈 또는 경계값 조건을 구성한다.
2. 매치 시작 후 참가·백필 정책에 대해 중복·무효·지연·연결 끊김을 포함한 요청을 전송한다.
3. 서버 거부, 롤백, 오류 표시와 감사 로그를 확인한다.
4. 모든 클라이언트의 상태가 일치하는지 확인한다.</x:v>
      </x:c>
      <x:c r="H28" s="36" t="str">
        <x:v>요청은 사양에 따라 거부되거나 안전하게 복구되며, 중복 반영, 데이터 손실, 정보 유출 또는 진행 중단이 발생하지 않는다. 오류와 상관관계 ID가 기록된다.</x:v>
      </x:c>
      <x:c r="I28" s="36" t="str">
        <x:v>보안</x:v>
      </x:c>
      <x:c r="J28" s="36" t="str">
        <x:v>P0</x:v>
      </x:c>
      <x:c r="K28" s="36" t="str">
        <x:v>전체</x:v>
      </x:c>
      <x:c r="L28" s="36" t="str">
        <x:v>예</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TC-ONL-017-01</x:v>
      </x:c>
      <x:c r="B29" s="36" t="str">
        <x:v>ONL-017</x:v>
      </x:c>
      <x:c r="C29" s="36" t="str">
        <x:v>온라인·로비·매치메이킹</x:v>
      </x:c>
      <x:c r="D29" s="36" t="str">
        <x:v>정상 시나리오: 연결 끊김 감지·재접속 예약·유예</x:v>
      </x:c>
      <x:c r="E29" s="36" t="str">
        <x:v>연결 끊김 이후 설정된 시간 동안 같은 ID의 예약 슬롯을 유지하고 토큰 검증 후 동일한 플레이어 슬롯으로 복귀시킨다.</x:v>
      </x:c>
      <x:c r="F29" s="36" t="str">
        <x:v>대상 기능이 포함된 알파 빌드, 필요한 테스트 계정·룸 설정·로그 접근 권한을 준비한다.</x:v>
      </x:c>
      <x:c r="G29" s="36" t="str">
        <x:v>1. 사전 조건 상태를 구성한다.
2. 표준 설정에서 다음 테스트 대상을 실행한다: 연결 끊김 감지·재접속 예약·유예.
3. UI, 서버 상태와 로그·텔레메트리를 확인한다.
4. 필요하면 재입장 또는 재실행하여 재현성을 확인한다.</x:v>
      </x:c>
      <x:c r="H29" s="36" t="str">
        <x:v>연결 끊김 이후 설정된 시간 동안 같은 ID의 예약 슬롯을 유지하고 토큰 검증 후 동일한 플레이어 슬롯으로 복귀시킨다.</x:v>
      </x:c>
      <x:c r="I29" s="36" t="str">
        <x:v>네트워크</x:v>
      </x:c>
      <x:c r="J29" s="36" t="str">
        <x:v>P0</x:v>
      </x:c>
      <x:c r="K29" s="36" t="str">
        <x:v>전체</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TC-ONL-017-02</x:v>
      </x:c>
      <x:c r="B30" s="36" t="str">
        <x:v>ONL-017</x:v>
      </x:c>
      <x:c r="C30" s="36" t="str">
        <x:v>온라인·로비·매치메이킹</x:v>
      </x:c>
      <x:c r="D30" s="36" t="str">
        <x:v>예외·경계 시나리오: 연결 끊김 감지·재접속 예약·유예</x:v>
      </x:c>
      <x:c r="E30" s="36" t="str">
        <x:v>허용되지 않은 상태, 잘못된 값, 중복, 만료, 권한 부족, 연결 끊김 입력으로 데이터 손상·정보 유출·클라이언트 상태 분기가 발생하지 않는지 확인한다.</x:v>
      </x:c>
      <x:c r="F30" s="36" t="str">
        <x:v>대상 기능이 포함된 알파 빌드와 디버그 입력, 네트워크 열화, 비정상 요청 재현 수단을 준비한다.</x:v>
      </x:c>
      <x:c r="G30" s="36" t="str">
        <x:v>1. 허용되지 않은 페이즈 또는 경계값 조건을 구성한다.
2. 연결 끊김 감지·재접속 예약·유예에 대해 중복·무효·지연·연결 끊김을 포함한 요청을 전송한다.
3. 서버 거부, 롤백, 오류 표시와 감사 로그를 확인한다.
4. 모든 클라이언트의 상태가 일치하는지 확인한다.</x:v>
      </x:c>
      <x:c r="H30" s="36" t="str">
        <x:v>요청은 사양에 따라 거부되거나 안전하게 복구되며, 중복 반영, 데이터 손실, 정보 유출 또는 진행 중단이 발생하지 않는다. 오류와 상관관계 ID가 기록된다.</x:v>
      </x:c>
      <x:c r="I30" s="36" t="str">
        <x:v>네트워크</x:v>
      </x:c>
      <x:c r="J30" s="36" t="str">
        <x:v>P0</x:v>
      </x:c>
      <x:c r="K30" s="36" t="str">
        <x:v>전체</x:v>
      </x:c>
      <x:c r="L30" s="36" t="str">
        <x:v>예</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TC-ONL-018-01</x:v>
      </x:c>
      <x:c r="B31" s="36" t="str">
        <x:v>ONL-018</x:v>
      </x:c>
      <x:c r="C31" s="36" t="str">
        <x:v>온라인·로비·매치메이킹</x:v>
      </x:c>
      <x:c r="D31" s="36" t="str">
        <x:v>정상 시나리오: 자발적 이탈·강제 퇴장·차단 처리</x:v>
      </x:c>
      <x:c r="E31" s="36" t="str">
        <x:v>이탈과 강제 퇴장을 모든 클라이언트에 알리고 호스트 이전, 색상 해제, 준비 취소, 재접속 불가 상태를 일관되게 처리한다.</x:v>
      </x:c>
      <x:c r="F31" s="36" t="str">
        <x:v>대상 기능이 포함된 알파 빌드, 필요한 테스트 계정·룸 설정·로그 접근 권한을 준비한다.</x:v>
      </x:c>
      <x:c r="G31" s="36" t="str">
        <x:v>1. 사전 조건 상태를 구성한다.
2. 표준 설정에서 다음 테스트 대상을 실행한다: 자발적 이탈·강제 퇴장·차단 처리.
3. UI, 서버 상태와 로그·텔레메트리를 확인한다.
4. 필요하면 재입장 또는 재실행하여 재현성을 확인한다.</x:v>
      </x:c>
      <x:c r="H31" s="36" t="str">
        <x:v>이탈과 강제 퇴장을 모든 클라이언트에 알리고 호스트 이전, 색상 해제, 준비 취소, 재접속 불가 상태를 일관되게 처리한다.</x:v>
      </x:c>
      <x:c r="I31" s="36" t="str">
        <x:v>통합</x:v>
      </x:c>
      <x:c r="J31" s="36" t="str">
        <x:v>P1</x:v>
      </x:c>
      <x:c r="K31" s="36" t="str">
        <x:v>전체</x:v>
      </x:c>
      <x:c r="L31" s="36" t="str">
        <x:v>예</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TC-ONL-019-01</x:v>
      </x:c>
      <x:c r="B32" s="36" t="str">
        <x:v>ONL-019</x:v>
      </x:c>
      <x:c r="C32" s="36" t="str">
        <x:v>온라인·로비·매치메이킹</x:v>
      </x:c>
      <x:c r="D32" s="36" t="str">
        <x:v>정상 시나리오: 매치 종료·로비 복귀·세션 정리</x:v>
      </x:c>
      <x:c r="E32" s="36" t="str">
        <x:v>결과 확정 후 모든 참가자를 동일 로비로 복귀시키고 보상·기록 저장이 완료되기 전에 세션을 삭제하지 않는다. 시간 초과 시 재전송할 수 있다.</x:v>
      </x:c>
      <x:c r="F32" s="36" t="str">
        <x:v>대상 기능이 포함된 MVP 빌드, 필요한 테스트 계정·룸 설정·로그 접근 권한을 준비한다.</x:v>
      </x:c>
      <x:c r="G32" s="36" t="str">
        <x:v>1. 사전 조건 상태를 구성한다.
2. 표준 설정에서 다음 테스트 대상을 실행한다: 매치 종료·로비 복귀·세션 정리.
3. UI, 서버 상태와 로그·텔레메트리를 확인한다.
4. 필요하면 재입장 또는 재실행하여 재현성을 확인한다.</x:v>
      </x:c>
      <x:c r="H32" s="36" t="str">
        <x:v>결과 확정 후 모든 참가자를 동일 로비로 복귀시키고 보상·기록 저장이 완료되기 전에 세션을 삭제하지 않는다. 시간 초과 시 재전송할 수 있다.</x:v>
      </x:c>
      <x:c r="I32" s="36" t="str">
        <x:v>통합</x:v>
      </x:c>
      <x:c r="J32" s="36" t="str">
        <x:v>P0</x:v>
      </x:c>
      <x:c r="K32" s="36" t="str">
        <x:v>전체</x:v>
      </x:c>
      <x:c r="L32" s="36" t="str">
        <x:v>예</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TC-ONL-019-02</x:v>
      </x:c>
      <x:c r="B33" s="36" t="str">
        <x:v>ONL-019</x:v>
      </x:c>
      <x:c r="C33" s="36" t="str">
        <x:v>온라인·로비·매치메이킹</x:v>
      </x:c>
      <x:c r="D33" s="36" t="str">
        <x:v>예외·경계 시나리오: 매치 종료·로비 복귀·세션 정리</x:v>
      </x:c>
      <x:c r="E33" s="36" t="str">
        <x:v>허용되지 않은 상태, 잘못된 값, 중복, 만료, 권한 부족, 연결 끊김 입력으로 데이터 손상·정보 유출·클라이언트 상태 분기가 발생하지 않는지 확인한다.</x:v>
      </x:c>
      <x:c r="F33" s="36" t="str">
        <x:v>대상 기능이 포함된 MVP 빌드와 디버그 입력, 네트워크 열화, 비정상 요청 재현 수단을 준비한다.</x:v>
      </x:c>
      <x:c r="G33" s="36" t="str">
        <x:v>1. 허용되지 않은 페이즈 또는 경계값 조건을 구성한다.
2. 매치 종료·로비 복귀·세션 정리에 대해 중복·무효·지연·연결 끊김을 포함한 요청을 전송한다.
3. 서버 거부, 롤백, 오류 표시와 감사 로그를 확인한다.
4. 모든 클라이언트의 상태가 일치하는지 확인한다.</x:v>
      </x:c>
      <x:c r="H33" s="36" t="str">
        <x:v>요청은 사양에 따라 거부되거나 안전하게 복구되며, 중복 반영, 데이터 손실, 정보 유출 또는 진행 중단이 발생하지 않는다. 오류와 상관관계 ID가 기록된다.</x:v>
      </x:c>
      <x:c r="I33" s="36" t="str">
        <x:v>통합</x:v>
      </x:c>
      <x:c r="J33" s="36" t="str">
        <x:v>P0</x:v>
      </x:c>
      <x:c r="K33" s="36" t="str">
        <x:v>전체</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TC-ONL-020-01</x:v>
      </x:c>
      <x:c r="B34" s="36" t="str">
        <x:v>ONL-020</x:v>
      </x:c>
      <x:c r="C34" s="36" t="str">
        <x:v>온라인·로비·매치메이킹</x:v>
      </x:c>
      <x:c r="D34" s="36" t="str">
        <x:v>정상 시나리오: 온라인 오류 코드 체계</x:v>
      </x:c>
      <x:c r="E34" s="36" t="str">
        <x:v>인증, 만원, 시작됨, 만료, 호환성, 점검, 요청 제한, 차단, 네트워크 끊김을 고유 코드와 현지화 키로 정의한다.</x:v>
      </x:c>
      <x:c r="F34" s="36" t="str">
        <x:v>대상 기능이 포함된 MVP 빌드, 필요한 테스트 계정·룸 설정·로그 접근 권한을 준비한다.</x:v>
      </x:c>
      <x:c r="G34" s="36" t="str">
        <x:v>1. 사전 조건 상태를 구성한다.
2. 표준 설정에서 다음 테스트 대상을 실행한다: 온라인 오류 코드 체계.
3. UI, 서버 상태와 로그·텔레메트리를 확인한다.
4. 필요하면 재입장 또는 재실행하여 재현성을 확인한다.</x:v>
      </x:c>
      <x:c r="H34" s="36" t="str">
        <x:v>인증, 만원, 시작됨, 만료, 호환성, 점검, 요청 제한, 차단, 네트워크 끊김을 고유 코드와 현지화 키로 정의한다.</x:v>
      </x:c>
      <x:c r="I34" s="36" t="str">
        <x:v>운영</x:v>
      </x:c>
      <x:c r="J34" s="36" t="str">
        <x:v>P0</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TC-ONL-020-02</x:v>
      </x:c>
      <x:c r="B35" s="36" t="str">
        <x:v>ONL-020</x:v>
      </x:c>
      <x:c r="C35" s="36" t="str">
        <x:v>온라인·로비·매치메이킹</x:v>
      </x:c>
      <x:c r="D35" s="36" t="str">
        <x:v>예외·경계 시나리오: 온라인 오류 코드 체계</x:v>
      </x:c>
      <x:c r="E35" s="36" t="str">
        <x:v>허용되지 않은 상태, 잘못된 값, 중복, 만료, 권한 부족, 연결 끊김 입력으로 데이터 손상·정보 유출·클라이언트 상태 분기가 발생하지 않는지 확인한다.</x:v>
      </x:c>
      <x:c r="F35" s="36" t="str">
        <x:v>대상 기능이 포함된 MVP 빌드와 디버그 입력, 네트워크 열화, 비정상 요청 재현 수단을 준비한다.</x:v>
      </x:c>
      <x:c r="G35" s="36" t="str">
        <x:v>1. 허용되지 않은 페이즈 또는 경계값 조건을 구성한다.
2. 온라인 오류 코드 체계에 대해 중복·무효·지연·연결 끊김을 포함한 요청을 전송한다.
3. 서버 거부, 롤백, 오류 표시와 감사 로그를 확인한다.
4. 모든 클라이언트의 상태가 일치하는지 확인한다.</x:v>
      </x:c>
      <x:c r="H35" s="36" t="str">
        <x:v>요청은 사양에 따라 거부되거나 안전하게 복구되며, 중복 반영, 데이터 손실, 정보 유출 또는 진행 중단이 발생하지 않는다. 오류와 상관관계 ID가 기록된다.</x:v>
      </x:c>
      <x:c r="I35" s="36" t="str">
        <x:v>운영</x:v>
      </x:c>
      <x:c r="J35" s="36" t="str">
        <x:v>P0</x:v>
      </x:c>
      <x:c r="K35" s="36" t="str">
        <x:v>전체</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TC-ONL-021-01</x:v>
      </x:c>
      <x:c r="B36" s="36" t="str">
        <x:v>ONL-021</x:v>
      </x:c>
      <x:c r="C36" s="36" t="str">
        <x:v>온라인·로비·매치메이킹</x:v>
      </x:c>
      <x:c r="D36" s="36" t="str">
        <x:v>정상 시나리오: 호스트 이탈·서버 장애 정책</x:v>
      </x:c>
      <x:c r="E36" s="36" t="str">
        <x:v>전용 서버 구성에서는 호스트 이탈과 무관하게 매치를 계속하고 서버 장애 시 재접속 또는 무효 매치를 결정한다. P2P 적용 시 별도의 이전 사양을 정의한다.</x:v>
      </x:c>
      <x:c r="F36" s="36" t="str">
        <x:v>대상 기능이 포함된 알파 빌드, 필요한 테스트 계정·룸 설정·로그 접근 권한을 준비한다.</x:v>
      </x:c>
      <x:c r="G36" s="36" t="str">
        <x:v>1. 사전 조건 상태를 구성한다.
2. 표준 설정에서 다음 테스트 대상을 실행한다: 호스트 이탈·서버 장애 정책.
3. UI, 서버 상태와 로그·텔레메트리를 확인한다.
4. 필요하면 재입장 또는 재실행하여 재현성을 확인한다.</x:v>
      </x:c>
      <x:c r="H36" s="36" t="str">
        <x:v>전용 서버 구성에서는 호스트 이탈과 무관하게 매치를 계속하고 서버 장애 시 재접속 또는 무효 매치를 결정한다. P2P 적용 시 별도의 이전 사양을 정의한다.</x:v>
      </x:c>
      <x:c r="I36" s="36" t="str">
        <x:v>네트워크</x:v>
      </x:c>
      <x:c r="J36" s="36" t="str">
        <x:v>P0</x:v>
      </x:c>
      <x:c r="K36" s="36" t="str">
        <x:v>전체</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TC-ONL-021-02</x:v>
      </x:c>
      <x:c r="B37" s="36" t="str">
        <x:v>ONL-021</x:v>
      </x:c>
      <x:c r="C37" s="36" t="str">
        <x:v>온라인·로비·매치메이킹</x:v>
      </x:c>
      <x:c r="D37" s="36" t="str">
        <x:v>예외·경계 시나리오: 호스트 이탈·서버 장애 정책</x:v>
      </x:c>
      <x:c r="E37" s="36" t="str">
        <x:v>허용되지 않은 상태, 잘못된 값, 중복, 만료, 권한 부족, 연결 끊김 입력으로 데이터 손상·정보 유출·클라이언트 상태 분기가 발생하지 않는지 확인한다.</x:v>
      </x:c>
      <x:c r="F37" s="36" t="str">
        <x:v>대상 기능이 포함된 알파 빌드와 디버그 입력, 네트워크 열화, 비정상 요청 재현 수단을 준비한다.</x:v>
      </x:c>
      <x:c r="G37" s="36" t="str">
        <x:v>1. 허용되지 않은 페이즈 또는 경계값 조건을 구성한다.
2. 호스트 이탈·서버 장애 정책에 대해 중복·무효·지연·연결 끊김을 포함한 요청을 전송한다.
3. 서버 거부, 롤백, 오류 표시와 감사 로그를 확인한다.
4. 모든 클라이언트의 상태가 일치하는지 확인한다.</x:v>
      </x:c>
      <x:c r="H37" s="36" t="str">
        <x:v>요청은 사양에 따라 거부되거나 안전하게 복구되며, 중복 반영, 데이터 손실, 정보 유출 또는 진행 중단이 발생하지 않는다. 오류와 상관관계 ID가 기록된다.</x:v>
      </x:c>
      <x:c r="I37" s="36" t="str">
        <x:v>네트워크</x:v>
      </x:c>
      <x:c r="J37" s="36" t="str">
        <x:v>P0</x:v>
      </x:c>
      <x:c r="K37" s="36" t="str">
        <x:v>전체</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TC-ONL-022-01</x:v>
      </x:c>
      <x:c r="B38" s="36" t="str">
        <x:v>ONL-022</x:v>
      </x:c>
      <x:c r="C38" s="36" t="str">
        <x:v>온라인·로비·매치메이킹</x:v>
      </x:c>
      <x:c r="D38" s="36" t="str">
        <x:v>정상 시나리오: 크로스플레이·입력·지역 제한</x:v>
      </x:c>
      <x:c r="E38" s="36" t="str">
        <x:v>플랫폼, 크로스플레이 허용, 연령 제한, 지역 규제를 매칭 조건에 반영하고 지원하지 않는 조합은 대기열 등록 전에 거부한다.</x:v>
      </x:c>
      <x:c r="F38" s="36" t="str">
        <x:v>대상 기능이 포함된 베타 빌드, 필요한 테스트 계정·룸 설정·로그 접근 권한을 준비한다.</x:v>
      </x:c>
      <x:c r="G38" s="36" t="str">
        <x:v>1. 사전 조건 상태를 구성한다.
2. 표준 설정에서 다음 테스트 대상을 실행한다: 크로스플레이·입력·지역 제한.
3. UI, 서버 상태와 로그·텔레메트리를 확인한다.
4. 필요하면 재입장 또는 재실행하여 재현성을 확인한다.</x:v>
      </x:c>
      <x:c r="H38" s="36" t="str">
        <x:v>플랫폼, 크로스플레이 허용, 연령 제한, 지역 규제를 매칭 조건에 반영하고 지원하지 않는 조합은 대기열 등록 전에 거부한다.</x:v>
      </x:c>
      <x:c r="I38" s="36" t="str">
        <x:v>호환성</x:v>
      </x:c>
      <x:c r="J38" s="36" t="str">
        <x:v>P1</x:v>
      </x:c>
      <x:c r="K38" s="36" t="str">
        <x:v>전체</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TC-ONL-023-01</x:v>
      </x:c>
      <x:c r="B39" s="36" t="str">
        <x:v>ONL-023</x:v>
      </x:c>
      <x:c r="C39" s="36" t="str">
        <x:v>온라인·로비·매치메이킹</x:v>
      </x:c>
      <x:c r="D39" s="36" t="str">
        <x:v>정상 시나리오: 룸 생성·참가·초대 요청 제한</x:v>
      </x:c>
      <x:c r="E39" s="36" t="str">
        <x:v>IP, 계정, 기기 단위의 요청 제한과 점진적 대기 시간을 적용하되 정상 사용자의 재시도를 과도하게 방해하지 않는다.</x:v>
      </x:c>
      <x:c r="F39" s="36" t="str">
        <x:v>대상 기능이 포함된 출시 빌드, 필요한 테스트 계정·룸 설정·로그 접근 권한을 준비한다.</x:v>
      </x:c>
      <x:c r="G39" s="36" t="str">
        <x:v>1. 사전 조건 상태를 구성한다.
2. 표준 설정에서 다음 테스트 대상을 실행한다: 룸 생성·참가·초대 요청 제한.
3. UI, 서버 상태와 로그·텔레메트리를 확인한다.
4. 필요하면 재입장 또는 재실행하여 재현성을 확인한다.</x:v>
      </x:c>
      <x:c r="H39" s="36" t="str">
        <x:v>IP, 계정, 기기 단위의 요청 제한과 점진적 대기 시간을 적용하되 정상 사용자의 재시도를 과도하게 방해하지 않는다.</x:v>
      </x:c>
      <x:c r="I39" s="36" t="str">
        <x:v>보안</x:v>
      </x:c>
      <x:c r="J39" s="36" t="str">
        <x:v>P0</x:v>
      </x:c>
      <x:c r="K39" s="36" t="str">
        <x:v>전체</x:v>
      </x:c>
      <x:c r="L39" s="36" t="str">
        <x:v>예</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TC-ONL-023-02</x:v>
      </x:c>
      <x:c r="B40" s="36" t="str">
        <x:v>ONL-023</x:v>
      </x:c>
      <x:c r="C40" s="36" t="str">
        <x:v>온라인·로비·매치메이킹</x:v>
      </x:c>
      <x:c r="D40" s="36" t="str">
        <x:v>예외·경계 시나리오: 룸 생성·참가·초대 요청 제한</x:v>
      </x:c>
      <x:c r="E40" s="36" t="str">
        <x:v>허용되지 않은 상태, 잘못된 값, 중복, 만료, 권한 부족, 연결 끊김 입력으로 데이터 손상·정보 유출·클라이언트 상태 분기가 발생하지 않는지 확인한다.</x:v>
      </x:c>
      <x:c r="F40" s="36" t="str">
        <x:v>대상 기능이 포함된 출시 빌드와 디버그 입력, 네트워크 열화, 비정상 요청 재현 수단을 준비한다.</x:v>
      </x:c>
      <x:c r="G40" s="36" t="str">
        <x:v>1. 허용되지 않은 페이즈 또는 경계값 조건을 구성한다.
2. 룸 생성·참가·초대 요청 제한에 대해 중복·무효·지연·연결 끊김을 포함한 요청을 전송한다.
3. 서버 거부, 롤백, 오류 표시와 감사 로그를 확인한다.
4. 모든 클라이언트의 상태가 일치하는지 확인한다.</x:v>
      </x:c>
      <x:c r="H40" s="36" t="str">
        <x:v>요청은 사양에 따라 거부되거나 안전하게 복구되며, 중복 반영, 데이터 손실, 정보 유출 또는 진행 중단이 발생하지 않는다. 오류와 상관관계 ID가 기록된다.</x:v>
      </x:c>
      <x:c r="I40" s="36" t="str">
        <x:v>보안</x:v>
      </x:c>
      <x:c r="J40" s="36" t="str">
        <x:v>P0</x:v>
      </x:c>
      <x:c r="K40" s="36" t="str">
        <x:v>전체</x:v>
      </x:c>
      <x:c r="L40" s="36" t="str">
        <x:v>예</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TC-ONL-024-01</x:v>
      </x:c>
      <x:c r="B41" s="36" t="str">
        <x:v>ONL-024</x:v>
      </x:c>
      <x:c r="C41" s="36" t="str">
        <x:v>온라인·로비·매치메이킹</x:v>
      </x:c>
      <x:c r="D41" s="36" t="str">
        <x:v>정상 시나리오: 매치 품질 지표</x:v>
      </x:c>
      <x:c r="E41" s="36" t="str">
        <x:v>검색 시간, 매칭 성립률, 예상·실측 핑, 이탈률, 재접속률을 익명화해 수집하고 지역과 버전별로 모니터링할 수 있다.</x:v>
      </x:c>
      <x:c r="F41" s="36" t="str">
        <x:v>대상 기능이 포함된 베타 빌드, 필요한 테스트 계정·룸 설정·로그 접근 권한을 준비한다.</x:v>
      </x:c>
      <x:c r="G41" s="36" t="str">
        <x:v>1. 사전 조건 상태를 구성한다.
2. 표준 설정에서 다음 테스트 대상을 실행한다: 매치 품질 지표.
3. UI, 서버 상태와 로그·텔레메트리를 확인한다.
4. 필요하면 재입장 또는 재실행하여 재현성을 확인한다.</x:v>
      </x:c>
      <x:c r="H41" s="36" t="str">
        <x:v>검색 시간, 매칭 성립률, 예상·실측 핑, 이탈률, 재접속률을 익명화해 수집하고 지역과 버전별로 모니터링할 수 있다.</x:v>
      </x:c>
      <x:c r="I41" s="36" t="str">
        <x:v>운영</x:v>
      </x:c>
      <x:c r="J41" s="36" t="str">
        <x:v>P1</x:v>
      </x:c>
      <x:c r="K41" s="36" t="str">
        <x:v>전체</x:v>
      </x:c>
      <x:c r="L41" s="36" t="str">
        <x:v>예</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TC-ONL-025-01</x:v>
      </x:c>
      <x:c r="B42" s="36" t="str">
        <x:v>ONL-025</x:v>
      </x:c>
      <x:c r="C42" s="36" t="str">
        <x:v>온라인·로비·매치메이킹</x:v>
      </x:c>
      <x:c r="D42" s="36" t="str">
        <x:v>정상 시나리오: 점검·축소 운영·상태 공지</x:v>
      </x:c>
      <x:c r="E42" s="36" t="str">
        <x:v>계획 점검, 부분 장애, 신규 매치 시작 중지, 기존 매치 지속 여부를 원격 제어하고 클라이언트에 일관된 안내 문구를 표시한다.</x:v>
      </x:c>
      <x:c r="F42" s="36" t="str">
        <x:v>대상 기능이 포함된 출시 빌드, 필요한 테스트 계정·룸 설정·로그 접근 권한을 준비한다.</x:v>
      </x:c>
      <x:c r="G42" s="36" t="str">
        <x:v>1. 사전 조건 상태를 구성한다.
2. 표준 설정에서 다음 테스트 대상을 실행한다: 점검·축소 운영·상태 공지.
3. UI, 서버 상태와 로그·텔레메트리를 확인한다.
4. 필요하면 재입장 또는 재실행하여 재현성을 확인한다.</x:v>
      </x:c>
      <x:c r="H42" s="36" t="str">
        <x:v>계획 점검, 부분 장애, 신규 매치 시작 중지, 기존 매치 지속 여부를 원격 제어하고 클라이언트에 일관된 안내 문구를 표시한다.</x:v>
      </x:c>
      <x:c r="I42" s="36" t="str">
        <x:v>운영</x:v>
      </x:c>
      <x:c r="J42" s="36" t="str">
        <x:v>P0</x:v>
      </x:c>
      <x:c r="K42" s="36" t="str">
        <x:v>전체</x:v>
      </x:c>
      <x:c r="L42" s="36" t="str">
        <x:v>예</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TC-ONL-025-02</x:v>
      </x:c>
      <x:c r="B43" s="36" t="str">
        <x:v>ONL-025</x:v>
      </x:c>
      <x:c r="C43" s="36" t="str">
        <x:v>온라인·로비·매치메이킹</x:v>
      </x:c>
      <x:c r="D43" s="36" t="str">
        <x:v>예외·경계 시나리오: 점검·축소 운영·상태 공지</x:v>
      </x:c>
      <x:c r="E43" s="36" t="str">
        <x:v>허용되지 않은 상태, 잘못된 값, 중복, 만료, 권한 부족, 연결 끊김 입력으로 데이터 손상·정보 유출·클라이언트 상태 분기가 발생하지 않는지 확인한다.</x:v>
      </x:c>
      <x:c r="F43" s="36" t="str">
        <x:v>대상 기능이 포함된 출시 빌드와 디버그 입력, 네트워크 열화, 비정상 요청 재현 수단을 준비한다.</x:v>
      </x:c>
      <x:c r="G43" s="36" t="str">
        <x:v>1. 허용되지 않은 페이즈 또는 경계값 조건을 구성한다.
2. 점검·축소 운영·상태 공지에 대해 중복·무효·지연·연결 끊김을 포함한 요청을 전송한다.
3. 서버 거부, 롤백, 오류 표시와 감사 로그를 확인한다.
4. 모든 클라이언트의 상태가 일치하는지 확인한다.</x:v>
      </x:c>
      <x:c r="H43" s="36" t="str">
        <x:v>요청은 사양에 따라 거부되거나 안전하게 복구되며, 중복 반영, 데이터 손실, 정보 유출 또는 진행 중단이 발생하지 않는다. 오류와 상관관계 ID가 기록된다.</x:v>
      </x:c>
      <x:c r="I43" s="36" t="str">
        <x:v>운영</x:v>
      </x:c>
      <x:c r="J43" s="36" t="str">
        <x:v>P0</x:v>
      </x:c>
      <x:c r="K43" s="36" t="str">
        <x:v>전체</x:v>
      </x:c>
      <x:c r="L43" s="36" t="str">
        <x:v>예</x:v>
      </x:c>
      <x:c r="M43" s="36" t="str">
        <x:v>미실시</x:v>
      </x:c>
      <x:c r="N43" s="36" t="str">
        <x:v>미정</x:v>
      </x:c>
      <x:c r="O43" s="36" t="str">
        <x:v>미정</x:v>
      </x:c>
      <x:c r="P43" s="36"/>
      <x:c r="Q43" s="36"/>
      <x:c r="R43" s="44" t="str">
        <x:v>2026-07-10</x:v>
      </x:c>
      <x:c r="S43" s="36"/>
      <x:c r="T43" s="54"/>
      <x:c r="U43" s="54"/>
      <x:c r="V43" s="53" t="str">
        <x:v>착수 전</x:v>
      </x:c>
    </x:row>
  </x:sheetData>
  <x:conditionalFormatting sqref="M2:M43">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43">
    <x:cfRule type="expression" dxfId="16" priority="7">
      <x:formula>J2="P0"</x:formula>
    </x:cfRule>
    <x:cfRule type="expression" dxfId="17" priority="8">
      <x:formula>J2="P1"</x:formula>
    </x:cfRule>
  </x:conditionalFormatting>
  <x:conditionalFormatting sqref="V2:V43">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43">
      <x:formula1>"기능,통합,경계값,네트워크,보안,성능,호환성,사용성,접근성,현지화,밸런스,운영,안전,부하"</x:formula1>
    </x:dataValidation>
    <x:dataValidation type="list" sqref="J2:J43">
      <x:formula1>"P0,P1,P2,P3"</x:formula1>
    </x:dataValidation>
    <x:dataValidation type="list" sqref="L2:L43">
      <x:formula1>"예,아니요,부분"</x:formula1>
    </x:dataValidation>
    <x:dataValidation type="list" sqref="M2:M43">
      <x:formula1>"미실시,진행 중,통과,실패,차단,대상 제외"</x:formula1>
    </x:dataValidation>
    <x:dataValidation type="list" sqref="K2:K43">
      <x:formula1>"전체,PC,콘솔,모바일,서버,백엔드,도구,웹·관리자"</x:formula1>
    </x:dataValidation>
    <x:dataValidation type="list" sqref="V2:V43">
      <x:formula1>"착수 전,작업 중,완료"</x:formula1>
    </x:dataValidation>
  </x:dataValidations>
  <x:pageMargins left="0.7" right="0.7" top="0.75" bottom="0.75" header="0.3" footer="0.3"/>
  <x:tableParts count="1">
    <x:tablePart xmlns:r="http://schemas.openxmlformats.org/officeDocument/2006/relationships" r:id="R289f8fcb40b946c8"/>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R-ONL-01</x:v>
      </x:c>
      <x:c r="B2" s="36" t="str">
        <x:v>온라인·로비·매치메이킹</x:v>
      </x:c>
      <x:c r="C2" s="36" t="str">
        <x:v>수용량</x:v>
      </x:c>
      <x:c r="D2" s="36" t="str">
        <x:v>동시 참가 경쟁으로 정원 초과 또는 색상 중복이 발생할 수 있다.</x:v>
      </x:c>
      <x:c r="E2" s="36" t="str">
        <x:v>참가자 갱신을 비원자적으로 처리함</x:v>
      </x:c>
      <x:c r="F2" s="36" t="str">
        <x:v>매치 시작 불가</x:v>
      </x:c>
      <x:c r="G2" s="36" t="str">
        <x:v>중간</x:v>
      </x:c>
      <x:c r="H2" s="36" t="str">
        <x:v>높음</x:v>
      </x:c>
      <x:c r="I2" s="36" t="n">
        <x:f>IF(G2="높음",3,IF(G2="중간",2,1))*IF(H2="높음",3,IF(H2="중간",2,1))</x:f>
        <x:v>6</x:v>
      </x:c>
      <x:c r="J2" s="36" t="str">
        <x:v>온라인 리드</x:v>
      </x:c>
      <x:c r="K2" s="36" t="str">
        <x:v>서버 예약 트랜잭션을 사용한다.</x:v>
      </x:c>
      <x:c r="L2" s="36" t="str">
        <x:v>문제 룸을 종료하고 새 룸을 생성한다.</x:v>
      </x:c>
      <x:c r="M2" s="36" t="str">
        <x:v>미대응</x:v>
      </x:c>
      <x:c r="N2" s="36" t="str">
        <x:v>ONL-007,ONL-009</x:v>
      </x:c>
      <x:c r="O2" s="44" t="str">
        <x:v>미정</x:v>
      </x:c>
      <x:c r="P2" s="36"/>
    </x:row>
    <x:row r="3" ht="42" customHeight="1">
      <x:c r="A3" s="36" t="str">
        <x:v>R-ONL-02</x:v>
      </x:c>
      <x:c r="B3" s="36" t="str">
        <x:v>온라인·로비·매치메이킹</x:v>
      </x:c>
      <x:c r="C3" s="36" t="str">
        <x:v>호환성</x:v>
      </x:c>
      <x:c r="D3" s="36" t="str">
        <x:v>이전 버전 클라이언트가 새로운 프로토콜 룸에 참가할 수 있다.</x:v>
      </x:c>
      <x:c r="E3" s="36" t="str">
        <x:v>버전 검증 누락</x:v>
      </x:c>
      <x:c r="F3" s="36" t="str">
        <x:v>상태 손상·크래시</x:v>
      </x:c>
      <x:c r="G3" s="36" t="str">
        <x:v>중간</x:v>
      </x:c>
      <x:c r="H3" s="36" t="str">
        <x:v>높음</x:v>
      </x:c>
      <x:c r="I3" s="36" t="n">
        <x:f>IF(G3="높음",3,IF(G3="중간",2,1))*IF(H3="높음",3,IF(H3="중간",2,1))</x:f>
        <x:v>6</x:v>
      </x:c>
      <x:c r="J3" s="36" t="str">
        <x:v>온라인 리드</x:v>
      </x:c>
      <x:c r="K3" s="36" t="str">
        <x:v>다계층 버전 검증과 강제 갱신을 적용한다.</x:v>
      </x:c>
      <x:c r="L3" s="36" t="str">
        <x:v>비호환 룸 참가를 중지한다.</x:v>
      </x:c>
      <x:c r="M3" s="36" t="str">
        <x:v>미대응</x:v>
      </x:c>
      <x:c r="N3" s="36" t="str">
        <x:v>ONL-015,NET-002</x:v>
      </x:c>
      <x:c r="O3" s="44" t="str">
        <x:v>미정</x:v>
      </x:c>
      <x:c r="P3" s="36"/>
    </x:row>
    <x:row r="4" ht="42" customHeight="1">
      <x:c r="A4" s="36" t="str">
        <x:v>R-ONL-03</x:v>
      </x:c>
      <x:c r="B4" s="36" t="str">
        <x:v>온라인·로비·매치메이킹</x:v>
      </x:c>
      <x:c r="C4" s="36" t="str">
        <x:v>안정성</x:v>
      </x:c>
      <x:c r="D4" s="36" t="str">
        <x:v>재접속 예약 슬롯이 악용되어 만원 상태가 장시간 지속될 수 있다.</x:v>
      </x:c>
      <x:c r="E4" s="36" t="str">
        <x:v>유예 시간, 인증, 해제 조건 미비</x:v>
      </x:c>
      <x:c r="F4" s="36" t="str">
        <x:v>매치 성립률 저하</x:v>
      </x:c>
      <x:c r="G4" s="36" t="str">
        <x:v>중간</x:v>
      </x:c>
      <x:c r="H4" s="36" t="str">
        <x:v>중간</x:v>
      </x:c>
      <x:c r="I4" s="36" t="n">
        <x:f>IF(G4="높음",3,IF(G4="중간",2,1))*IF(H4="높음",3,IF(H4="중간",2,1))</x:f>
        <x:v>4</x:v>
      </x:c>
      <x:c r="J4" s="36" t="str">
        <x:v>온라인 리드</x:v>
      </x:c>
      <x:c r="K4" s="36" t="str">
        <x:v>짧은 유예, 동일 ID 검증, 명확한 해제 조건을 적용한다.</x:v>
      </x:c>
      <x:c r="L4" s="36" t="str">
        <x:v>관리 도구에서 예약 슬롯을 강제로 해제한다.</x:v>
      </x:c>
      <x:c r="M4" s="36" t="str">
        <x:v>미대응</x:v>
      </x:c>
      <x:c r="N4" s="36" t="str">
        <x:v>ONL-017</x:v>
      </x:c>
      <x:c r="O4" s="44" t="str">
        <x:v>미정</x:v>
      </x:c>
      <x:c r="P4" s="36"/>
    </x:row>
    <x:row r="5" ht="42" customHeight="1">
      <x:c r="A5" s="36" t="str">
        <x:v>R-ONL-04</x:v>
      </x:c>
      <x:c r="B5" s="36" t="str">
        <x:v>온라인·로비·매치메이킹</x:v>
      </x:c>
      <x:c r="C5" s="36" t="str">
        <x:v>서비스</x:v>
      </x:c>
      <x:c r="D5" s="36" t="str">
        <x:v>외부 서비스 장애로 모든 온라인 기능을 시작하지 못할 수 있다.</x:v>
      </x:c>
      <x:c r="E5" s="36" t="str">
        <x:v>의존 서비스의 강한 결합</x:v>
      </x:c>
      <x:c r="F5" s="36" t="str">
        <x:v>서비스 가용성 하락</x:v>
      </x:c>
      <x:c r="G5" s="36" t="str">
        <x:v>중간</x:v>
      </x:c>
      <x:c r="H5" s="36" t="str">
        <x:v>높음</x:v>
      </x:c>
      <x:c r="I5" s="36" t="n">
        <x:f>IF(G5="높음",3,IF(G5="중간",2,1))*IF(H5="높음",3,IF(H5="중간",2,1))</x:f>
        <x:v>6</x:v>
      </x:c>
      <x:c r="J5" s="36" t="str">
        <x:v>라이브 운영</x:v>
      </x:c>
      <x:c r="K5" s="36" t="str">
        <x:v>축소 운영과 점검 기능 플래그를 준비한다.</x:v>
      </x:c>
      <x:c r="L5" s="36" t="str">
        <x:v>신규 매치 시작을 중지하고 기존 매치를 보호한다.</x:v>
      </x:c>
      <x:c r="M5" s="36" t="str">
        <x:v>미대응</x:v>
      </x:c>
      <x:c r="N5" s="36" t="str">
        <x:v>ONL-001,ONL-025</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8bef6a81297a4e8c"/>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D-ONL-01</x:v>
      </x:c>
      <x:c r="B2" s="36" t="str">
        <x:v>온라인·로비·매치메이킹</x:v>
      </x:c>
      <x:c r="C2" s="36" t="str">
        <x:v>호스팅 방식</x:v>
      </x:c>
      <x:c r="D2" s="36" t="str">
        <x:v>전용 서버, 호스트 서버, P2P 중 어떤 방식을 사용할 것인가?</x:v>
      </x:c>
      <x:c r="E2" s="36" t="str">
        <x:v>A: 전용 서버 / B: 호스트 서버 / C: P2P</x:v>
      </x:c>
      <x:c r="F2" s="36" t="str">
        <x:v>전용 서버 권한 방식을 사용한다.</x:v>
      </x:c>
      <x:c r="G2" s="36" t="str">
        <x:v>미정</x:v>
      </x:c>
      <x:c r="H2" s="36" t="str">
        <x:v>미정</x:v>
      </x:c>
      <x:c r="I2" s="36" t="str">
        <x:v>기술 디렉터</x:v>
      </x:c>
      <x:c r="J2" s="44" t="str">
        <x:v>2026-07-17</x:v>
      </x:c>
      <x:c r="K2" s="36" t="str">
        <x:v>ONL-021,NET-001</x:v>
      </x:c>
      <x:c r="L2" s="36" t="str">
        <x:v>비공개 정보 보호와 권한 검증에 유리하다.</x:v>
      </x:c>
      <x:c r="M2" s="44" t="str">
        <x:v>2026-07-10</x:v>
      </x:c>
    </x:row>
    <x:row r="3" ht="42" customHeight="1">
      <x:c r="A3" s="36" t="str">
        <x:v>D-ONL-02</x:v>
      </x:c>
      <x:c r="B3" s="36" t="str">
        <x:v>온라인·로비·매치메이킹</x:v>
      </x:c>
      <x:c r="C3" s="36" t="str">
        <x:v>중도 참가</x:v>
      </x:c>
      <x:c r="D3" s="36" t="str">
        <x:v>매치 시작 후 새 플레이어의 백필을 허용할 것인가?</x:v>
      </x:c>
      <x:c r="E3" s="36" t="str">
        <x:v>A: 허용 / B: 재접속만 허용</x:v>
      </x:c>
      <x:c r="F3" s="36" t="str">
        <x:v>MVP는 재접속만 허용한다.</x:v>
      </x:c>
      <x:c r="G3" s="36" t="str">
        <x:v>미정</x:v>
      </x:c>
      <x:c r="H3" s="36" t="str">
        <x:v>미정</x:v>
      </x:c>
      <x:c r="I3" s="36" t="str">
        <x:v>제품 책임자</x:v>
      </x:c>
      <x:c r="J3" s="44" t="str">
        <x:v>2026-07-24</x:v>
      </x:c>
      <x:c r="K3" s="36" t="str">
        <x:v>ONL-016</x:v>
      </x:c>
      <x:c r="L3" s="36" t="str">
        <x:v>역할 비공개와 공정성을 보호한다.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60a7818c9379427b"/>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