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e549928edc4c04" /></Relationships>
</file>

<file path=xl/workbook.xml><?xml version="1.0" encoding="utf-8"?>
<x:workbook xmlns:x="http://schemas.openxmlformats.org/spreadsheetml/2006/main">
  <x:sheets>
    <x:sheet xmlns:r="http://schemas.openxmlformats.org/officeDocument/2006/relationships" name="00_개요" sheetId="1" r:id="Rdd037110ee58440e"/>
    <x:sheet xmlns:r="http://schemas.openxmlformats.org/officeDocument/2006/relationships" name="01_백로그" sheetId="2" r:id="R5e81a23b0a534e18"/>
    <x:sheet xmlns:r="http://schemas.openxmlformats.org/officeDocument/2006/relationships" name="02_화면목록" sheetId="3" r:id="R7dd57efb1fb64a4d"/>
    <x:sheet xmlns:r="http://schemas.openxmlformats.org/officeDocument/2006/relationships" name="03_UI_상태_매트릭스" sheetId="4" r:id="R7a96ce7db0ef434a"/>
    <x:sheet xmlns:r="http://schemas.openxmlformats.org/officeDocument/2006/relationships" name="04_접근성" sheetId="5" r:id="R2edf1b6bca1f4068"/>
    <x:sheet xmlns:r="http://schemas.openxmlformats.org/officeDocument/2006/relationships" name="80_QA_케이스" sheetId="6" r:id="R4dc650722d1d4a7b"/>
    <x:sheet xmlns:r="http://schemas.openxmlformats.org/officeDocument/2006/relationships" name="90_리스크" sheetId="7" r:id="Ra2e071cd6f0e4596"/>
    <x:sheet xmlns:r="http://schemas.openxmlformats.org/officeDocument/2006/relationships" name="91_의사결정" sheetId="8" r:id="R51a33590f65a4e85"/>
    <x:sheet xmlns:r="http://schemas.openxmlformats.org/officeDocument/2006/relationships" name="99_목록" sheetId="9" r:id="R751ce737ee62474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5B9BD5"/>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f49e77ed7d4104" /><Relationship Type="http://schemas.openxmlformats.org/officeDocument/2006/relationships/theme" Target="/xl/theme/theme1.xml" Id="R04788882ff744e0b" /><Relationship Type="http://schemas.openxmlformats.org/officeDocument/2006/relationships/sharedStrings" Target="/xl/sharedStrings.xml" Id="R38129c43c9b6438a" /><Relationship Type="http://schemas.openxmlformats.org/officeDocument/2006/relationships/worksheet" Target="/xl/worksheets/sheet1.xml" Id="Rdd037110ee58440e" /><Relationship Type="http://schemas.openxmlformats.org/officeDocument/2006/relationships/worksheet" Target="/xl/worksheets/sheet2.xml" Id="R5e81a23b0a534e18" /><Relationship Type="http://schemas.openxmlformats.org/officeDocument/2006/relationships/worksheet" Target="/xl/worksheets/sheet3.xml" Id="R7dd57efb1fb64a4d" /><Relationship Type="http://schemas.openxmlformats.org/officeDocument/2006/relationships/worksheet" Target="/xl/worksheets/sheet4.xml" Id="R7a96ce7db0ef434a" /><Relationship Type="http://schemas.openxmlformats.org/officeDocument/2006/relationships/worksheet" Target="/xl/worksheets/sheet5.xml" Id="R2edf1b6bca1f4068" /><Relationship Type="http://schemas.openxmlformats.org/officeDocument/2006/relationships/worksheet" Target="/xl/worksheets/sheet6.xml" Id="R4dc650722d1d4a7b" /><Relationship Type="http://schemas.openxmlformats.org/officeDocument/2006/relationships/worksheet" Target="/xl/worksheets/sheet7.xml" Id="Ra2e071cd6f0e4596" /><Relationship Type="http://schemas.openxmlformats.org/officeDocument/2006/relationships/worksheet" Target="/xl/worksheets/sheet8.xml" Id="R51a33590f65a4e85" /><Relationship Type="http://schemas.openxmlformats.org/officeDocument/2006/relationships/worksheet" Target="/xl/worksheets/sheet9.xml" Id="R751ce737ee6247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fb517a65dfa438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fb517a65dfa438e"/>
        </a:graphicData>
      </a:graphic>
    </xdr:graphicFrame>
    <xdr:clientData/>
  </xdr:twoCellAnchor>
</xdr:wsDr>
</file>

<file path=xl/tables/table1.xml><?xml version="1.0" encoding="utf-8"?>
<x:table xmlns:x="http://schemas.openxmlformats.org/spreadsheetml/2006/main" id="8" name="BacklogTable" displayName="BacklogTable" ref="A1:AJ31"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UIXSpec1" displayName="UIXSpec1" ref="A1:I13" headerRowCount="1">
  <x:tableColumns count="9">
    <x:tableColumn id="1" name="화면 ID"/>
    <x:tableColumn id="2" name="화면·오버레이"/>
    <x:tableColumn id="3" name="진입 시점"/>
    <x:tableColumn id="4" name="주요 목적"/>
    <x:tableColumn id="5" name="주요 데이터"/>
    <x:tableColumn id="6" name="주요 조작"/>
    <x:tableColumn id="7" name="오류·빈 상태"/>
    <x:tableColumn id="8" name="접근성"/>
    <x:tableColumn id="9" name="관련 ID"/>
  </x:tableColumns>
  <x:tableStyleInfo name="TableStyleMedium2" showRowStripes="1"/>
</x:table>
</file>

<file path=xl/tables/table3.xml><?xml version="1.0" encoding="utf-8"?>
<x:table xmlns:x="http://schemas.openxmlformats.org/spreadsheetml/2006/main" id="3" name="UIXSpec2" displayName="UIXSpec2" ref="A1:J10" headerRowCount="1">
  <x:tableColumns count="10">
    <x:tableColumn id="1" name="페이즈"/>
    <x:tableColumn id="2" name="이동"/>
    <x:tableColumn id="3" name="메모 작성"/>
    <x:tableColumn id="4" name="메모 부착"/>
    <x:tableColumn id="5" name="미니게임"/>
    <x:tableColumn id="6" name="음성"/>
    <x:tableColumn id="7" name="텍스트"/>
    <x:tableColumn id="8" name="투표"/>
    <x:tableColumn id="9" name="본인 등 메모"/>
    <x:tableColumn id="10" name="주요 UI"/>
  </x:tableColumns>
  <x:tableStyleInfo name="TableStyleMedium2" showRowStripes="1"/>
</x:table>
</file>

<file path=xl/tables/table4.xml><?xml version="1.0" encoding="utf-8"?>
<x:table xmlns:x="http://schemas.openxmlformats.org/spreadsheetml/2006/main" id="4" name="UIXSpec3" displayName="UIXSpec3" ref="A1:G6" headerRowCount="1">
  <x:tableColumns count="7">
    <x:tableColumn id="1" name="검사 ID"/>
    <x:tableColumn id="2" name="대상"/>
    <x:tableColumn id="3" name="요구사항"/>
    <x:tableColumn id="4" name="검증 방법"/>
    <x:tableColumn id="5" name="합격 기준"/>
    <x:tableColumn id="6" name="관련 ID"/>
    <x:tableColumn id="7" name="상태"/>
  </x:tableColumns>
  <x:tableStyleInfo name="TableStyleMedium2" showRowStripes="1"/>
</x:table>
</file>

<file path=xl/tables/table5.xml><?xml version="1.0" encoding="utf-8"?>
<x:table xmlns:x="http://schemas.openxmlformats.org/spreadsheetml/2006/main" id="9" name="QACasesTable" displayName="QACasesTable" ref="A1:V58"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a83136bed754611" /></Relationships>
</file>

<file path=xl/worksheets/_rels/sheet2.xml.rels>&#65279;<?xml version="1.0" encoding="utf-8"?><Relationships xmlns="http://schemas.openxmlformats.org/package/2006/relationships"><Relationship Type="http://schemas.openxmlformats.org/officeDocument/2006/relationships/table" Target="/xl/tables/table1.xml" Id="R62a1e5069c194901" /></Relationships>
</file>

<file path=xl/worksheets/_rels/sheet3.xml.rels>&#65279;<?xml version="1.0" encoding="utf-8"?><Relationships xmlns="http://schemas.openxmlformats.org/package/2006/relationships"><Relationship Type="http://schemas.openxmlformats.org/officeDocument/2006/relationships/table" Target="/xl/tables/table2.xml" Id="Rc8eb94c4793046ae" /></Relationships>
</file>

<file path=xl/worksheets/_rels/sheet4.xml.rels>&#65279;<?xml version="1.0" encoding="utf-8"?><Relationships xmlns="http://schemas.openxmlformats.org/package/2006/relationships"><Relationship Type="http://schemas.openxmlformats.org/officeDocument/2006/relationships/table" Target="/xl/tables/table3.xml" Id="R7649f5d52a404879" /></Relationships>
</file>

<file path=xl/worksheets/_rels/sheet5.xml.rels>&#65279;<?xml version="1.0" encoding="utf-8"?><Relationships xmlns="http://schemas.openxmlformats.org/package/2006/relationships"><Relationship Type="http://schemas.openxmlformats.org/officeDocument/2006/relationships/table" Target="/xl/tables/table4.xml" Id="R73e18d5931524523" /></Relationships>
</file>

<file path=xl/worksheets/_rels/sheet6.xml.rels>&#65279;<?xml version="1.0" encoding="utf-8"?><Relationships xmlns="http://schemas.openxmlformats.org/package/2006/relationships"><Relationship Type="http://schemas.openxmlformats.org/officeDocument/2006/relationships/table" Target="/xl/tables/table5.xml" Id="R651bbe6295724314" /></Relationships>
</file>

<file path=xl/worksheets/_rels/sheet7.xml.rels>&#65279;<?xml version="1.0" encoding="utf-8"?><Relationships xmlns="http://schemas.openxmlformats.org/package/2006/relationships"><Relationship Type="http://schemas.openxmlformats.org/officeDocument/2006/relationships/table" Target="/xl/tables/table6.xml" Id="R7f0a91715b864a96" /></Relationships>
</file>

<file path=xl/worksheets/_rels/sheet8.xml.rels>&#65279;<?xml version="1.0" encoding="utf-8"?><Relationships xmlns="http://schemas.openxmlformats.org/package/2006/relationships"><Relationship Type="http://schemas.openxmlformats.org/officeDocument/2006/relationships/table" Target="/xl/tables/table7.xml" Id="Ra2197383cd91454e"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UI·UX 구현 관리대장</x:v>
      </x:c>
      <x:c r="B1" s="5"/>
      <x:c r="C1" s="5"/>
      <x:c r="D1" s="5"/>
      <x:c r="E1" s="5"/>
      <x:c r="F1" s="5"/>
      <x:c r="G1" s="5"/>
      <x:c r="H1" s="5"/>
    </x:row>
    <x:row r="2" ht="28" customHeight="1">
      <x:c r="A2" s="13" t="str">
        <x:v>버전 2.0-ko / 갱신일 2026-07-10 / 담당 부문: UI·UX</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COUNTA('01_백로그'!A2:A31)</x:f>
        <x:v>30</x:v>
      </x:c>
      <x:c r="C5" s="27" t="str">
        <x:v>백로그 전체 수</x:v>
      </x:c>
      <x:c r="D5" s="27"/>
      <x:c r="E5" s="27" t="str">
        <x:v>미착수</x:v>
      </x:c>
      <x:c r="F5" s="27" t="n">
        <x:f>COUNTIF('01_백로그'!U2:U31,E5)</x:f>
        <x:v>30</x:v>
      </x:c>
      <x:c r="G5" s="28" t="n">
        <x:f>IFERROR(F5/$B$5,0)</x:f>
        <x:v>1</x:v>
      </x:c>
      <x:c r="H5" s="27"/>
    </x:row>
    <x:row r="6">
      <x:c r="A6" s="27" t="str">
        <x:v>MVP 작업</x:v>
      </x:c>
      <x:c r="B6" s="27" t="n">
        <x:f>COUNTIF('01_백로그'!I2:I31,"MVP")</x:f>
        <x:v>23</x:v>
      </x:c>
      <x:c r="C6" s="27" t="str">
        <x:v>MVP 범위</x:v>
      </x:c>
      <x:c r="D6" s="27"/>
      <x:c r="E6" s="27" t="str">
        <x:v>사양 확인 중</x:v>
      </x:c>
      <x:c r="F6" s="27" t="n">
        <x:f>COUNTIF('01_백로그'!U2:U31,E6)</x:f>
        <x:v>0</x:v>
      </x:c>
      <x:c r="G6" s="28" t="n">
        <x:f>IFERROR(F6/$B$5,0)</x:f>
        <x:v>0</x:v>
      </x:c>
      <x:c r="H6" s="27"/>
    </x:row>
    <x:row r="7">
      <x:c r="A7" s="27" t="str">
        <x:v>P0 미완료</x:v>
      </x:c>
      <x:c r="B7" s="27" t="n">
        <x:f>COUNTIFS('01_백로그'!J2:J31,"P0",'01_백로그'!U2:U31,"&lt;&gt;완료")</x:f>
        <x:v>27</x:v>
      </x:c>
      <x:c r="C7" s="27" t="str">
        <x:v>P0이며 완료되지 않은 항목</x:v>
      </x:c>
      <x:c r="D7" s="27"/>
      <x:c r="E7" s="27" t="str">
        <x:v>구현 중</x:v>
      </x:c>
      <x:c r="F7" s="27" t="n">
        <x:f>COUNTIF('01_백로그'!U2:U31,E7)</x:f>
        <x:v>0</x:v>
      </x:c>
      <x:c r="G7" s="28" t="n">
        <x:f>IFERROR(F7/$B$5,0)</x:f>
        <x:v>0</x:v>
      </x:c>
      <x:c r="H7" s="27"/>
    </x:row>
    <x:row r="8">
      <x:c r="A8" s="27" t="str">
        <x:v>차단</x:v>
      </x:c>
      <x:c r="B8" s="27" t="n">
        <x:f>COUNTIF('01_백로그'!U2:U31,"차단")</x:f>
        <x:v>0</x:v>
      </x:c>
      <x:c r="C8" s="27" t="str">
        <x:v>현재 진행을 막는 항목</x:v>
      </x:c>
      <x:c r="D8" s="27"/>
      <x:c r="E8" s="27" t="str">
        <x:v>코드 리뷰</x:v>
      </x:c>
      <x:c r="F8" s="27" t="n">
        <x:f>COUNTIF('01_백로그'!U2:U31,E8)</x:f>
        <x:v>0</x:v>
      </x:c>
      <x:c r="G8" s="28" t="n">
        <x:f>IFERROR(F8/$B$5,0)</x:f>
        <x:v>0</x:v>
      </x:c>
      <x:c r="H8" s="27"/>
    </x:row>
    <x:row r="9">
      <x:c r="A9" s="27" t="str">
        <x:v>완료</x:v>
      </x:c>
      <x:c r="B9" s="27" t="n">
        <x:f>COUNTIF('01_백로그'!U2:U31,"완료")</x:f>
        <x:v>0</x:v>
      </x:c>
      <x:c r="C9" s="27" t="str">
        <x:v>완료 정의·QA·증빙 충족</x:v>
      </x:c>
      <x:c r="D9" s="27"/>
      <x:c r="E9" s="27" t="str">
        <x:v>QA 진행 중</x:v>
      </x:c>
      <x:c r="F9" s="27" t="n">
        <x:f>COUNTIF('01_백로그'!U2:U31,E9)</x:f>
        <x:v>0</x:v>
      </x:c>
      <x:c r="G9" s="28" t="n">
        <x:f>IFERROR(F9/$B$5,0)</x:f>
        <x:v>0</x:v>
      </x:c>
      <x:c r="H9" s="27"/>
    </x:row>
    <x:row r="10">
      <x:c r="A10" s="27" t="str">
        <x:v>평균 진행률</x:v>
      </x:c>
      <x:c r="B10" s="28" t="n">
        <x:f>IFERROR(AVERAGE('01_백로그'!V2:V31),0)</x:f>
        <x:v>0</x:v>
      </x:c>
      <x:c r="C10" s="27" t="str">
        <x:v>상태별 진행률 환산 평균</x:v>
      </x:c>
      <x:c r="D10" s="27"/>
      <x:c r="E10" s="27" t="str">
        <x:v>차단</x:v>
      </x:c>
      <x:c r="F10" s="27" t="n">
        <x:f>COUNTIF('01_백로그'!U2:U31,E10)</x:f>
        <x:v>0</x:v>
      </x:c>
      <x:c r="G10" s="28" t="n">
        <x:f>IFERROR(F10/$B$5,0)</x:f>
        <x:v>0</x:v>
      </x:c>
      <x:c r="H10" s="27"/>
    </x:row>
    <x:row r="11">
      <x:c r="A11" s="27" t="str">
        <x:v>QA 합격률</x:v>
      </x:c>
      <x:c r="B11" s="28" t="n">
        <x:f>IFERROR(COUNTIF('80_QA_케이스'!M2:M58,"합격")/COUNTIF('80_QA_케이스'!M2:M58,"&lt;&gt;대상 제외"),0)</x:f>
        <x:v>0</x:v>
      </x:c>
      <x:c r="C11" s="27" t="str">
        <x:v>대상 QA 중 통과 비율</x:v>
      </x:c>
      <x:c r="D11" s="27"/>
      <x:c r="E11" s="27" t="str">
        <x:v>완료</x:v>
      </x:c>
      <x:c r="F11" s="27" t="n">
        <x:f>COUNTIF('01_백로그'!U2:U31,E11)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COUNTIF('01_백로그'!U2:U31,E12)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aa83136bed754611"/>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UIX-001</x:v>
      </x:c>
      <x:c r="B2" s="36" t="str">
        <x:v>UI·UX</x:v>
      </x:c>
      <x:c r="C2" s="36" t="str">
        <x:v>UX 기반</x:v>
      </x:c>
      <x:c r="D2" s="36" t="str">
        <x:v>디자인 시스템</x:v>
      </x:c>
      <x:c r="E2" s="36" t="str">
        <x:v>게임 UI 디자인 시스템·토큰</x:v>
      </x:c>
      <x:c r="F2" s="36" t="str">
        <x:v>게임 규칙, 운영 요구사항과 대상 플랫폼 제약을 충족하도록 게임 UI 디자인 시스템·토큰 기능을 구현하고 검증한다.</x:v>
      </x:c>
      <x:c r="G2" s="36" t="str">
        <x:v>색상, 타이포그래피, 여백, 포커스, 상태 색상, 경고 계층, 아이콘 규칙을 정의하고 주요 화면이 공통 컴포넌트를 사용한다.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UX 기반</x:v>
      </x:c>
      <x:c r="M2" s="36" t="str">
        <x:v>MVP</x:v>
      </x:c>
      <x:c r="N2" s="36" t="str">
        <x:v>UI·UX 팀</x:v>
      </x:c>
      <x:c r="O2" s="36" t="str">
        <x:v>미정</x:v>
      </x:c>
      <x:c r="P2" s="36" t="str">
        <x:v>미정</x:v>
      </x:c>
      <x:c r="Q2" s="36" t="str">
        <x:v>전체</x:v>
      </x:c>
      <x:c r="R2" s="36" t="str">
        <x:v>콘텐츠 데이터</x:v>
      </x:c>
      <x:c r="S2" s="36" t="str">
        <x:v>없음</x:v>
      </x:c>
      <x:c r="T2" s="36" t="str">
        <x:v>L</x:v>
      </x:c>
      <x:c r="U2" s="36" t="str">
        <x:v>미착수</x:v>
      </x:c>
      <x:c r="V2" s="46" t="n">
        <x:f>IF(U2="완료",1,IF(U2="QA 진행 중",0.8,IF(U2="코드 리뷰",0.65,IF(U2="구현 중",0.4,IF(U2="사양 확인 중",0.1,IF(U2="차단",0.4,0))))))</x:f>
        <x:v>0</x:v>
      </x:c>
      <x:c r="W2" s="36" t="str">
        <x:v>미정</x:v>
      </x:c>
      <x:c r="X2" s="44"/>
      <x:c r="Y2" s="36"/>
      <x:c r="Z2" s="36" t="str">
        <x:v>중간</x:v>
      </x:c>
      <x:c r="AA2" s="36" t="str">
        <x:v>사용성</x:v>
      </x:c>
      <x:c r="AB2" s="36" t="str">
        <x:v>TC-UIX-001-01, TC-UIX-001-02</x:v>
      </x:c>
      <x:c r="AC2" s="36"/>
      <x:c r="AD2" s="36" t="str">
        <x:v>게임 기획서 / 캐릭터 사양서</x:v>
      </x:c>
      <x:c r="AE2" s="36"/>
      <x:c r="AF2" s="44" t="str">
        <x:v>2026-07-10</x:v>
      </x:c>
      <x:c r="AG2" s="36"/>
      <x:c r="AH2" s="54"/>
      <x:c r="AI2" s="54"/>
      <x:c r="AJ2" s="53" t="str">
        <x:v>착수 전</x:v>
      </x:c>
    </x:row>
    <x:row r="3" ht="42" customHeight="1">
      <x:c r="A3" s="36" t="str">
        <x:v>UIX-002</x:v>
      </x:c>
      <x:c r="B3" s="36" t="str">
        <x:v>UI·UX</x:v>
      </x:c>
      <x:c r="C3" s="36" t="str">
        <x:v>UX 기반</x:v>
      </x:c>
      <x:c r="D3" s="36" t="str">
        <x:v>화면 탐색</x:v>
      </x:c>
      <x:c r="E3" s="36" t="str">
        <x:v>화면 전환·뒤로 가기·모달 공통 제어</x:v>
      </x:c>
      <x:c r="F3" s="36" t="str">
        <x:v>게임 규칙, 운영 요구사항과 대상 플랫폼 제약을 충족하도록 화면 전환·뒤로 가기·모달 공통 제어 기능을 구현하고 검증한다.</x:v>
      </x:c>
      <x:c r="G3" s="36" t="str">
        <x:v>타이틀, 로비, 설정, 매치, 결과 화면의 전환이 입력 방식과 관계없이 일관되며 모달 중첩이나 뒤로 가기 경로 상실이 발생하지 않는다.</x:v>
      </x:c>
      <x:c r="H3" s="36" t="str">
        <x:v>구현, 코드 리뷰, 사양 갱신, 대상 QA 케이스 실행, 로그·텔레메트리 확인과 관련 플랫폼 검증을 완료하고 미해결 P0·P1 결함이 없다.</x:v>
      </x:c>
      <x:c r="I3" s="36" t="str">
        <x:v>MVP</x:v>
      </x:c>
      <x:c r="J3" s="36" t="str">
        <x:v>P0</x:v>
      </x:c>
      <x:c r="K3" s="36" t="str">
        <x:v>필수</x:v>
      </x:c>
      <x:c r="L3" s="36" t="str">
        <x:v>UX 기반</x:v>
      </x:c>
      <x:c r="M3" s="36" t="str">
        <x:v>MVP</x:v>
      </x:c>
      <x:c r="N3" s="36" t="str">
        <x:v>UI·UX 팀</x:v>
      </x:c>
      <x:c r="O3" s="36" t="str">
        <x:v>미정</x:v>
      </x:c>
      <x:c r="P3" s="36" t="str">
        <x:v>미정</x:v>
      </x:c>
      <x:c r="Q3" s="36" t="str">
        <x:v>전체</x:v>
      </x:c>
      <x:c r="R3" s="36" t="str">
        <x:v>클라이언트 로컬</x:v>
      </x:c>
      <x:c r="S3" s="36" t="str">
        <x:v>없음</x:v>
      </x:c>
      <x:c r="T3" s="36" t="str">
        <x:v>M</x:v>
      </x:c>
      <x:c r="U3" s="36" t="str">
        <x:v>미착수</x:v>
      </x:c>
      <x:c r="V3" s="46" t="n">
        <x:f>IF(U3="완료",1,IF(U3="QA 진행 중",0.8,IF(U3="코드 리뷰",0.65,IF(U3="구현 중",0.4,IF(U3="사양 확인 중",0.1,IF(U3="차단",0.4,0))))))</x:f>
        <x:v>0</x:v>
      </x:c>
      <x:c r="W3" s="36" t="str">
        <x:v>미정</x:v>
      </x:c>
      <x:c r="X3" s="44"/>
      <x:c r="Y3" s="36" t="str">
        <x:v>UIX-001</x:v>
      </x:c>
      <x:c r="Z3" s="36" t="str">
        <x:v>중간</x:v>
      </x:c>
      <x:c r="AA3" s="36" t="str">
        <x:v>기능</x:v>
      </x:c>
      <x:c r="AB3" s="36" t="str">
        <x:v>TC-UIX-002-01, TC-UIX-002-02</x:v>
      </x:c>
      <x:c r="AC3" s="36"/>
      <x:c r="AD3" s="36" t="str">
        <x:v>게임 기획서</x:v>
      </x:c>
      <x:c r="AE3" s="36"/>
      <x:c r="AF3" s="44" t="str">
        <x:v>2026-07-10</x:v>
      </x:c>
      <x:c r="AG3" s="36"/>
      <x:c r="AH3" s="54"/>
      <x:c r="AI3" s="54"/>
      <x:c r="AJ3" s="53" t="str">
        <x:v>착수 전</x:v>
      </x:c>
    </x:row>
    <x:row r="4" ht="42" customHeight="1">
      <x:c r="A4" s="36" t="str">
        <x:v>UIX-003</x:v>
      </x:c>
      <x:c r="B4" s="36" t="str">
        <x:v>UI·UX</x:v>
      </x:c>
      <x:c r="C4" s="36" t="str">
        <x:v>프런트엔드</x:v>
      </x:c>
      <x:c r="D4" s="36" t="str">
        <x:v>실행·타이틀</x:v>
      </x:c>
      <x:c r="E4" s="36" t="str">
        <x:v>부팅·타이틀·연결 상태 화면</x:v>
      </x:c>
      <x:c r="F4" s="36" t="str">
        <x:v>게임 규칙, 운영 요구사항과 대상 플랫폼 제약을 충족하도록 부팅·타이틀·연결 상태 화면 기능을 구현하고 검증한다.</x:v>
      </x:c>
      <x:c r="G4" s="36" t="str">
        <x:v>초기화, 인증, 서비스 연결, 점검, 오프라인 상태를 구분해 표시하고 재시도 또는 종료 경로를 제공한다.</x:v>
      </x:c>
      <x:c r="H4" s="36" t="str">
        <x:v>구현, 코드 리뷰, 사양 갱신, 대상 QA 케이스 실행, 로그·텔레메트리 확인과 관련 플랫폼 검증을 완료하고 미해결 P0·P1 결함이 없다.</x:v>
      </x:c>
      <x:c r="I4" s="36" t="str">
        <x:v>MVP</x:v>
      </x:c>
      <x:c r="J4" s="36" t="str">
        <x:v>P0</x:v>
      </x:c>
      <x:c r="K4" s="36" t="str">
        <x:v>필수</x:v>
      </x:c>
      <x:c r="L4" s="36" t="str">
        <x:v>실행</x:v>
      </x:c>
      <x:c r="M4" s="36" t="str">
        <x:v>MVP</x:v>
      </x:c>
      <x:c r="N4" s="36" t="str">
        <x:v>UI·UX 팀</x:v>
      </x:c>
      <x:c r="O4" s="36" t="str">
        <x:v>미정</x:v>
      </x:c>
      <x:c r="P4" s="36" t="str">
        <x:v>미정</x:v>
      </x:c>
      <x:c r="Q4" s="36" t="str">
        <x:v>전체</x:v>
      </x:c>
      <x:c r="R4" s="36" t="str">
        <x:v>클라이언트 로컬</x:v>
      </x:c>
      <x:c r="S4" s="36" t="str">
        <x:v>없음</x:v>
      </x:c>
      <x:c r="T4" s="36" t="str">
        <x:v>M</x:v>
      </x:c>
      <x:c r="U4" s="36" t="str">
        <x:v>미착수</x:v>
      </x:c>
      <x:c r="V4" s="46" t="n">
        <x:f>IF(U4="완료",1,IF(U4="QA 진행 중",0.8,IF(U4="코드 리뷰",0.65,IF(U4="구현 중",0.4,IF(U4="사양 확인 중",0.1,IF(U4="차단",0.4,0))))))</x:f>
        <x:v>0</x:v>
      </x:c>
      <x:c r="W4" s="36" t="str">
        <x:v>미정</x:v>
      </x:c>
      <x:c r="X4" s="44"/>
      <x:c r="Y4" s="36" t="str">
        <x:v>ONL-001,BED-001</x:v>
      </x:c>
      <x:c r="Z4" s="36" t="str">
        <x:v>중간</x:v>
      </x:c>
      <x:c r="AA4" s="36" t="str">
        <x:v>통합</x:v>
      </x:c>
      <x:c r="AB4" s="36" t="str">
        <x:v>TC-UIX-003-01, TC-UIX-003-02</x:v>
      </x:c>
      <x:c r="AC4" s="36"/>
      <x:c r="AD4" s="36" t="str">
        <x:v>게임 기획서</x:v>
      </x:c>
      <x:c r="AE4" s="36"/>
      <x:c r="AF4" s="44" t="str">
        <x:v>2026-07-10</x:v>
      </x:c>
      <x:c r="AG4" s="36"/>
      <x:c r="AH4" s="54"/>
      <x:c r="AI4" s="54"/>
      <x:c r="AJ4" s="53" t="str">
        <x:v>착수 전</x:v>
      </x:c>
    </x:row>
    <x:row r="5" ht="42" customHeight="1">
      <x:c r="A5" s="36" t="str">
        <x:v>UIX-004</x:v>
      </x:c>
      <x:c r="B5" s="36" t="str">
        <x:v>UI·UX</x:v>
      </x:c>
      <x:c r="C5" s="36" t="str">
        <x:v>프런트엔드</x:v>
      </x:c>
      <x:c r="D5" s="36" t="str">
        <x:v>로비 탐색</x:v>
      </x:c>
      <x:c r="E5" s="36" t="str">
        <x:v>공개 룸·매치메이킹 진입 화면</x:v>
      </x:c>
      <x:c r="F5" s="36" t="str">
        <x:v>게임 규칙, 운영 요구사항과 대상 플랫폼 제약을 충족하도록 공개 룸·매치메이킹 진입 화면 기능을 구현하고 검증한다.</x:v>
      </x:c>
      <x:c r="G5" s="36" t="str">
        <x:v>공개 검색, 비공개 코드, 초대, 취소 진입점을 명확하게 제공하고 사용할 수 없는 모드는 이유와 함께 비활성화한다.</x:v>
      </x:c>
      <x:c r="H5" s="36" t="str">
        <x:v>구현, 코드 리뷰, 사양 갱신, 대상 QA 케이스 실행, 로그·텔레메트리 확인과 관련 플랫폼 검증을 완료하고 미해결 P0·P1 결함이 없다.</x:v>
      </x:c>
      <x:c r="I5" s="36" t="str">
        <x:v>알파</x:v>
      </x:c>
      <x:c r="J5" s="36" t="str">
        <x:v>P1</x:v>
      </x:c>
      <x:c r="K5" s="36" t="str">
        <x:v>필수</x:v>
      </x:c>
      <x:c r="L5" s="36" t="str">
        <x:v>온라인 UX</x:v>
      </x:c>
      <x:c r="M5" s="36" t="str">
        <x:v>알파</x:v>
      </x:c>
      <x:c r="N5" s="36" t="str">
        <x:v>UI·UX 팀</x:v>
      </x:c>
      <x:c r="O5" s="36" t="str">
        <x:v>미정</x:v>
      </x:c>
      <x:c r="P5" s="36" t="str">
        <x:v>미정</x:v>
      </x:c>
      <x:c r="Q5" s="36" t="str">
        <x:v>전체</x:v>
      </x:c>
      <x:c r="R5" s="36" t="str">
        <x:v>클라이언트 로컬</x:v>
      </x:c>
      <x:c r="S5" s="36" t="str">
        <x:v>없음</x:v>
      </x:c>
      <x:c r="T5" s="36" t="str">
        <x:v>M</x:v>
      </x:c>
      <x:c r="U5" s="36" t="str">
        <x:v>미착수</x:v>
      </x:c>
      <x:c r="V5" s="46" t="n">
        <x:f>IF(U5="완료",1,IF(U5="QA 진행 중",0.8,IF(U5="코드 리뷰",0.65,IF(U5="구현 중",0.4,IF(U5="사양 확인 중",0.1,IF(U5="차단",0.4,0))))))</x:f>
        <x:v>0</x:v>
      </x:c>
      <x:c r="W5" s="36" t="str">
        <x:v>미정</x:v>
      </x:c>
      <x:c r="X5" s="44"/>
      <x:c r="Y5" s="36" t="str">
        <x:v>ONL-004,ONL-006</x:v>
      </x:c>
      <x:c r="Z5" s="36" t="str">
        <x:v>중간</x:v>
      </x:c>
      <x:c r="AA5" s="36" t="str">
        <x:v>사용성</x:v>
      </x:c>
      <x:c r="AB5" s="36" t="str">
        <x:v>TC-UIX-004-01</x:v>
      </x:c>
      <x:c r="AC5" s="36"/>
      <x:c r="AD5" s="36" t="str">
        <x:v>게임 기획서</x:v>
      </x:c>
      <x:c r="AE5" s="36"/>
      <x:c r="AF5" s="44" t="str">
        <x:v>2026-07-10</x:v>
      </x:c>
      <x:c r="AG5" s="36"/>
      <x:c r="AH5" s="54"/>
      <x:c r="AI5" s="54"/>
      <x:c r="AJ5" s="53" t="str">
        <x:v>착수 전</x:v>
      </x:c>
    </x:row>
    <x:row r="6" ht="42" customHeight="1">
      <x:c r="A6" s="36" t="str">
        <x:v>UIX-005</x:v>
      </x:c>
      <x:c r="B6" s="36" t="str">
        <x:v>UI·UX</x:v>
      </x:c>
      <x:c r="C6" s="36" t="str">
        <x:v>프런트엔드</x:v>
      </x:c>
      <x:c r="D6" s="36" t="str">
        <x:v>룸 생성</x:v>
      </x:c>
      <x:c r="E6" s="36" t="str">
        <x:v>룸 생성 화면</x:v>
      </x:c>
      <x:c r="F6" s="36" t="str">
        <x:v>게임 규칙, 운영 요구사항과 대상 플랫폼 제약을 충족하도록 룸 생성 화면 기능을 구현하고 검증한다.</x:v>
      </x:c>
      <x:c r="G6" s="36" t="str">
        <x:v>기본 프리셋, 공개 범위, 지역, 최대 인원, 상세 설정 진입점을 표시하고 유효하지 않은 값에서는 생성 요청을 전송하지 않는다.</x:v>
      </x:c>
      <x:c r="H6" s="36" t="str">
        <x:v>구현, 코드 리뷰, 사양 갱신, 대상 QA 케이스 실행, 로그·텔레메트리 확인과 관련 플랫폼 검증을 완료하고 미해결 P0·P1 결함이 없다.</x:v>
      </x:c>
      <x:c r="I6" s="36" t="str">
        <x:v>MVP</x:v>
      </x:c>
      <x:c r="J6" s="36" t="str">
        <x:v>P0</x:v>
      </x:c>
      <x:c r="K6" s="36" t="str">
        <x:v>필수</x:v>
      </x:c>
      <x:c r="L6" s="36" t="str">
        <x:v>온라인 UX</x:v>
      </x:c>
      <x:c r="M6" s="36" t="str">
        <x:v>MVP</x:v>
      </x:c>
      <x:c r="N6" s="36" t="str">
        <x:v>UI·UX 팀</x:v>
      </x:c>
      <x:c r="O6" s="36" t="str">
        <x:v>미정</x:v>
      </x:c>
      <x:c r="P6" s="36" t="str">
        <x:v>미정</x:v>
      </x:c>
      <x:c r="Q6" s="36" t="str">
        <x:v>전체</x:v>
      </x:c>
      <x:c r="R6" s="36" t="str">
        <x:v>클라이언트 로컬</x:v>
      </x:c>
      <x:c r="S6" s="36" t="str">
        <x:v>단말 로컬</x:v>
      </x:c>
      <x:c r="T6" s="36" t="str">
        <x:v>L</x:v>
      </x:c>
      <x:c r="U6" s="36" t="str">
        <x:v>미착수</x:v>
      </x:c>
      <x:c r="V6" s="46" t="n">
        <x:f>IF(U6="완료",1,IF(U6="QA 진행 중",0.8,IF(U6="코드 리뷰",0.65,IF(U6="구현 중",0.4,IF(U6="사양 확인 중",0.1,IF(U6="차단",0.4,0))))))</x:f>
        <x:v>0</x:v>
      </x:c>
      <x:c r="W6" s="36" t="str">
        <x:v>미정</x:v>
      </x:c>
      <x:c r="X6" s="44"/>
      <x:c r="Y6" s="36" t="str">
        <x:v>SET-009,ONL-004</x:v>
      </x:c>
      <x:c r="Z6" s="36" t="str">
        <x:v>중간</x:v>
      </x:c>
      <x:c r="AA6" s="36" t="str">
        <x:v>기능</x:v>
      </x:c>
      <x:c r="AB6" s="36" t="str">
        <x:v>TC-UIX-005-01, TC-UIX-005-02</x:v>
      </x:c>
      <x:c r="AC6" s="36"/>
      <x:c r="AD6" s="36" t="str">
        <x:v>게임 기획서</x:v>
      </x:c>
      <x:c r="AE6" s="36"/>
      <x:c r="AF6" s="44" t="str">
        <x:v>2026-07-10</x:v>
      </x:c>
      <x:c r="AG6" s="36"/>
      <x:c r="AH6" s="54"/>
      <x:c r="AI6" s="54"/>
      <x:c r="AJ6" s="53" t="str">
        <x:v>착수 전</x:v>
      </x:c>
    </x:row>
    <x:row r="7" ht="42" customHeight="1">
      <x:c r="A7" s="36" t="str">
        <x:v>UIX-006</x:v>
      </x:c>
      <x:c r="B7" s="36" t="str">
        <x:v>UI·UX</x:v>
      </x:c>
      <x:c r="C7" s="36" t="str">
        <x:v>프런트엔드</x:v>
      </x:c>
      <x:c r="D7" s="36" t="str">
        <x:v>룸 참가</x:v>
      </x:c>
      <x:c r="E7" s="36" t="str">
        <x:v>룸 코드 입력·참가 화면</x:v>
      </x:c>
      <x:c r="F7" s="36" t="str">
        <x:v>게임 규칙, 운영 요구사항과 대상 플랫폼 제약을 충족하도록 룸 코드 입력·참가 화면 기능을 구현하고 검증한다.</x:v>
      </x:c>
      <x:c r="G7" s="36" t="str">
        <x:v>코드 입력, 붙여넣기, 자릿수 검증, 참가 진행 상태를 제공하고 만원, 만료, 버전 불일치 오류를 개별적으로 표시한다.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온라인 UX</x:v>
      </x:c>
      <x:c r="M7" s="36" t="str">
        <x:v>MVP</x:v>
      </x:c>
      <x:c r="N7" s="36" t="str">
        <x:v>UI·UX 팀</x:v>
      </x:c>
      <x:c r="O7" s="36" t="str">
        <x:v>미정</x:v>
      </x:c>
      <x:c r="P7" s="36" t="str">
        <x:v>미정</x:v>
      </x:c>
      <x:c r="Q7" s="36" t="str">
        <x:v>전체</x:v>
      </x:c>
      <x:c r="R7" s="36" t="str">
        <x:v>클라이언트 로컬</x:v>
      </x:c>
      <x:c r="S7" s="36" t="str">
        <x:v>없음</x:v>
      </x:c>
      <x:c r="T7" s="36" t="str">
        <x:v>M</x:v>
      </x:c>
      <x:c r="U7" s="36" t="str">
        <x:v>미착수</x:v>
      </x:c>
      <x:c r="V7" s="46" t="n">
        <x:f>IF(U7="완료",1,IF(U7="QA 진행 중",0.8,IF(U7="코드 리뷰",0.65,IF(U7="구현 중",0.4,IF(U7="사양 확인 중",0.1,IF(U7="차단",0.4,0))))))</x:f>
        <x:v>0</x:v>
      </x:c>
      <x:c r="W7" s="36" t="str">
        <x:v>미정</x:v>
      </x:c>
      <x:c r="X7" s="44"/>
      <x:c r="Y7" s="36" t="str">
        <x:v>ONL-006,ONL-020</x:v>
      </x:c>
      <x:c r="Z7" s="36" t="str">
        <x:v>중간</x:v>
      </x:c>
      <x:c r="AA7" s="36" t="str">
        <x:v>경계값</x:v>
      </x:c>
      <x:c r="AB7" s="36" t="str">
        <x:v>TC-UIX-006-01, TC-UIX-006-02</x:v>
      </x:c>
      <x:c r="AC7" s="36"/>
      <x:c r="AD7" s="36" t="str">
        <x:v>게임 기획서</x:v>
      </x:c>
      <x:c r="AE7" s="36"/>
      <x:c r="AF7" s="44" t="str">
        <x:v>2026-07-10</x:v>
      </x:c>
      <x:c r="AG7" s="36"/>
      <x:c r="AH7" s="54"/>
      <x:c r="AI7" s="54"/>
      <x:c r="AJ7" s="53" t="str">
        <x:v>착수 전</x:v>
      </x:c>
    </x:row>
    <x:row r="8" ht="42" customHeight="1">
      <x:c r="A8" s="36" t="str">
        <x:v>UIX-007</x:v>
      </x:c>
      <x:c r="B8" s="36" t="str">
        <x:v>UI·UX</x:v>
      </x:c>
      <x:c r="C8" s="36" t="str">
        <x:v>로비</x:v>
      </x:c>
      <x:c r="D8" s="36" t="str">
        <x:v>참가자 목록</x:v>
      </x:c>
      <x:c r="E8" s="36" t="str">
        <x:v>로비 참가자·색상·상태 표시</x:v>
      </x:c>
      <x:c r="F8" s="36" t="str">
        <x:v>게임 규칙, 운영 요구사항과 대상 플랫폼 제약을 충족하도록 로비 참가자·색상·상태 표시 기능을 구현하고 검증한다.</x:v>
      </x:c>
      <x:c r="G8" s="36" t="str">
        <x:v>참가자 이름, 색상, 준비 상태, 연결 품질, 호스트·관리 권한을 표시하되 역할이나 비공개 정보는 표시하지 않는다.</x:v>
      </x:c>
      <x:c r="H8" s="36" t="str">
        <x:v>구현, 코드 리뷰, 사양 갱신, 대상 QA 케이스 실행, 로그·텔레메트리 확인과 관련 플랫폼 검증을 완료하고 미해결 P0·P1 결함이 없다.</x:v>
      </x:c>
      <x:c r="I8" s="36" t="str">
        <x:v>MVP</x:v>
      </x:c>
      <x:c r="J8" s="36" t="str">
        <x:v>P0</x:v>
      </x:c>
      <x:c r="K8" s="36" t="str">
        <x:v>필수</x:v>
      </x:c>
      <x:c r="L8" s="36" t="str">
        <x:v>온라인 UX</x:v>
      </x:c>
      <x:c r="M8" s="36" t="str">
        <x:v>MVP</x:v>
      </x:c>
      <x:c r="N8" s="36" t="str">
        <x:v>UI·UX 팀</x:v>
      </x:c>
      <x:c r="O8" s="36" t="str">
        <x:v>미정</x:v>
      </x:c>
      <x:c r="P8" s="36" t="str">
        <x:v>미정</x:v>
      </x:c>
      <x:c r="Q8" s="36" t="str">
        <x:v>전체</x:v>
      </x:c>
      <x:c r="R8" s="36" t="str">
        <x:v>클라이언트 로컬</x:v>
      </x:c>
      <x:c r="S8" s="36" t="str">
        <x:v>세션</x:v>
      </x:c>
      <x:c r="T8" s="36" t="str">
        <x:v>M</x:v>
      </x:c>
      <x:c r="U8" s="36" t="str">
        <x:v>미착수</x:v>
      </x:c>
      <x:c r="V8" s="46" t="n">
        <x:f>IF(U8="완료",1,IF(U8="QA 진행 중",0.8,IF(U8="코드 리뷰",0.65,IF(U8="구현 중",0.4,IF(U8="사양 확인 중",0.1,IF(U8="차단",0.4,0))))))</x:f>
        <x:v>0</x:v>
      </x:c>
      <x:c r="W8" s="36" t="str">
        <x:v>미정</x:v>
      </x:c>
      <x:c r="X8" s="44"/>
      <x:c r="Y8" s="36" t="str">
        <x:v>ONL-007,ONL-009</x:v>
      </x:c>
      <x:c r="Z8" s="36" t="str">
        <x:v>중간</x:v>
      </x:c>
      <x:c r="AA8" s="36" t="str">
        <x:v>통합</x:v>
      </x:c>
      <x:c r="AB8" s="36" t="str">
        <x:v>TC-UIX-007-01, TC-UIX-007-02</x:v>
      </x:c>
      <x:c r="AC8" s="36"/>
      <x:c r="AD8" s="36" t="str">
        <x:v>게임 기획서</x:v>
      </x:c>
      <x:c r="AE8" s="36"/>
      <x:c r="AF8" s="44" t="str">
        <x:v>2026-07-10</x:v>
      </x:c>
      <x:c r="AG8" s="36"/>
      <x:c r="AH8" s="54"/>
      <x:c r="AI8" s="54"/>
      <x:c r="AJ8" s="53" t="str">
        <x:v>착수 전</x:v>
      </x:c>
    </x:row>
    <x:row r="9" ht="42" customHeight="1">
      <x:c r="A9" s="36" t="str">
        <x:v>UIX-008</x:v>
      </x:c>
      <x:c r="B9" s="36" t="str">
        <x:v>UI·UX</x:v>
      </x:c>
      <x:c r="C9" s="36" t="str">
        <x:v>로비</x:v>
      </x:c>
      <x:c r="D9" s="36" t="str">
        <x:v>준비·시작</x:v>
      </x:c>
      <x:c r="E9" s="36" t="str">
        <x:v>준비·시작 조건·차단 사유 표시</x:v>
      </x:c>
      <x:c r="F9" s="36" t="str">
        <x:v>게임 규칙, 운영 요구사항과 대상 플랫폼 제약을 충족하도록 준비·시작 조건·차단 사유 표시 기능을 구현하고 검증한다.</x:v>
      </x:c>
      <x:c r="G9" s="36" t="str">
        <x:v>준비 전환, 최소 인원, 설정 오류, 버전 불일치를 표시하고 시작할 수 없는 이유를 호스트에게 명확히 안내한다.</x:v>
      </x:c>
      <x:c r="H9" s="36" t="str">
        <x:v>구현, 코드 리뷰, 사양 갱신, 대상 QA 케이스 실행, 로그·텔레메트리 확인과 관련 플랫폼 검증을 완료하고 미해결 P0·P1 결함이 없다.</x:v>
      </x:c>
      <x:c r="I9" s="36" t="str">
        <x:v>MVP</x:v>
      </x:c>
      <x:c r="J9" s="36" t="str">
        <x:v>P0</x:v>
      </x:c>
      <x:c r="K9" s="36" t="str">
        <x:v>필수</x:v>
      </x:c>
      <x:c r="L9" s="36" t="str">
        <x:v>온라인 UX</x:v>
      </x:c>
      <x:c r="M9" s="36" t="str">
        <x:v>MVP</x:v>
      </x:c>
      <x:c r="N9" s="36" t="str">
        <x:v>UI·UX 팀</x:v>
      </x:c>
      <x:c r="O9" s="36" t="str">
        <x:v>미정</x:v>
      </x:c>
      <x:c r="P9" s="36" t="str">
        <x:v>미정</x:v>
      </x:c>
      <x:c r="Q9" s="36" t="str">
        <x:v>전체</x:v>
      </x:c>
      <x:c r="R9" s="36" t="str">
        <x:v>클라이언트 로컬</x:v>
      </x:c>
      <x:c r="S9" s="36" t="str">
        <x:v>세션</x:v>
      </x:c>
      <x:c r="T9" s="36" t="str">
        <x:v>M</x:v>
      </x:c>
      <x:c r="U9" s="36" t="str">
        <x:v>미착수</x:v>
      </x:c>
      <x:c r="V9" s="46" t="n">
        <x:f>IF(U9="완료",1,IF(U9="QA 진행 중",0.8,IF(U9="코드 리뷰",0.65,IF(U9="구현 중",0.4,IF(U9="사양 확인 중",0.1,IF(U9="차단",0.4,0))))))</x:f>
        <x:v>0</x:v>
      </x:c>
      <x:c r="W9" s="36" t="str">
        <x:v>미정</x:v>
      </x:c>
      <x:c r="X9" s="44"/>
      <x:c r="Y9" s="36" t="str">
        <x:v>ONL-010,ONL-011</x:v>
      </x:c>
      <x:c r="Z9" s="36" t="str">
        <x:v>중간</x:v>
      </x:c>
      <x:c r="AA9" s="36" t="str">
        <x:v>사용성</x:v>
      </x:c>
      <x:c r="AB9" s="36" t="str">
        <x:v>TC-UIX-008-01, TC-UIX-008-02</x:v>
      </x:c>
      <x:c r="AC9" s="36"/>
      <x:c r="AD9" s="36" t="str">
        <x:v>게임 기획서</x:v>
      </x:c>
      <x:c r="AE9" s="36"/>
      <x:c r="AF9" s="44" t="str">
        <x:v>2026-07-10</x:v>
      </x:c>
      <x:c r="AG9" s="36"/>
      <x:c r="AH9" s="54"/>
      <x:c r="AI9" s="54"/>
      <x:c r="AJ9" s="53" t="str">
        <x:v>착수 전</x:v>
      </x:c>
    </x:row>
    <x:row r="10" ht="42" customHeight="1">
      <x:c r="A10" s="36" t="str">
        <x:v>UIX-009</x:v>
      </x:c>
      <x:c r="B10" s="36" t="str">
        <x:v>UI·UX</x:v>
      </x:c>
      <x:c r="C10" s="36" t="str">
        <x:v>매치 HUD</x:v>
      </x:c>
      <x:c r="D10" s="36" t="str">
        <x:v>역할 공개</x:v>
      </x:c>
      <x:c r="E10" s="36" t="str">
        <x:v>본인 전용 역할 공개 화면</x:v>
      </x:c>
      <x:c r="F10" s="36" t="str">
        <x:v>게임 규칙, 운영 요구사항과 대상 플랫폼 제약을 충족하도록 본인 전용 역할 공개 화면 기능을 구현하고 검증한다.</x:v>
      </x:c>
      <x:c r="G10" s="36" t="str">
        <x:v>역할, 승리 조건, 마피아의 색상 위조 능력을 짧은 시간에 이해할 수 있으며 방송 화면, 다른 플레이어 화면, 관전자에게 잘못 노출되지 않는다.</x:v>
      </x:c>
      <x:c r="H10" s="36" t="str">
        <x:v>구현, 코드 리뷰, 사양 갱신, 대상 QA 케이스 실행, 로그·텔레메트리 확인과 관련 플랫폼 검증을 완료하고 미해결 P0·P1 결함이 없다.</x:v>
      </x:c>
      <x:c r="I10" s="36" t="str">
        <x:v>MVP</x:v>
      </x:c>
      <x:c r="J10" s="36" t="str">
        <x:v>P0</x:v>
      </x:c>
      <x:c r="K10" s="36" t="str">
        <x:v>필수</x:v>
      </x:c>
      <x:c r="L10" s="36" t="str">
        <x:v>정보 비공개</x:v>
      </x:c>
      <x:c r="M10" s="36" t="str">
        <x:v>MVP</x:v>
      </x:c>
      <x:c r="N10" s="36" t="str">
        <x:v>UI·UX 팀</x:v>
      </x:c>
      <x:c r="O10" s="36" t="str">
        <x:v>미정</x:v>
      </x:c>
      <x:c r="P10" s="36" t="str">
        <x:v>미정</x:v>
      </x:c>
      <x:c r="Q10" s="36" t="str">
        <x:v>전체</x:v>
      </x:c>
      <x:c r="R10" s="36" t="str">
        <x:v>클라이언트 로컬</x:v>
      </x:c>
      <x:c r="S10" s="36" t="str">
        <x:v>매치</x:v>
      </x:c>
      <x:c r="T10" s="36" t="str">
        <x:v>M</x:v>
      </x:c>
      <x:c r="U10" s="36" t="str">
        <x:v>미착수</x:v>
      </x:c>
      <x:c r="V10" s="46" t="n">
        <x:f>IF(U10="완료",1,IF(U10="QA 진행 중",0.8,IF(U10="코드 리뷰",0.65,IF(U10="구현 중",0.4,IF(U10="사양 확인 중",0.1,IF(U10="차단",0.4,0))))))</x:f>
        <x:v>0</x:v>
      </x:c>
      <x:c r="W10" s="36" t="str">
        <x:v>미정</x:v>
      </x:c>
      <x:c r="X10" s="44"/>
      <x:c r="Y10" s="36" t="str">
        <x:v>IGM-002,NET-018</x:v>
      </x:c>
      <x:c r="Z10" s="36" t="str">
        <x:v>중간</x:v>
      </x:c>
      <x:c r="AA10" s="36" t="str">
        <x:v>보안</x:v>
      </x:c>
      <x:c r="AB10" s="36" t="str">
        <x:v>TC-UIX-009-01, TC-UIX-009-02</x:v>
      </x:c>
      <x:c r="AC10" s="36"/>
      <x:c r="AD10" s="36" t="str">
        <x:v>게임 기획서</x:v>
      </x:c>
      <x:c r="AE10" s="36"/>
      <x:c r="AF10" s="44" t="str">
        <x:v>2026-07-10</x:v>
      </x:c>
      <x:c r="AG10" s="36"/>
      <x:c r="AH10" s="54"/>
      <x:c r="AI10" s="54"/>
      <x:c r="AJ10" s="53" t="str">
        <x:v>착수 전</x:v>
      </x:c>
    </x:row>
    <x:row r="11" ht="42" customHeight="1">
      <x:c r="A11" s="36" t="str">
        <x:v>UIX-010</x:v>
      </x:c>
      <x:c r="B11" s="36" t="str">
        <x:v>UI·UX</x:v>
      </x:c>
      <x:c r="C11" s="36" t="str">
        <x:v>매치 HUD</x:v>
      </x:c>
      <x:c r="D11" s="36" t="str">
        <x:v>페이즈·타이머</x:v>
      </x:c>
      <x:c r="E11" s="36" t="str">
        <x:v>페이즈·일차·남은 시간 HUD</x:v>
      </x:c>
      <x:c r="F11" s="36" t="str">
        <x:v>게임 규칙, 운영 요구사항과 대상 플랫폼 제약을 충족하도록 페이즈·일차·남은 시간 HUD 기능을 구현하고 검증한다.</x:v>
      </x:c>
      <x:c r="G11" s="36" t="str">
        <x:v>낮, 밤 관찰, 밤 투표, 최종 재판을 색상에만 의존하지 않고 표시하며 서버 시간 보정 후에도 1초 이상의 급격한 변화나 역행이 없다.</x:v>
      </x:c>
      <x:c r="H11" s="36" t="str">
        <x:v>구현, 코드 리뷰, 사양 갱신, 대상 QA 케이스 실행, 로그·텔레메트리 확인과 관련 플랫폼 검증을 완료하고 미해결 P0·P1 결함이 없다.</x:v>
      </x:c>
      <x:c r="I11" s="36" t="str">
        <x:v>MVP</x:v>
      </x:c>
      <x:c r="J11" s="36" t="str">
        <x:v>P0</x:v>
      </x:c>
      <x:c r="K11" s="36" t="str">
        <x:v>필수</x:v>
      </x:c>
      <x:c r="L11" s="36" t="str">
        <x:v>HUD</x:v>
      </x:c>
      <x:c r="M11" s="36" t="str">
        <x:v>MVP</x:v>
      </x:c>
      <x:c r="N11" s="36" t="str">
        <x:v>UI·UX 팀</x:v>
      </x:c>
      <x:c r="O11" s="36" t="str">
        <x:v>미정</x:v>
      </x:c>
      <x:c r="P11" s="36" t="str">
        <x:v>미정</x:v>
      </x:c>
      <x:c r="Q11" s="36" t="str">
        <x:v>전체</x:v>
      </x:c>
      <x:c r="R11" s="36" t="str">
        <x:v>클라이언트 로컬</x:v>
      </x:c>
      <x:c r="S11" s="36" t="str">
        <x:v>없음</x:v>
      </x:c>
      <x:c r="T11" s="36" t="str">
        <x:v>M</x:v>
      </x:c>
      <x:c r="U11" s="36" t="str">
        <x:v>미착수</x:v>
      </x:c>
      <x:c r="V11" s="46" t="n">
        <x:f>IF(U11="완료",1,IF(U11="QA 진행 중",0.8,IF(U11="코드 리뷰",0.65,IF(U11="구현 중",0.4,IF(U11="사양 확인 중",0.1,IF(U11="차단",0.4,0))))))</x:f>
        <x:v>0</x:v>
      </x:c>
      <x:c r="W11" s="36" t="str">
        <x:v>미정</x:v>
      </x:c>
      <x:c r="X11" s="44"/>
      <x:c r="Y11" s="36" t="str">
        <x:v>IGM-001,NET-008</x:v>
      </x:c>
      <x:c r="Z11" s="36" t="str">
        <x:v>중간</x:v>
      </x:c>
      <x:c r="AA11" s="36" t="str">
        <x:v>통합</x:v>
      </x:c>
      <x:c r="AB11" s="36" t="str">
        <x:v>TC-UIX-010-01, TC-UIX-010-02</x:v>
      </x:c>
      <x:c r="AC11" s="36"/>
      <x:c r="AD11" s="36" t="str">
        <x:v>게임 기획서</x:v>
      </x:c>
      <x:c r="AE11" s="36"/>
      <x:c r="AF11" s="44" t="str">
        <x:v>2026-07-10</x:v>
      </x:c>
      <x:c r="AG11" s="36"/>
      <x:c r="AH11" s="54"/>
      <x:c r="AI11" s="54"/>
      <x:c r="AJ11" s="53" t="str">
        <x:v>착수 전</x:v>
      </x:c>
    </x:row>
    <x:row r="12" ht="42" customHeight="1">
      <x:c r="A12" s="36" t="str">
        <x:v>UIX-011</x:v>
      </x:c>
      <x:c r="B12" s="36" t="str">
        <x:v>UI·UX</x:v>
      </x:c>
      <x:c r="C12" s="36" t="str">
        <x:v>매치 HUD</x:v>
      </x:c>
      <x:c r="D12" s="36" t="str">
        <x:v>메모 인벤토리</x:v>
      </x:c>
      <x:c r="E12" s="36" t="str">
        <x:v>보유 메모·위조 잔여 횟수 표시</x:v>
      </x:c>
      <x:c r="F12" s="36" t="str">
        <x:v>게임 규칙, 운영 요구사항과 대상 플랫폼 제약을 충족하도록 보유 메모·위조 잔여 횟수 표시 기능을 구현하고 검증한다.</x:v>
      </x:c>
      <x:c r="G12" s="36" t="str">
        <x:v>본인 보유 메모 수를 표시하고 마피아에게만 위조 잔여 횟수를 표시한다. 자신의 등 메모 수량과 내용은 표시하지 않는다.</x:v>
      </x:c>
      <x:c r="H12" s="36" t="str">
        <x:v>구현, 코드 리뷰, 사양 갱신, 대상 QA 케이스 실행, 로그·텔레메트리 확인과 관련 플랫폼 검증을 완료하고 미해결 P0·P1 결함이 없다.</x:v>
      </x:c>
      <x:c r="I12" s="36" t="str">
        <x:v>MVP</x:v>
      </x:c>
      <x:c r="J12" s="36" t="str">
        <x:v>P0</x:v>
      </x:c>
      <x:c r="K12" s="36" t="str">
        <x:v>필수</x:v>
      </x:c>
      <x:c r="L12" s="36" t="str">
        <x:v>정보 비공개</x:v>
      </x:c>
      <x:c r="M12" s="36" t="str">
        <x:v>MVP</x:v>
      </x:c>
      <x:c r="N12" s="36" t="str">
        <x:v>UI·UX 팀</x:v>
      </x:c>
      <x:c r="O12" s="36" t="str">
        <x:v>미정</x:v>
      </x:c>
      <x:c r="P12" s="36" t="str">
        <x:v>미정</x:v>
      </x:c>
      <x:c r="Q12" s="36" t="str">
        <x:v>전체</x:v>
      </x:c>
      <x:c r="R12" s="36" t="str">
        <x:v>클라이언트 로컬</x:v>
      </x:c>
      <x:c r="S12" s="36" t="str">
        <x:v>매치</x:v>
      </x:c>
      <x:c r="T12" s="36" t="str">
        <x:v>M</x:v>
      </x:c>
      <x:c r="U12" s="36" t="str">
        <x:v>미착수</x:v>
      </x:c>
      <x:c r="V12" s="46" t="n">
        <x:f>IF(U12="완료",1,IF(U12="QA 진행 중",0.8,IF(U12="코드 리뷰",0.65,IF(U12="구현 중",0.4,IF(U12="사양 확인 중",0.1,IF(U12="차단",0.4,0))))))</x:f>
        <x:v>0</x:v>
      </x:c>
      <x:c r="W12" s="36" t="str">
        <x:v>미정</x:v>
      </x:c>
      <x:c r="X12" s="44"/>
      <x:c r="Y12" s="36" t="str">
        <x:v>IGM-009,IGM-015,NET-018</x:v>
      </x:c>
      <x:c r="Z12" s="36" t="str">
        <x:v>중간</x:v>
      </x:c>
      <x:c r="AA12" s="36" t="str">
        <x:v>보안</x:v>
      </x:c>
      <x:c r="AB12" s="36" t="str">
        <x:v>TC-UIX-011-01, TC-UIX-011-02</x:v>
      </x:c>
      <x:c r="AC12" s="36"/>
      <x:c r="AD12" s="36" t="str">
        <x:v>게임 기획서</x:v>
      </x:c>
      <x:c r="AE12" s="36"/>
      <x:c r="AF12" s="44" t="str">
        <x:v>2026-07-10</x:v>
      </x:c>
      <x:c r="AG12" s="36"/>
      <x:c r="AH12" s="54"/>
      <x:c r="AI12" s="54"/>
      <x:c r="AJ12" s="53" t="str">
        <x:v>착수 전</x:v>
      </x:c>
    </x:row>
    <x:row r="13" ht="42" customHeight="1">
      <x:c r="A13" s="36" t="str">
        <x:v>UIX-012</x:v>
      </x:c>
      <x:c r="B13" s="36" t="str">
        <x:v>UI·UX</x:v>
      </x:c>
      <x:c r="C13" s="36" t="str">
        <x:v>메모 UX</x:v>
      </x:c>
      <x:c r="D13" s="36" t="str">
        <x:v>제작</x:v>
      </x:c>
      <x:c r="E13" s="36" t="str">
        <x:v>프리셋 메모 작성 패널</x:v>
      </x:c>
      <x:c r="F13" s="36" t="str">
        <x:v>게임 규칙, 운영 요구사항과 대상 플랫폼 제약을 충족하도록 프리셋 메모 작성 패널 기능을 구현하고 검증한다.</x:v>
      </x:c>
      <x:c r="G13" s="36" t="str">
        <x:v>분류, 문구, 표시 색상, 확인, 취소를 게임패드와 키보드·마우스로 조작할 수 있고 MVP에서는 자유 입력·자유 그리기 진입점을 노출하지 않는다.</x:v>
      </x:c>
      <x:c r="H13" s="36" t="str">
        <x:v>구현, 코드 리뷰, 사양 갱신, 대상 QA 케이스 실행, 로그·텔레메트리 확인과 관련 플랫폼 검증을 완료하고 미해결 P0·P1 결함이 없다.</x:v>
      </x:c>
      <x:c r="I13" s="36" t="str">
        <x:v>MVP</x:v>
      </x:c>
      <x:c r="J13" s="36" t="str">
        <x:v>P0</x:v>
      </x:c>
      <x:c r="K13" s="36" t="str">
        <x:v>필수</x:v>
      </x:c>
      <x:c r="L13" s="36" t="str">
        <x:v>메모 UX</x:v>
      </x:c>
      <x:c r="M13" s="36" t="str">
        <x:v>MVP</x:v>
      </x:c>
      <x:c r="N13" s="36" t="str">
        <x:v>UI·UX 팀</x:v>
      </x:c>
      <x:c r="O13" s="36" t="str">
        <x:v>미정</x:v>
      </x:c>
      <x:c r="P13" s="36" t="str">
        <x:v>미정</x:v>
      </x:c>
      <x:c r="Q13" s="36" t="str">
        <x:v>전체</x:v>
      </x:c>
      <x:c r="R13" s="36" t="str">
        <x:v>클라이언트 로컬</x:v>
      </x:c>
      <x:c r="S13" s="36" t="str">
        <x:v>없음</x:v>
      </x:c>
      <x:c r="T13" s="36" t="str">
        <x:v>L</x:v>
      </x:c>
      <x:c r="U13" s="36" t="str">
        <x:v>미착수</x:v>
      </x:c>
      <x:c r="V13" s="46" t="n">
        <x:f>IF(U13="완료",1,IF(U13="QA 진행 중",0.8,IF(U13="코드 리뷰",0.65,IF(U13="구현 중",0.4,IF(U13="사양 확인 중",0.1,IF(U13="차단",0.4,0))))))</x:f>
        <x:v>0</x:v>
      </x:c>
      <x:c r="W13" s="36" t="str">
        <x:v>미정</x:v>
      </x:c>
      <x:c r="X13" s="44"/>
      <x:c r="Y13" s="36" t="str">
        <x:v>IGM-012,SET-016</x:v>
      </x:c>
      <x:c r="Z13" s="36" t="str">
        <x:v>중간</x:v>
      </x:c>
      <x:c r="AA13" s="36" t="str">
        <x:v>사용성</x:v>
      </x:c>
      <x:c r="AB13" s="36" t="str">
        <x:v>TC-UIX-012-01, TC-UIX-012-02</x:v>
      </x:c>
      <x:c r="AC13" s="36"/>
      <x:c r="AD13" s="36" t="str">
        <x:v>게임 기획서</x:v>
      </x:c>
      <x:c r="AE13" s="36"/>
      <x:c r="AF13" s="44" t="str">
        <x:v>2026-07-10</x:v>
      </x:c>
      <x:c r="AG13" s="36"/>
      <x:c r="AH13" s="54"/>
      <x:c r="AI13" s="54"/>
      <x:c r="AJ13" s="53" t="str">
        <x:v>착수 전</x:v>
      </x:c>
    </x:row>
    <x:row r="14" ht="42" customHeight="1">
      <x:c r="A14" s="36" t="str">
        <x:v>UIX-013</x:v>
      </x:c>
      <x:c r="B14" s="36" t="str">
        <x:v>UI·UX</x:v>
      </x:c>
      <x:c r="C14" s="36" t="str">
        <x:v>메모 UX</x:v>
      </x:c>
      <x:c r="D14" s="36" t="str">
        <x:v>위조 색상</x:v>
      </x:c>
      <x:c r="E14" s="36" t="str">
        <x:v>마피아 위조 색상 선택 UI</x:v>
      </x:c>
      <x:c r="F14" s="36" t="str">
        <x:v>게임 규칙, 운영 요구사항과 대상 플랫폼 제약을 충족하도록 마피아 위조 색상 선택 UI 기능을 구현하고 검증한다.</x:v>
      </x:c>
      <x:c r="G14" s="36" t="str">
        <x:v>생존 플레이어의 색상만 선택할 수 있고 잔여 횟수 0회 또는 규칙 비활성화 시 이유와 함께 선택을 막는다. 시민에게는 색상 선택 UI를 표시하지 않는다.</x:v>
      </x:c>
      <x:c r="H14" s="36" t="str">
        <x:v>구현, 코드 리뷰, 사양 갱신, 대상 QA 케이스 실행, 로그·텔레메트리 확인과 관련 플랫폼 검증을 완료하고 미해결 P0·P1 결함이 없다.</x:v>
      </x:c>
      <x:c r="I14" s="36" t="str">
        <x:v>MVP</x:v>
      </x:c>
      <x:c r="J14" s="36" t="str">
        <x:v>P0</x:v>
      </x:c>
      <x:c r="K14" s="36" t="str">
        <x:v>필수</x:v>
      </x:c>
      <x:c r="L14" s="36" t="str">
        <x:v>정보 비공개</x:v>
      </x:c>
      <x:c r="M14" s="36" t="str">
        <x:v>MVP</x:v>
      </x:c>
      <x:c r="N14" s="36" t="str">
        <x:v>UI·UX 팀</x:v>
      </x:c>
      <x:c r="O14" s="36" t="str">
        <x:v>미정</x:v>
      </x:c>
      <x:c r="P14" s="36" t="str">
        <x:v>미정</x:v>
      </x:c>
      <x:c r="Q14" s="36" t="str">
        <x:v>전체</x:v>
      </x:c>
      <x:c r="R14" s="36" t="str">
        <x:v>클라이언트 로컬</x:v>
      </x:c>
      <x:c r="S14" s="36" t="str">
        <x:v>없음</x:v>
      </x:c>
      <x:c r="T14" s="36" t="str">
        <x:v>M</x:v>
      </x:c>
      <x:c r="U14" s="36" t="str">
        <x:v>미착수</x:v>
      </x:c>
      <x:c r="V14" s="46" t="n">
        <x:f>IF(U14="완료",1,IF(U14="QA 진행 중",0.8,IF(U14="코드 리뷰",0.65,IF(U14="구현 중",0.4,IF(U14="사양 확인 중",0.1,IF(U14="차단",0.4,0))))))</x:f>
        <x:v>0</x:v>
      </x:c>
      <x:c r="W14" s="36" t="str">
        <x:v>미정</x:v>
      </x:c>
      <x:c r="X14" s="44"/>
      <x:c r="Y14" s="36" t="str">
        <x:v>IGM-014,IGM-015</x:v>
      </x:c>
      <x:c r="Z14" s="36" t="str">
        <x:v>중간</x:v>
      </x:c>
      <x:c r="AA14" s="36" t="str">
        <x:v>보안</x:v>
      </x:c>
      <x:c r="AB14" s="36" t="str">
        <x:v>TC-UIX-013-01, TC-UIX-013-02</x:v>
      </x:c>
      <x:c r="AC14" s="36"/>
      <x:c r="AD14" s="36" t="str">
        <x:v>게임 기획서</x:v>
      </x:c>
      <x:c r="AE14" s="36"/>
      <x:c r="AF14" s="44" t="str">
        <x:v>2026-07-10</x:v>
      </x:c>
      <x:c r="AG14" s="36"/>
      <x:c r="AH14" s="54"/>
      <x:c r="AI14" s="54"/>
      <x:c r="AJ14" s="53" t="str">
        <x:v>착수 전</x:v>
      </x:c>
    </x:row>
    <x:row r="15" ht="42" customHeight="1">
      <x:c r="A15" s="36" t="str">
        <x:v>UIX-014</x:v>
      </x:c>
      <x:c r="B15" s="36" t="str">
        <x:v>UI·UX</x:v>
      </x:c>
      <x:c r="C15" s="36" t="str">
        <x:v>메모 UX</x:v>
      </x:c>
      <x:c r="D15" s="36" t="str">
        <x:v>월드 표현</x:v>
      </x:c>
      <x:c r="E15" s="36" t="str">
        <x:v>등 메모 거리별 표시·겹침·순서</x:v>
      </x:c>
      <x:c r="F15" s="36" t="str">
        <x:v>게임 규칙, 운영 요구사항과 대상 플랫폼 제약을 충족하도록 등 메모 거리별 표시·겹침·순서 기능을 구현하고 검증한다.</x:v>
      </x:c>
      <x:c r="G15" s="36" t="str">
        <x:v>중거리에서는 색상, 근거리에서는 문구를 읽을 수 있고 최대 6장의 순서를 유지하며 해상도, FOV, 색각 보조 설정에서도 레이아웃이 깨지지 않는다.</x:v>
      </x:c>
      <x:c r="H15" s="36" t="str">
        <x:v>구현, 코드 리뷰, 사양 갱신, 대상 QA 케이스 실행, 로그·텔레메트리 확인과 관련 플랫폼 검증을 완료하고 미해결 P0·P1 결함이 없다.</x:v>
      </x:c>
      <x:c r="I15" s="36" t="str">
        <x:v>MVP</x:v>
      </x:c>
      <x:c r="J15" s="36" t="str">
        <x:v>P0</x:v>
      </x:c>
      <x:c r="K15" s="36" t="str">
        <x:v>필수</x:v>
      </x:c>
      <x:c r="L15" s="36" t="str">
        <x:v>판독성</x:v>
      </x:c>
      <x:c r="M15" s="36" t="str">
        <x:v>MVP</x:v>
      </x:c>
      <x:c r="N15" s="36" t="str">
        <x:v>UI·UX 팀</x:v>
      </x:c>
      <x:c r="O15" s="36" t="str">
        <x:v>미정</x:v>
      </x:c>
      <x:c r="P15" s="36" t="str">
        <x:v>미정</x:v>
      </x:c>
      <x:c r="Q15" s="36" t="str">
        <x:v>전체</x:v>
      </x:c>
      <x:c r="R15" s="36" t="str">
        <x:v>클라이언트 로컬</x:v>
      </x:c>
      <x:c r="S15" s="36" t="str">
        <x:v>없음</x:v>
      </x:c>
      <x:c r="T15" s="36" t="str">
        <x:v>XL</x:v>
      </x:c>
      <x:c r="U15" s="36" t="str">
        <x:v>미착수</x:v>
      </x:c>
      <x:c r="V15" s="46" t="n">
        <x:f>IF(U15="완료",1,IF(U15="QA 진행 중",0.8,IF(U15="코드 리뷰",0.65,IF(U15="구현 중",0.4,IF(U15="사양 확인 중",0.1,IF(U15="차단",0.4,0))))))</x:f>
        <x:v>0</x:v>
      </x:c>
      <x:c r="W15" s="36" t="str">
        <x:v>미정</x:v>
      </x:c>
      <x:c r="X15" s="44"/>
      <x:c r="Y15" s="36" t="str">
        <x:v>IGM-020,IGM-021,CHR-012,SET-024</x:v>
      </x:c>
      <x:c r="Z15" s="36" t="str">
        <x:v>중간</x:v>
      </x:c>
      <x:c r="AA15" s="36" t="str">
        <x:v>접근성</x:v>
      </x:c>
      <x:c r="AB15" s="36" t="str">
        <x:v>TC-UIX-014-01, TC-UIX-014-02</x:v>
      </x:c>
      <x:c r="AC15" s="36"/>
      <x:c r="AD15" s="36" t="str">
        <x:v>게임 기획서</x:v>
      </x:c>
      <x:c r="AE15" s="36"/>
      <x:c r="AF15" s="44" t="str">
        <x:v>2026-07-10</x:v>
      </x:c>
      <x:c r="AG15" s="36"/>
      <x:c r="AH15" s="54"/>
      <x:c r="AI15" s="54"/>
      <x:c r="AJ15" s="53" t="str">
        <x:v>착수 전</x:v>
      </x:c>
    </x:row>
    <x:row r="16" ht="42" customHeight="1">
      <x:c r="A16" s="36" t="str">
        <x:v>UIX-015</x:v>
      </x:c>
      <x:c r="B16" s="36" t="str">
        <x:v>UI·UX</x:v>
      </x:c>
      <x:c r="C16" s="36" t="str">
        <x:v>상호작용</x:v>
      </x:c>
      <x:c r="D16" s="36" t="str">
        <x:v>안내 문구</x:v>
      </x:c>
      <x:c r="E16" s="36" t="str">
        <x:v>메모 부착·미니게임 상호작용 안내</x:v>
      </x:c>
      <x:c r="F16" s="36" t="str">
        <x:v>게임 규칙, 운영 요구사항과 대상 플랫폼 제약을 충족하도록 메모 부착·미니게임 상호작용 안내 기능을 구현하고 검증한다.</x:v>
      </x:c>
      <x:c r="G16" s="36" t="str">
        <x:v>대상, 행동, 필요 조건, 사용할 입력, 실행 불가 사유를 표시하고 정면, 거리 밖, 밤 등 무효 상태에서 잘못된 안내를 제공하지 않는다.</x:v>
      </x:c>
      <x:c r="H16" s="36" t="str">
        <x:v>구현, 코드 리뷰, 사양 갱신, 대상 QA 케이스 실행, 로그·텔레메트리 확인과 관련 플랫폼 검증을 완료하고 미해결 P0·P1 결함이 없다.</x:v>
      </x:c>
      <x:c r="I16" s="36" t="str">
        <x:v>MVP</x:v>
      </x:c>
      <x:c r="J16" s="36" t="str">
        <x:v>P0</x:v>
      </x:c>
      <x:c r="K16" s="36" t="str">
        <x:v>필수</x:v>
      </x:c>
      <x:c r="L16" s="36" t="str">
        <x:v>조작</x:v>
      </x:c>
      <x:c r="M16" s="36" t="str">
        <x:v>MVP</x:v>
      </x:c>
      <x:c r="N16" s="36" t="str">
        <x:v>UI·UX 팀</x:v>
      </x:c>
      <x:c r="O16" s="36" t="str">
        <x:v>미정</x:v>
      </x:c>
      <x:c r="P16" s="36" t="str">
        <x:v>미정</x:v>
      </x:c>
      <x:c r="Q16" s="36" t="str">
        <x:v>전체</x:v>
      </x:c>
      <x:c r="R16" s="36" t="str">
        <x:v>클라이언트 로컬</x:v>
      </x:c>
      <x:c r="S16" s="36" t="str">
        <x:v>없음</x:v>
      </x:c>
      <x:c r="T16" s="36" t="str">
        <x:v>M</x:v>
      </x:c>
      <x:c r="U16" s="36" t="str">
        <x:v>미착수</x:v>
      </x:c>
      <x:c r="V16" s="46" t="n">
        <x:f>IF(U16="완료",1,IF(U16="QA 진행 중",0.8,IF(U16="코드 리뷰",0.65,IF(U16="구현 중",0.4,IF(U16="사양 확인 중",0.1,IF(U16="차단",0.4,0))))))</x:f>
        <x:v>0</x:v>
      </x:c>
      <x:c r="W16" s="36" t="str">
        <x:v>미정</x:v>
      </x:c>
      <x:c r="X16" s="44"/>
      <x:c r="Y16" s="36" t="str">
        <x:v>IGM-016,CNT-020,SET-006</x:v>
      </x:c>
      <x:c r="Z16" s="36" t="str">
        <x:v>중간</x:v>
      </x:c>
      <x:c r="AA16" s="36" t="str">
        <x:v>사용성</x:v>
      </x:c>
      <x:c r="AB16" s="36" t="str">
        <x:v>TC-UIX-015-01, TC-UIX-015-02</x:v>
      </x:c>
      <x:c r="AC16" s="36"/>
      <x:c r="AD16" s="36" t="str">
        <x:v>게임 기획서</x:v>
      </x:c>
      <x:c r="AE16" s="36"/>
      <x:c r="AF16" s="44" t="str">
        <x:v>2026-07-10</x:v>
      </x:c>
      <x:c r="AG16" s="36"/>
      <x:c r="AH16" s="54"/>
      <x:c r="AI16" s="54"/>
      <x:c r="AJ16" s="53" t="str">
        <x:v>착수 전</x:v>
      </x:c>
    </x:row>
    <x:row r="17" ht="42" customHeight="1">
      <x:c r="A17" s="36" t="str">
        <x:v>UIX-016</x:v>
      </x:c>
      <x:c r="B17" s="36" t="str">
        <x:v>UI·UX</x:v>
      </x:c>
      <x:c r="C17" s="36" t="str">
        <x:v>상호작용</x:v>
      </x:c>
      <x:c r="D17" s="36" t="str">
        <x:v>행동 채널링</x:v>
      </x:c>
      <x:c r="E17" s="36" t="str">
        <x:v>메모 부착 진행·취소 사유 표시</x:v>
      </x:c>
      <x:c r="F17" s="36" t="str">
        <x:v>게임 규칙, 운영 요구사항과 대상 플랫폼 제약을 충족하도록 메모 부착 진행·취소 사유 표시 기능을 구현하고 검증한다.</x:v>
      </x:c>
      <x:c r="G17" s="36" t="str">
        <x:v>1.5초 진행도와 취소, 성공, 실패 상태를 표시하며 서버 확정 전에 보유 수량이나 대상의 메모 표시를 선반영하지 않는다.</x:v>
      </x:c>
      <x:c r="H17" s="36" t="str">
        <x:v>구현, 코드 리뷰, 사양 갱신, 대상 QA 케이스 실행, 로그·텔레메트리 확인과 관련 플랫폼 검증을 완료하고 미해결 P0·P1 결함이 없다.</x:v>
      </x:c>
      <x:c r="I17" s="36" t="str">
        <x:v>MVP</x:v>
      </x:c>
      <x:c r="J17" s="36" t="str">
        <x:v>P0</x:v>
      </x:c>
      <x:c r="K17" s="36" t="str">
        <x:v>필수</x:v>
      </x:c>
      <x:c r="L17" s="36" t="str">
        <x:v>메모 UX</x:v>
      </x:c>
      <x:c r="M17" s="36" t="str">
        <x:v>MVP</x:v>
      </x:c>
      <x:c r="N17" s="36" t="str">
        <x:v>UI·UX 팀</x:v>
      </x:c>
      <x:c r="O17" s="36" t="str">
        <x:v>미정</x:v>
      </x:c>
      <x:c r="P17" s="36" t="str">
        <x:v>미정</x:v>
      </x:c>
      <x:c r="Q17" s="36" t="str">
        <x:v>전체</x:v>
      </x:c>
      <x:c r="R17" s="36" t="str">
        <x:v>클라이언트 예측·서버 검증</x:v>
      </x:c>
      <x:c r="S17" s="36" t="str">
        <x:v>없음</x:v>
      </x:c>
      <x:c r="T17" s="36" t="str">
        <x:v>M</x:v>
      </x:c>
      <x:c r="U17" s="36" t="str">
        <x:v>미착수</x:v>
      </x:c>
      <x:c r="V17" s="46" t="n">
        <x:f>IF(U17="완료",1,IF(U17="QA 진행 중",0.8,IF(U17="코드 리뷰",0.65,IF(U17="구현 중",0.4,IF(U17="사양 확인 중",0.1,IF(U17="차단",0.4,0))))))</x:f>
        <x:v>0</x:v>
      </x:c>
      <x:c r="W17" s="36" t="str">
        <x:v>미정</x:v>
      </x:c>
      <x:c r="X17" s="44"/>
      <x:c r="Y17" s="36" t="str">
        <x:v>IGM-017,IGM-018</x:v>
      </x:c>
      <x:c r="Z17" s="36" t="str">
        <x:v>중간</x:v>
      </x:c>
      <x:c r="AA17" s="36" t="str">
        <x:v>통합</x:v>
      </x:c>
      <x:c r="AB17" s="36" t="str">
        <x:v>TC-UIX-016-01, TC-UIX-016-02</x:v>
      </x:c>
      <x:c r="AC17" s="36"/>
      <x:c r="AD17" s="36" t="str">
        <x:v>게임 기획서</x:v>
      </x:c>
      <x:c r="AE17" s="36"/>
      <x:c r="AF17" s="44" t="str">
        <x:v>2026-07-10</x:v>
      </x:c>
      <x:c r="AG17" s="36"/>
      <x:c r="AH17" s="54"/>
      <x:c r="AI17" s="54"/>
      <x:c r="AJ17" s="53" t="str">
        <x:v>착수 전</x:v>
      </x:c>
    </x:row>
    <x:row r="18" ht="42" customHeight="1">
      <x:c r="A18" s="36" t="str">
        <x:v>UIX-017</x:v>
      </x:c>
      <x:c r="B18" s="36" t="str">
        <x:v>UI·UX</x:v>
      </x:c>
      <x:c r="C18" s="36" t="str">
        <x:v>미니게임 UX</x:v>
      </x:c>
      <x:c r="D18" s="36" t="str">
        <x:v>공통 화면 틀</x:v>
      </x:c>
      <x:c r="E18" s="36" t="str">
        <x:v>미니게임 공통 UI 셸</x:v>
      </x:c>
      <x:c r="F18" s="36" t="str">
        <x:v>게임 규칙, 운영 요구사항과 대상 플랫폼 제약을 충족하도록 미니게임 공통 UI 셸 기능을 구현하고 검증한다.</x:v>
      </x:c>
      <x:c r="G18" s="36" t="str">
        <x:v>시작 설명, 조작법, 남은 시간, 성공, 실패, 중단, 나가기를 공통 패턴으로 표시하고 플레이어가 3초 안에 목표를 이해할 수 있다.</x:v>
      </x:c>
      <x:c r="H18" s="36" t="str">
        <x:v>구현, 코드 리뷰, 사양 갱신, 대상 QA 케이스 실행, 로그·텔레메트리 확인과 관련 플랫폼 검증을 완료하고 미해결 P0·P1 결함이 없다.</x:v>
      </x:c>
      <x:c r="I18" s="36" t="str">
        <x:v>MVP</x:v>
      </x:c>
      <x:c r="J18" s="36" t="str">
        <x:v>P0</x:v>
      </x:c>
      <x:c r="K18" s="36" t="str">
        <x:v>필수</x:v>
      </x:c>
      <x:c r="L18" s="36" t="str">
        <x:v>콘텐츠 UX</x:v>
      </x:c>
      <x:c r="M18" s="36" t="str">
        <x:v>MVP</x:v>
      </x:c>
      <x:c r="N18" s="36" t="str">
        <x:v>UI·UX 팀</x:v>
      </x:c>
      <x:c r="O18" s="36" t="str">
        <x:v>미정</x:v>
      </x:c>
      <x:c r="P18" s="36" t="str">
        <x:v>미정</x:v>
      </x:c>
      <x:c r="Q18" s="36" t="str">
        <x:v>전체</x:v>
      </x:c>
      <x:c r="R18" s="36" t="str">
        <x:v>클라이언트 로컬</x:v>
      </x:c>
      <x:c r="S18" s="36" t="str">
        <x:v>없음</x:v>
      </x:c>
      <x:c r="T18" s="36" t="str">
        <x:v>L</x:v>
      </x:c>
      <x:c r="U18" s="36" t="str">
        <x:v>미착수</x:v>
      </x:c>
      <x:c r="V18" s="46" t="n">
        <x:f>IF(U18="완료",1,IF(U18="QA 진행 중",0.8,IF(U18="코드 리뷰",0.65,IF(U18="구현 중",0.4,IF(U18="사양 확인 중",0.1,IF(U18="차단",0.4,0))))))</x:f>
        <x:v>0</x:v>
      </x:c>
      <x:c r="W18" s="36" t="str">
        <x:v>미정</x:v>
      </x:c>
      <x:c r="X18" s="44"/>
      <x:c r="Y18" s="36" t="str">
        <x:v>CNT-020,CNT-021</x:v>
      </x:c>
      <x:c r="Z18" s="36" t="str">
        <x:v>중간</x:v>
      </x:c>
      <x:c r="AA18" s="36" t="str">
        <x:v>사용성</x:v>
      </x:c>
      <x:c r="AB18" s="36" t="str">
        <x:v>TC-UIX-017-01, TC-UIX-017-02</x:v>
      </x:c>
      <x:c r="AC18" s="36"/>
      <x:c r="AD18" s="36" t="str">
        <x:v>게임 기획서</x:v>
      </x:c>
      <x:c r="AE18" s="36"/>
      <x:c r="AF18" s="44" t="str">
        <x:v>2026-07-10</x:v>
      </x:c>
      <x:c r="AG18" s="36"/>
      <x:c r="AH18" s="54"/>
      <x:c r="AI18" s="54"/>
      <x:c r="AJ18" s="53" t="str">
        <x:v>착수 전</x:v>
      </x:c>
    </x:row>
    <x:row r="19" ht="42" customHeight="1">
      <x:c r="A19" s="36" t="str">
        <x:v>UIX-018</x:v>
      </x:c>
      <x:c r="B19" s="36" t="str">
        <x:v>UI·UX</x:v>
      </x:c>
      <x:c r="C19" s="36" t="str">
        <x:v>야간 UX</x:v>
      </x:c>
      <x:c r="D19" s="36" t="str">
        <x:v>관찰</x:v>
      </x:c>
      <x:c r="E19" s="36" t="str">
        <x:v>밤 관찰 페이즈 UI</x:v>
      </x:c>
      <x:c r="F19" s="36" t="str">
        <x:v>게임 규칙, 운영 요구사항과 대상 플랫폼 제약을 충족하도록 밤 관찰 페이즈 UI 기능을 구현하고 검증한다.</x:v>
      </x:c>
      <x:c r="G19" s="36" t="str">
        <x:v>대화 금지, 관찰 남은 시간, 투표 시작 예고를 표시하고 자신의 등 메모나 역할 추정에 연결되는 내부 정보를 노출하지 않는다.</x:v>
      </x:c>
      <x:c r="H19" s="36" t="str">
        <x:v>구현, 코드 리뷰, 사양 갱신, 대상 QA 케이스 실행, 로그·텔레메트리 확인과 관련 플랫폼 검증을 완료하고 미해결 P0·P1 결함이 없다.</x:v>
      </x:c>
      <x:c r="I19" s="36" t="str">
        <x:v>MVP</x:v>
      </x:c>
      <x:c r="J19" s="36" t="str">
        <x:v>P0</x:v>
      </x:c>
      <x:c r="K19" s="36" t="str">
        <x:v>필수</x:v>
      </x:c>
      <x:c r="L19" s="36" t="str">
        <x:v>핵심 규칙</x:v>
      </x:c>
      <x:c r="M19" s="36" t="str">
        <x:v>MVP</x:v>
      </x:c>
      <x:c r="N19" s="36" t="str">
        <x:v>UI·UX 팀</x:v>
      </x:c>
      <x:c r="O19" s="36" t="str">
        <x:v>미정</x:v>
      </x:c>
      <x:c r="P19" s="36" t="str">
        <x:v>미정</x:v>
      </x:c>
      <x:c r="Q19" s="36" t="str">
        <x:v>전체</x:v>
      </x:c>
      <x:c r="R19" s="36" t="str">
        <x:v>클라이언트 로컬</x:v>
      </x:c>
      <x:c r="S19" s="36" t="str">
        <x:v>없음</x:v>
      </x:c>
      <x:c r="T19" s="36" t="str">
        <x:v>M</x:v>
      </x:c>
      <x:c r="U19" s="36" t="str">
        <x:v>미착수</x:v>
      </x:c>
      <x:c r="V19" s="46" t="n">
        <x:f>IF(U19="완료",1,IF(U19="QA 진행 중",0.8,IF(U19="코드 리뷰",0.65,IF(U19="구현 중",0.4,IF(U19="사양 확인 중",0.1,IF(U19="차단",0.4,0))))))</x:f>
        <x:v>0</x:v>
      </x:c>
      <x:c r="W19" s="36" t="str">
        <x:v>미정</x:v>
      </x:c>
      <x:c r="X19" s="44"/>
      <x:c r="Y19" s="36" t="str">
        <x:v>IGM-008,AUD-006</x:v>
      </x:c>
      <x:c r="Z19" s="36" t="str">
        <x:v>중간</x:v>
      </x:c>
      <x:c r="AA19" s="36" t="str">
        <x:v>보안</x:v>
      </x:c>
      <x:c r="AB19" s="36" t="str">
        <x:v>TC-UIX-018-01, TC-UIX-018-02</x:v>
      </x:c>
      <x:c r="AC19" s="36"/>
      <x:c r="AD19" s="36" t="str">
        <x:v>게임 기획서</x:v>
      </x:c>
      <x:c r="AE19" s="36"/>
      <x:c r="AF19" s="44" t="str">
        <x:v>2026-07-10</x:v>
      </x:c>
      <x:c r="AG19" s="36"/>
      <x:c r="AH19" s="54"/>
      <x:c r="AI19" s="54"/>
      <x:c r="AJ19" s="53" t="str">
        <x:v>착수 전</x:v>
      </x:c>
    </x:row>
    <x:row r="20" ht="42" customHeight="1">
      <x:c r="A20" s="36" t="str">
        <x:v>UIX-019</x:v>
      </x:c>
      <x:c r="B20" s="36" t="str">
        <x:v>UI·UX</x:v>
      </x:c>
      <x:c r="C20" s="36" t="str">
        <x:v>투표 UX</x:v>
      </x:c>
      <x:c r="D20" s="36" t="str">
        <x:v>밤 투표</x:v>
      </x:c>
      <x:c r="E20" s="36" t="str">
        <x:v>밤 강제 투표 UI</x:v>
      </x:c>
      <x:c r="F20" s="36" t="str">
        <x:v>게임 규칙, 운영 요구사항과 대상 플랫폼 제약을 충족하도록 밤 강제 투표 UI 기능을 구현하고 검증한다.</x:v>
      </x:c>
      <x:c r="G20" s="36" t="str">
        <x:v>생존자 1명만 선택하게 하고 확정 전 확인, 확정 완료, 마감, 미투표 규칙을 명시한다. 스킵 항목은 표시하지 않는다.</x:v>
      </x:c>
      <x:c r="H20" s="36" t="str">
        <x:v>구현, 코드 리뷰, 사양 갱신, 대상 QA 케이스 실행, 로그·텔레메트리 확인과 관련 플랫폼 검증을 완료하고 미해결 P0·P1 결함이 없다.</x:v>
      </x:c>
      <x:c r="I20" s="36" t="str">
        <x:v>MVP</x:v>
      </x:c>
      <x:c r="J20" s="36" t="str">
        <x:v>P0</x:v>
      </x:c>
      <x:c r="K20" s="36" t="str">
        <x:v>필수</x:v>
      </x:c>
      <x:c r="L20" s="36" t="str">
        <x:v>핵심 규칙</x:v>
      </x:c>
      <x:c r="M20" s="36" t="str">
        <x:v>MVP</x:v>
      </x:c>
      <x:c r="N20" s="36" t="str">
        <x:v>UI·UX 팀</x:v>
      </x:c>
      <x:c r="O20" s="36" t="str">
        <x:v>미정</x:v>
      </x:c>
      <x:c r="P20" s="36" t="str">
        <x:v>미정</x:v>
      </x:c>
      <x:c r="Q20" s="36" t="str">
        <x:v>전체</x:v>
      </x:c>
      <x:c r="R20" s="36" t="str">
        <x:v>클라이언트 로컬</x:v>
      </x:c>
      <x:c r="S20" s="36" t="str">
        <x:v>매치</x:v>
      </x:c>
      <x:c r="T20" s="36" t="str">
        <x:v>L</x:v>
      </x:c>
      <x:c r="U20" s="36" t="str">
        <x:v>미착수</x:v>
      </x:c>
      <x:c r="V20" s="46" t="n">
        <x:f>IF(U20="완료",1,IF(U20="QA 진행 중",0.8,IF(U20="코드 리뷰",0.65,IF(U20="구현 중",0.4,IF(U20="사양 확인 중",0.1,IF(U20="차단",0.4,0))))))</x:f>
        <x:v>0</x:v>
      </x:c>
      <x:c r="W20" s="36" t="str">
        <x:v>미정</x:v>
      </x:c>
      <x:c r="X20" s="44"/>
      <x:c r="Y20" s="36" t="str">
        <x:v>IGM-023,NET-016</x:v>
      </x:c>
      <x:c r="Z20" s="36" t="str">
        <x:v>중간</x:v>
      </x:c>
      <x:c r="AA20" s="36" t="str">
        <x:v>경계값</x:v>
      </x:c>
      <x:c r="AB20" s="36" t="str">
        <x:v>TC-UIX-019-01, TC-UIX-019-02</x:v>
      </x:c>
      <x:c r="AC20" s="36"/>
      <x:c r="AD20" s="36" t="str">
        <x:v>게임 기획서</x:v>
      </x:c>
      <x:c r="AE20" s="36"/>
      <x:c r="AF20" s="44" t="str">
        <x:v>2026-07-10</x:v>
      </x:c>
      <x:c r="AG20" s="36"/>
      <x:c r="AH20" s="54"/>
      <x:c r="AI20" s="54"/>
      <x:c r="AJ20" s="53" t="str">
        <x:v>착수 전</x:v>
      </x:c>
    </x:row>
    <x:row r="21" ht="42" customHeight="1">
      <x:c r="A21" s="36" t="str">
        <x:v>UIX-020</x:v>
      </x:c>
      <x:c r="B21" s="36" t="str">
        <x:v>UI·UX</x:v>
      </x:c>
      <x:c r="C21" s="36" t="str">
        <x:v>투표 UX</x:v>
      </x:c>
      <x:c r="D21" s="36" t="str">
        <x:v>투표 결과</x:v>
      </x:c>
      <x:c r="E21" s="36" t="str">
        <x:v>추방 결과·역할 공개 정책 표시</x:v>
      </x:c>
      <x:c r="F21" s="36" t="str">
        <x:v>게임 규칙, 운영 요구사항과 대상 플랫폼 제약을 충족하도록 추방 결과·역할 공개 정책 표시 기능을 구현하고 검증한다.</x:v>
      </x:c>
      <x:c r="G21" s="36" t="str">
        <x:v>최다 득표자, 동률 처리, 탈락 결과를 정해진 시간 동안 표시하고 역할 공개 설정이 꺼진 경우 역할을 추정할 수 있는 시각적 차이를 만들지 않는다.</x:v>
      </x:c>
      <x:c r="H21" s="36" t="str">
        <x:v>구현, 코드 리뷰, 사양 갱신, 대상 QA 케이스 실행, 로그·텔레메트리 확인과 관련 플랫폼 검증을 완료하고 미해결 P0·P1 결함이 없다.</x:v>
      </x:c>
      <x:c r="I21" s="36" t="str">
        <x:v>MVP</x:v>
      </x:c>
      <x:c r="J21" s="36" t="str">
        <x:v>P0</x:v>
      </x:c>
      <x:c r="K21" s="36" t="str">
        <x:v>필수</x:v>
      </x:c>
      <x:c r="L21" s="36" t="str">
        <x:v>정보 비공개</x:v>
      </x:c>
      <x:c r="M21" s="36" t="str">
        <x:v>MVP</x:v>
      </x:c>
      <x:c r="N21" s="36" t="str">
        <x:v>UI·UX 팀</x:v>
      </x:c>
      <x:c r="O21" s="36" t="str">
        <x:v>미정</x:v>
      </x:c>
      <x:c r="P21" s="36" t="str">
        <x:v>미정</x:v>
      </x:c>
      <x:c r="Q21" s="36" t="str">
        <x:v>전체</x:v>
      </x:c>
      <x:c r="R21" s="36" t="str">
        <x:v>클라이언트 로컬</x:v>
      </x:c>
      <x:c r="S21" s="36" t="str">
        <x:v>매치</x:v>
      </x:c>
      <x:c r="T21" s="36" t="str">
        <x:v>M</x:v>
      </x:c>
      <x:c r="U21" s="36" t="str">
        <x:v>미착수</x:v>
      </x:c>
      <x:c r="V21" s="46" t="n">
        <x:f>IF(U21="완료",1,IF(U21="QA 진행 중",0.8,IF(U21="코드 리뷰",0.65,IF(U21="구현 중",0.4,IF(U21="사양 확인 중",0.1,IF(U21="차단",0.4,0))))))</x:f>
        <x:v>0</x:v>
      </x:c>
      <x:c r="W21" s="36" t="str">
        <x:v>미정</x:v>
      </x:c>
      <x:c r="X21" s="44"/>
      <x:c r="Y21" s="36" t="str">
        <x:v>IGM-024,IGM-025</x:v>
      </x:c>
      <x:c r="Z21" s="36" t="str">
        <x:v>중간</x:v>
      </x:c>
      <x:c r="AA21" s="36" t="str">
        <x:v>보안</x:v>
      </x:c>
      <x:c r="AB21" s="36" t="str">
        <x:v>TC-UIX-020-01, TC-UIX-020-02</x:v>
      </x:c>
      <x:c r="AC21" s="36"/>
      <x:c r="AD21" s="36" t="str">
        <x:v>게임 기획서</x:v>
      </x:c>
      <x:c r="AE21" s="36"/>
      <x:c r="AF21" s="44" t="str">
        <x:v>2026-07-10</x:v>
      </x:c>
      <x:c r="AG21" s="36"/>
      <x:c r="AH21" s="54"/>
      <x:c r="AI21" s="54"/>
      <x:c r="AJ21" s="53" t="str">
        <x:v>착수 전</x:v>
      </x:c>
    </x:row>
    <x:row r="22" ht="42" customHeight="1">
      <x:c r="A22" s="36" t="str">
        <x:v>UIX-021</x:v>
      </x:c>
      <x:c r="B22" s="36" t="str">
        <x:v>UI·UX</x:v>
      </x:c>
      <x:c r="C22" s="36" t="str">
        <x:v>최종 재판 UX</x:v>
      </x:c>
      <x:c r="D22" s="36" t="str">
        <x:v>증빙</x:v>
      </x:c>
      <x:c r="E22" s="36" t="str">
        <x:v>최종 재판 메모 이력 화면</x:v>
      </x:c>
      <x:c r="F22" s="36" t="str">
        <x:v>게임 규칙, 운영 요구사항과 대상 플랫폼 제약을 충족하도록 최종 재판 메모 이력 화면 기능을 구현하고 검증한다.</x:v>
      </x:c>
      <x:c r="G22" s="36" t="str">
        <x:v>대상, 표시 색상, 내용, 부착 순서만 시간 흐름에 따라 볼 수 있고 실제 작성자, 부착자, 위조 여부, 정확한 시각 관련 열이나 툴팁은 제공하지 않는다.</x:v>
      </x:c>
      <x:c r="H22" s="36" t="str">
        <x:v>구현, 코드 리뷰, 사양 갱신, 대상 QA 케이스 실행, 로그·텔레메트리 확인과 관련 플랫폼 검증을 완료하고 미해결 P0·P1 결함이 없다.</x:v>
      </x:c>
      <x:c r="I22" s="36" t="str">
        <x:v>MVP</x:v>
      </x:c>
      <x:c r="J22" s="36" t="str">
        <x:v>P0</x:v>
      </x:c>
      <x:c r="K22" s="36" t="str">
        <x:v>필수</x:v>
      </x:c>
      <x:c r="L22" s="36" t="str">
        <x:v>정보 비공개</x:v>
      </x:c>
      <x:c r="M22" s="36" t="str">
        <x:v>MVP</x:v>
      </x:c>
      <x:c r="N22" s="36" t="str">
        <x:v>UI·UX 팀</x:v>
      </x:c>
      <x:c r="O22" s="36" t="str">
        <x:v>미정</x:v>
      </x:c>
      <x:c r="P22" s="36" t="str">
        <x:v>미정</x:v>
      </x:c>
      <x:c r="Q22" s="36" t="str">
        <x:v>전체</x:v>
      </x:c>
      <x:c r="R22" s="36" t="str">
        <x:v>클라이언트 로컬</x:v>
      </x:c>
      <x:c r="S22" s="36" t="str">
        <x:v>매치</x:v>
      </x:c>
      <x:c r="T22" s="36" t="str">
        <x:v>XL</x:v>
      </x:c>
      <x:c r="U22" s="36" t="str">
        <x:v>미착수</x:v>
      </x:c>
      <x:c r="V22" s="46" t="n">
        <x:f>IF(U22="완료",1,IF(U22="QA 진행 중",0.8,IF(U22="코드 리뷰",0.65,IF(U22="구현 중",0.4,IF(U22="사양 확인 중",0.1,IF(U22="차단",0.4,0))))))</x:f>
        <x:v>0</x:v>
      </x:c>
      <x:c r="W22" s="36" t="str">
        <x:v>미정</x:v>
      </x:c>
      <x:c r="X22" s="44"/>
      <x:c r="Y22" s="36" t="str">
        <x:v>IGM-029,NET-018</x:v>
      </x:c>
      <x:c r="Z22" s="36" t="str">
        <x:v>중간</x:v>
      </x:c>
      <x:c r="AA22" s="36" t="str">
        <x:v>보안</x:v>
      </x:c>
      <x:c r="AB22" s="36" t="str">
        <x:v>TC-UIX-021-01, TC-UIX-021-02</x:v>
      </x:c>
      <x:c r="AC22" s="36"/>
      <x:c r="AD22" s="36" t="str">
        <x:v>게임 기획서</x:v>
      </x:c>
      <x:c r="AE22" s="36"/>
      <x:c r="AF22" s="44" t="str">
        <x:v>2026-07-10</x:v>
      </x:c>
      <x:c r="AG22" s="36"/>
      <x:c r="AH22" s="54"/>
      <x:c r="AI22" s="54"/>
      <x:c r="AJ22" s="53" t="str">
        <x:v>착수 전</x:v>
      </x:c>
    </x:row>
    <x:row r="23" ht="42" customHeight="1">
      <x:c r="A23" s="36" t="str">
        <x:v>UIX-022</x:v>
      </x:c>
      <x:c r="B23" s="36" t="str">
        <x:v>UI·UX</x:v>
      </x:c>
      <x:c r="C23" s="36" t="str">
        <x:v>최종 재판 UX</x:v>
      </x:c>
      <x:c r="D23" s="36" t="str">
        <x:v>최종 발언</x:v>
      </x:c>
      <x:c r="E23" s="36" t="str">
        <x:v>최종 발언 순서·남은 시간 UI</x:v>
      </x:c>
      <x:c r="F23" s="36" t="str">
        <x:v>게임 규칙, 운영 요구사항과 대상 플랫폼 제약을 충족하도록 최종 발언 순서·남은 시간 UI 기능을 구현하고 검증한다.</x:v>
      </x:c>
      <x:c r="G23" s="36" t="str">
        <x:v>현재 발언자, 남은 시간, 대기 순서를 표시하고 비발언자에게 마이크 차단 상태를 알린다. 발언 완료자는 발언권을 다시 받을 수 없다.</x:v>
      </x:c>
      <x:c r="H23" s="36" t="str">
        <x:v>구현, 코드 리뷰, 사양 갱신, 대상 QA 케이스 실행, 로그·텔레메트리 확인과 관련 플랫폼 검증을 완료하고 미해결 P0·P1 결함이 없다.</x:v>
      </x:c>
      <x:c r="I23" s="36" t="str">
        <x:v>MVP</x:v>
      </x:c>
      <x:c r="J23" s="36" t="str">
        <x:v>P0</x:v>
      </x:c>
      <x:c r="K23" s="36" t="str">
        <x:v>필수</x:v>
      </x:c>
      <x:c r="L23" s="36" t="str">
        <x:v>핵심 규칙</x:v>
      </x:c>
      <x:c r="M23" s="36" t="str">
        <x:v>MVP</x:v>
      </x:c>
      <x:c r="N23" s="36" t="str">
        <x:v>UI·UX 팀</x:v>
      </x:c>
      <x:c r="O23" s="36" t="str">
        <x:v>미정</x:v>
      </x:c>
      <x:c r="P23" s="36" t="str">
        <x:v>미정</x:v>
      </x:c>
      <x:c r="Q23" s="36" t="str">
        <x:v>전체</x:v>
      </x:c>
      <x:c r="R23" s="36" t="str">
        <x:v>클라이언트 로컬</x:v>
      </x:c>
      <x:c r="S23" s="36" t="str">
        <x:v>매치</x:v>
      </x:c>
      <x:c r="T23" s="36" t="str">
        <x:v>M</x:v>
      </x:c>
      <x:c r="U23" s="36" t="str">
        <x:v>미착수</x:v>
      </x:c>
      <x:c r="V23" s="46" t="n">
        <x:f>IF(U23="완료",1,IF(U23="QA 진행 중",0.8,IF(U23="코드 리뷰",0.65,IF(U23="구현 중",0.4,IF(U23="사양 확인 중",0.1,IF(U23="차단",0.4,0))))))</x:f>
        <x:v>0</x:v>
      </x:c>
      <x:c r="W23" s="36" t="str">
        <x:v>미정</x:v>
      </x:c>
      <x:c r="X23" s="44"/>
      <x:c r="Y23" s="36" t="str">
        <x:v>IGM-030,AUD-008</x:v>
      </x:c>
      <x:c r="Z23" s="36" t="str">
        <x:v>중간</x:v>
      </x:c>
      <x:c r="AA23" s="36" t="str">
        <x:v>통합</x:v>
      </x:c>
      <x:c r="AB23" s="36" t="str">
        <x:v>TC-UIX-022-01, TC-UIX-022-02</x:v>
      </x:c>
      <x:c r="AC23" s="36"/>
      <x:c r="AD23" s="36" t="str">
        <x:v>게임 기획서</x:v>
      </x:c>
      <x:c r="AE23" s="36"/>
      <x:c r="AF23" s="44" t="str">
        <x:v>2026-07-10</x:v>
      </x:c>
      <x:c r="AG23" s="36"/>
      <x:c r="AH23" s="54"/>
      <x:c r="AI23" s="54"/>
      <x:c r="AJ23" s="53" t="str">
        <x:v>착수 전</x:v>
      </x:c>
    </x:row>
    <x:row r="24" ht="42" customHeight="1">
      <x:c r="A24" s="36" t="str">
        <x:v>UIX-023</x:v>
      </x:c>
      <x:c r="B24" s="36" t="str">
        <x:v>UI·UX</x:v>
      </x:c>
      <x:c r="C24" s="36" t="str">
        <x:v>최종 재판 UX</x:v>
      </x:c>
      <x:c r="D24" s="36" t="str">
        <x:v>최종 투표</x:v>
      </x:c>
      <x:c r="E24" s="36" t="str">
        <x:v>최종 투표 UI</x:v>
      </x:c>
      <x:c r="F24" s="36" t="str">
        <x:v>게임 규칙, 운영 요구사항과 대상 플랫폼 제약을 충족하도록 최종 투표 UI 기능을 구현하고 검증한다.</x:v>
      </x:c>
      <x:c r="G24" s="36" t="str">
        <x:v>모든 최종 발언이 끝난 뒤에만 활성화되고 생존자 1명에게 투표할 수 있다. 일반 밤 투표와 최종 투표의 결과 표기를 혼동하지 않는다.</x:v>
      </x:c>
      <x:c r="H24" s="36" t="str">
        <x:v>구현, 코드 리뷰, 사양 갱신, 대상 QA 케이스 실행, 로그·텔레메트리 확인과 관련 플랫폼 검증을 완료하고 미해결 P0·P1 결함이 없다.</x:v>
      </x:c>
      <x:c r="I24" s="36" t="str">
        <x:v>MVP</x:v>
      </x:c>
      <x:c r="J24" s="36" t="str">
        <x:v>P0</x:v>
      </x:c>
      <x:c r="K24" s="36" t="str">
        <x:v>필수</x:v>
      </x:c>
      <x:c r="L24" s="36" t="str">
        <x:v>승패</x:v>
      </x:c>
      <x:c r="M24" s="36" t="str">
        <x:v>MVP</x:v>
      </x:c>
      <x:c r="N24" s="36" t="str">
        <x:v>UI·UX 팀</x:v>
      </x:c>
      <x:c r="O24" s="36" t="str">
        <x:v>미정</x:v>
      </x:c>
      <x:c r="P24" s="36" t="str">
        <x:v>미정</x:v>
      </x:c>
      <x:c r="Q24" s="36" t="str">
        <x:v>전체</x:v>
      </x:c>
      <x:c r="R24" s="36" t="str">
        <x:v>클라이언트 로컬</x:v>
      </x:c>
      <x:c r="S24" s="36" t="str">
        <x:v>매치</x:v>
      </x:c>
      <x:c r="T24" s="36" t="str">
        <x:v>M</x:v>
      </x:c>
      <x:c r="U24" s="36" t="str">
        <x:v>미착수</x:v>
      </x:c>
      <x:c r="V24" s="46" t="n">
        <x:f>IF(U24="완료",1,IF(U24="QA 진행 중",0.8,IF(U24="코드 리뷰",0.65,IF(U24="구현 중",0.4,IF(U24="사양 확인 중",0.1,IF(U24="차단",0.4,0))))))</x:f>
        <x:v>0</x:v>
      </x:c>
      <x:c r="W24" s="36" t="str">
        <x:v>미정</x:v>
      </x:c>
      <x:c r="X24" s="44"/>
      <x:c r="Y24" s="36" t="str">
        <x:v>IGM-031</x:v>
      </x:c>
      <x:c r="Z24" s="36" t="str">
        <x:v>중간</x:v>
      </x:c>
      <x:c r="AA24" s="36" t="str">
        <x:v>경계값</x:v>
      </x:c>
      <x:c r="AB24" s="36" t="str">
        <x:v>TC-UIX-023-01, TC-UIX-023-02</x:v>
      </x:c>
      <x:c r="AC24" s="36"/>
      <x:c r="AD24" s="36" t="str">
        <x:v>게임 기획서</x:v>
      </x:c>
      <x:c r="AE24" s="36"/>
      <x:c r="AF24" s="44" t="str">
        <x:v>2026-07-10</x:v>
      </x:c>
      <x:c r="AG24" s="36"/>
      <x:c r="AH24" s="54"/>
      <x:c r="AI24" s="54"/>
      <x:c r="AJ24" s="53" t="str">
        <x:v>착수 전</x:v>
      </x:c>
    </x:row>
    <x:row r="25" ht="42" customHeight="1">
      <x:c r="A25" s="36" t="str">
        <x:v>UIX-024</x:v>
      </x:c>
      <x:c r="B25" s="36" t="str">
        <x:v>UI·UX</x:v>
      </x:c>
      <x:c r="C25" s="36" t="str">
        <x:v>매치 종료 후</x:v>
      </x:c>
      <x:c r="D25" s="36" t="str">
        <x:v>결과</x:v>
      </x:c>
      <x:c r="E25" s="36" t="str">
        <x:v>승패·역할·주요 이력 결과 화면</x:v>
      </x:c>
      <x:c r="F25" s="36" t="str">
        <x:v>게임 규칙, 운영 요구사항과 대상 플랫폼 제약을 충족하도록 승패·역할·주요 이력 결과 화면 기능을 구현하고 검증한다.</x:v>
      </x:c>
      <x:c r="G25" s="36" t="str">
        <x:v>승리 진영, 각 플레이어의 역할, 게임 시간, 투표 경과, 재대결·로비 나가기 동선을 표시하며 비공개 데이터는 경기 종료 후 공개 정책을 따른다.</x:v>
      </x:c>
      <x:c r="H25" s="36" t="str">
        <x:v>구현, 코드 리뷰, 사양 갱신, 대상 QA 케이스 실행, 로그·텔레메트리 확인과 관련 플랫폼 검증을 완료하고 미해결 P0·P1 결함이 없다.</x:v>
      </x:c>
      <x:c r="I25" s="36" t="str">
        <x:v>MVP</x:v>
      </x:c>
      <x:c r="J25" s="36" t="str">
        <x:v>P0</x:v>
      </x:c>
      <x:c r="K25" s="36" t="str">
        <x:v>필수</x:v>
      </x:c>
      <x:c r="L25" s="36" t="str">
        <x:v>결과</x:v>
      </x:c>
      <x:c r="M25" s="36" t="str">
        <x:v>MVP</x:v>
      </x:c>
      <x:c r="N25" s="36" t="str">
        <x:v>UI·UX 팀</x:v>
      </x:c>
      <x:c r="O25" s="36" t="str">
        <x:v>미정</x:v>
      </x:c>
      <x:c r="P25" s="36" t="str">
        <x:v>미정</x:v>
      </x:c>
      <x:c r="Q25" s="36" t="str">
        <x:v>전체</x:v>
      </x:c>
      <x:c r="R25" s="36" t="str">
        <x:v>클라이언트 로컬</x:v>
      </x:c>
      <x:c r="S25" s="36" t="str">
        <x:v>매치</x:v>
      </x:c>
      <x:c r="T25" s="36" t="str">
        <x:v>L</x:v>
      </x:c>
      <x:c r="U25" s="36" t="str">
        <x:v>미착수</x:v>
      </x:c>
      <x:c r="V25" s="46" t="n">
        <x:f>IF(U25="완료",1,IF(U25="QA 진행 중",0.8,IF(U25="코드 리뷰",0.65,IF(U25="구현 중",0.4,IF(U25="사양 확인 중",0.1,IF(U25="차단",0.4,0))))))</x:f>
        <x:v>0</x:v>
      </x:c>
      <x:c r="W25" s="36" t="str">
        <x:v>미정</x:v>
      </x:c>
      <x:c r="X25" s="44"/>
      <x:c r="Y25" s="36" t="str">
        <x:v>IGM-026,IGM-027,IGM-031,BED-006</x:v>
      </x:c>
      <x:c r="Z25" s="36" t="str">
        <x:v>중간</x:v>
      </x:c>
      <x:c r="AA25" s="36" t="str">
        <x:v>통합</x:v>
      </x:c>
      <x:c r="AB25" s="36" t="str">
        <x:v>TC-UIX-024-01, TC-UIX-024-02</x:v>
      </x:c>
      <x:c r="AC25" s="36"/>
      <x:c r="AD25" s="36" t="str">
        <x:v>게임 기획서</x:v>
      </x:c>
      <x:c r="AE25" s="36"/>
      <x:c r="AF25" s="44" t="str">
        <x:v>2026-07-10</x:v>
      </x:c>
      <x:c r="AG25" s="36"/>
      <x:c r="AH25" s="54"/>
      <x:c r="AI25" s="54"/>
      <x:c r="AJ25" s="53" t="str">
        <x:v>착수 전</x:v>
      </x:c>
    </x:row>
    <x:row r="26" ht="42" customHeight="1">
      <x:c r="A26" s="36" t="str">
        <x:v>UIX-025</x:v>
      </x:c>
      <x:c r="B26" s="36" t="str">
        <x:v>UI·UX</x:v>
      </x:c>
      <x:c r="C26" s="36" t="str">
        <x:v>복원력</x:v>
      </x:c>
      <x:c r="D26" s="36" t="str">
        <x:v>재접속</x:v>
      </x:c>
      <x:c r="E26" s="36" t="str">
        <x:v>연결 끊김·재접속·복원 UI</x:v>
      </x:c>
      <x:c r="F26" s="36" t="str">
        <x:v>게임 규칙, 운영 요구사항과 대상 플랫폼 제약을 충족하도록 연결 끊김·재접속·복원 UI 기능을 구현하고 검증한다.</x:v>
      </x:c>
      <x:c r="G26" s="36" t="str">
        <x:v>연결 끊김 감지, 재시도, 남은 유예 시간, 복원 중, 실패 사유, 로비 복귀를 구분해 표시하고 복원 완료 전에는 게임 조작을 받지 않는다.</x:v>
      </x:c>
      <x:c r="H26" s="36" t="str">
        <x:v>구현, 코드 리뷰, 사양 갱신, 대상 QA 케이스 실행, 로그·텔레메트리 확인과 관련 플랫폼 검증을 완료하고 미해결 P0·P1 결함이 없다.</x:v>
      </x:c>
      <x:c r="I26" s="36" t="str">
        <x:v>알파</x:v>
      </x:c>
      <x:c r="J26" s="36" t="str">
        <x:v>P0</x:v>
      </x:c>
      <x:c r="K26" s="36" t="str">
        <x:v>필수</x:v>
      </x:c>
      <x:c r="L26" s="36" t="str">
        <x:v>안정성</x:v>
      </x:c>
      <x:c r="M26" s="36" t="str">
        <x:v>알파</x:v>
      </x:c>
      <x:c r="N26" s="36" t="str">
        <x:v>UI·UX 팀</x:v>
      </x:c>
      <x:c r="O26" s="36" t="str">
        <x:v>미정</x:v>
      </x:c>
      <x:c r="P26" s="36" t="str">
        <x:v>미정</x:v>
      </x:c>
      <x:c r="Q26" s="36" t="str">
        <x:v>전체</x:v>
      </x:c>
      <x:c r="R26" s="36" t="str">
        <x:v>클라이언트 로컬</x:v>
      </x:c>
      <x:c r="S26" s="36" t="str">
        <x:v>세션</x:v>
      </x:c>
      <x:c r="T26" s="36" t="str">
        <x:v>L</x:v>
      </x:c>
      <x:c r="U26" s="36" t="str">
        <x:v>미착수</x:v>
      </x:c>
      <x:c r="V26" s="46" t="n">
        <x:f>IF(U26="완료",1,IF(U26="QA 진행 중",0.8,IF(U26="코드 리뷰",0.65,IF(U26="구현 중",0.4,IF(U26="사양 확인 중",0.1,IF(U26="차단",0.4,0))))))</x:f>
        <x:v>0</x:v>
      </x:c>
      <x:c r="W26" s="36" t="str">
        <x:v>미정</x:v>
      </x:c>
      <x:c r="X26" s="44"/>
      <x:c r="Y26" s="36" t="str">
        <x:v>IGM-033,ONL-017,NET-019</x:v>
      </x:c>
      <x:c r="Z26" s="36" t="str">
        <x:v>중간</x:v>
      </x:c>
      <x:c r="AA26" s="36" t="str">
        <x:v>네트워크</x:v>
      </x:c>
      <x:c r="AB26" s="36" t="str">
        <x:v>TC-UIX-025-01, TC-UIX-025-02</x:v>
      </x:c>
      <x:c r="AC26" s="36"/>
      <x:c r="AD26" s="36" t="str">
        <x:v>게임 기획서</x:v>
      </x:c>
      <x:c r="AE26" s="36"/>
      <x:c r="AF26" s="44" t="str">
        <x:v>2026-07-10</x:v>
      </x:c>
      <x:c r="AG26" s="36"/>
      <x:c r="AH26" s="54"/>
      <x:c r="AI26" s="54"/>
      <x:c r="AJ26" s="53" t="str">
        <x:v>착수 전</x:v>
      </x:c>
    </x:row>
    <x:row r="27" ht="42" customHeight="1">
      <x:c r="A27" s="36" t="str">
        <x:v>UIX-026</x:v>
      </x:c>
      <x:c r="B27" s="36" t="str">
        <x:v>UI·UX</x:v>
      </x:c>
      <x:c r="C27" s="36" t="str">
        <x:v>오류 처리</x:v>
      </x:c>
      <x:c r="D27" s="36" t="str">
        <x:v>오류</x:v>
      </x:c>
      <x:c r="E27" s="36" t="str">
        <x:v>사용자용 오류 코드·복구 동선</x:v>
      </x:c>
      <x:c r="F27" s="36" t="str">
        <x:v>게임 규칙, 운영 요구사항과 대상 플랫폼 제약을 충족하도록 사용자용 오류 코드·복구 동선 기능을 구현하고 검증한다.</x:v>
      </x:c>
      <x:c r="G27" s="36" t="str">
        <x:v>온라인, 설정, 메모, 투표, 음성의 대표 오류를 원인별로 표시하고 재시도, 설정 변경, 지원 코드 확인 경로를 제공한다.</x:v>
      </x:c>
      <x:c r="H27" s="36" t="str">
        <x:v>구현, 코드 리뷰, 사양 갱신, 대상 QA 케이스 실행, 로그·텔레메트리 확인과 관련 플랫폼 검증을 완료하고 미해결 P0·P1 결함이 없다.</x:v>
      </x:c>
      <x:c r="I27" s="36" t="str">
        <x:v>알파</x:v>
      </x:c>
      <x:c r="J27" s="36" t="str">
        <x:v>P0</x:v>
      </x:c>
      <x:c r="K27" s="36" t="str">
        <x:v>필수</x:v>
      </x:c>
      <x:c r="L27" s="36" t="str">
        <x:v>운영</x:v>
      </x:c>
      <x:c r="M27" s="36" t="str">
        <x:v>알파</x:v>
      </x:c>
      <x:c r="N27" s="36" t="str">
        <x:v>UI·UX 팀</x:v>
      </x:c>
      <x:c r="O27" s="36" t="str">
        <x:v>미정</x:v>
      </x:c>
      <x:c r="P27" s="36" t="str">
        <x:v>미정</x:v>
      </x:c>
      <x:c r="Q27" s="36" t="str">
        <x:v>전체</x:v>
      </x:c>
      <x:c r="R27" s="36" t="str">
        <x:v>클라이언트 로컬</x:v>
      </x:c>
      <x:c r="S27" s="36" t="str">
        <x:v>없음</x:v>
      </x:c>
      <x:c r="T27" s="36" t="str">
        <x:v>L</x:v>
      </x:c>
      <x:c r="U27" s="36" t="str">
        <x:v>미착수</x:v>
      </x:c>
      <x:c r="V27" s="46" t="n">
        <x:f>IF(U27="완료",1,IF(U27="QA 진행 중",0.8,IF(U27="코드 리뷰",0.65,IF(U27="구현 중",0.4,IF(U27="사양 확인 중",0.1,IF(U27="차단",0.4,0))))))</x:f>
        <x:v>0</x:v>
      </x:c>
      <x:c r="W27" s="36" t="str">
        <x:v>미정</x:v>
      </x:c>
      <x:c r="X27" s="44"/>
      <x:c r="Y27" s="36" t="str">
        <x:v>ONL-020,NET-025,BED-018</x:v>
      </x:c>
      <x:c r="Z27" s="36" t="str">
        <x:v>중간</x:v>
      </x:c>
      <x:c r="AA27" s="36" t="str">
        <x:v>운영</x:v>
      </x:c>
      <x:c r="AB27" s="36" t="str">
        <x:v>TC-UIX-026-01, TC-UIX-026-02</x:v>
      </x:c>
      <x:c r="AC27" s="36"/>
      <x:c r="AD27" s="36" t="str">
        <x:v>게임 기획서</x:v>
      </x:c>
      <x:c r="AE27" s="36"/>
      <x:c r="AF27" s="44" t="str">
        <x:v>2026-07-10</x:v>
      </x:c>
      <x:c r="AG27" s="36"/>
      <x:c r="AH27" s="54"/>
      <x:c r="AI27" s="54"/>
      <x:c r="AJ27" s="53" t="str">
        <x:v>착수 전</x:v>
      </x:c>
    </x:row>
    <x:row r="28" ht="42" customHeight="1">
      <x:c r="A28" s="36" t="str">
        <x:v>UIX-027</x:v>
      </x:c>
      <x:c r="B28" s="36" t="str">
        <x:v>UI·UX</x:v>
      </x:c>
      <x:c r="C28" s="36" t="str">
        <x:v>온보딩</x:v>
      </x:c>
      <x:c r="D28" s="36" t="str">
        <x:v>튜토리얼</x:v>
      </x:c>
      <x:c r="E28" s="36" t="str">
        <x:v>5분 이내 핵심 규칙 온보딩</x:v>
      </x:c>
      <x:c r="F28" s="36" t="str">
        <x:v>게임 규칙, 운영 요구사항과 대상 플랫폼 제약을 충족하도록 5분 이내 핵심 규칙 온보딩 기능을 구현하고 검증한다.</x:v>
      </x:c>
      <x:c r="G28" s="36" t="str">
        <x:v>‘자신의 등은 볼 수 없음’, ‘색상은 위조 가능’, ‘밤에는 대화 불가’, ‘매일 밤 반드시 1명 투표’를 직접 조작하며 학습하고 건너뛰기와 재열람을 지원한다.</x:v>
      </x:c>
      <x:c r="H28" s="36" t="str">
        <x:v>구현, 코드 리뷰, 사양 갱신, 대상 QA 케이스 실행, 로그·텔레메트리 확인과 관련 플랫폼 검증을 완료하고 미해결 P0·P1 결함이 없다.</x:v>
      </x:c>
      <x:c r="I28" s="36" t="str">
        <x:v>알파</x:v>
      </x:c>
      <x:c r="J28" s="36" t="str">
        <x:v>P0</x:v>
      </x:c>
      <x:c r="K28" s="36" t="str">
        <x:v>필수</x:v>
      </x:c>
      <x:c r="L28" s="36" t="str">
        <x:v>이해도</x:v>
      </x:c>
      <x:c r="M28" s="36" t="str">
        <x:v>알파</x:v>
      </x:c>
      <x:c r="N28" s="36" t="str">
        <x:v>UI·UX 팀</x:v>
      </x:c>
      <x:c r="O28" s="36" t="str">
        <x:v>미정</x:v>
      </x:c>
      <x:c r="P28" s="36" t="str">
        <x:v>미정</x:v>
      </x:c>
      <x:c r="Q28" s="36" t="str">
        <x:v>전체</x:v>
      </x:c>
      <x:c r="R28" s="36" t="str">
        <x:v>클라이언트 로컬</x:v>
      </x:c>
      <x:c r="S28" s="36" t="str">
        <x:v>계정</x:v>
      </x:c>
      <x:c r="T28" s="36" t="str">
        <x:v>XL</x:v>
      </x:c>
      <x:c r="U28" s="36" t="str">
        <x:v>미착수</x:v>
      </x:c>
      <x:c r="V28" s="46" t="n">
        <x:f>IF(U28="완료",1,IF(U28="QA 진행 중",0.8,IF(U28="코드 리뷰",0.65,IF(U28="구현 중",0.4,IF(U28="사양 확인 중",0.1,IF(U28="차단",0.4,0))))))</x:f>
        <x:v>0</x:v>
      </x:c>
      <x:c r="W28" s="36" t="str">
        <x:v>미정</x:v>
      </x:c>
      <x:c r="X28" s="44"/>
      <x:c r="Y28" s="36" t="str">
        <x:v>IGM-012,IGM-019,IGM-023,BED-003</x:v>
      </x:c>
      <x:c r="Z28" s="36" t="str">
        <x:v>중간</x:v>
      </x:c>
      <x:c r="AA28" s="36" t="str">
        <x:v>사용성</x:v>
      </x:c>
      <x:c r="AB28" s="36" t="str">
        <x:v>TC-UIX-027-01, TC-UIX-027-02</x:v>
      </x:c>
      <x:c r="AC28" s="36"/>
      <x:c r="AD28" s="36" t="str">
        <x:v>게임 기획서</x:v>
      </x:c>
      <x:c r="AE28" s="36"/>
      <x:c r="AF28" s="44" t="str">
        <x:v>2026-07-10</x:v>
      </x:c>
      <x:c r="AG28" s="36"/>
      <x:c r="AH28" s="54"/>
      <x:c r="AI28" s="54"/>
      <x:c r="AJ28" s="53" t="str">
        <x:v>착수 전</x:v>
      </x:c>
    </x:row>
    <x:row r="29" ht="42" customHeight="1">
      <x:c r="A29" s="36" t="str">
        <x:v>UIX-028</x:v>
      </x:c>
      <x:c r="B29" s="36" t="str">
        <x:v>UI·UX</x:v>
      </x:c>
      <x:c r="C29" s="36" t="str">
        <x:v>접근성</x:v>
      </x:c>
      <x:c r="D29" s="36" t="str">
        <x:v>색상 보조</x:v>
      </x:c>
      <x:c r="E29" s="36" t="str">
        <x:v>색각 보조 패턴·아이콘 적용</x:v>
      </x:c>
      <x:c r="F29" s="36" t="str">
        <x:v>게임 규칙, 운영 요구사항과 대상 플랫폼 제약을 충족하도록 색각 보조 패턴·아이콘 적용 기능을 구현하고 검증한다.</x:v>
      </x:c>
      <x:c r="G29" s="36" t="str">
        <x:v>플레이어 색상과 메모 색상에 형태, 패턴, 기호를 함께 표시해 색상만으로 중요한 판단을 요구하는 화면이 없도록 한다.</x:v>
      </x:c>
      <x:c r="H29" s="36" t="str">
        <x:v>구현, 코드 리뷰, 사양 갱신, 대상 QA 케이스 실행, 로그·텔레메트리 확인과 관련 플랫폼 검증을 완료하고 미해결 P0·P1 결함이 없다.</x:v>
      </x:c>
      <x:c r="I29" s="36" t="str">
        <x:v>베타</x:v>
      </x:c>
      <x:c r="J29" s="36" t="str">
        <x:v>P0</x:v>
      </x:c>
      <x:c r="K29" s="36" t="str">
        <x:v>필수</x:v>
      </x:c>
      <x:c r="L29" s="36" t="str">
        <x:v>접근성</x:v>
      </x:c>
      <x:c r="M29" s="36" t="str">
        <x:v>베타</x:v>
      </x:c>
      <x:c r="N29" s="36" t="str">
        <x:v>UI·UX 팀</x:v>
      </x:c>
      <x:c r="O29" s="36" t="str">
        <x:v>미정</x:v>
      </x:c>
      <x:c r="P29" s="36" t="str">
        <x:v>미정</x:v>
      </x:c>
      <x:c r="Q29" s="36" t="str">
        <x:v>전체</x:v>
      </x:c>
      <x:c r="R29" s="36" t="str">
        <x:v>클라이언트 로컬</x:v>
      </x:c>
      <x:c r="S29" s="36" t="str">
        <x:v>단말 로컬</x:v>
      </x:c>
      <x:c r="T29" s="36" t="str">
        <x:v>L</x:v>
      </x:c>
      <x:c r="U29" s="36" t="str">
        <x:v>미착수</x:v>
      </x:c>
      <x:c r="V29" s="46" t="n">
        <x:f>IF(U29="완료",1,IF(U29="QA 진행 중",0.8,IF(U29="코드 리뷰",0.65,IF(U29="구현 중",0.4,IF(U29="사양 확인 중",0.1,IF(U29="차단",0.4,0))))))</x:f>
        <x:v>0</x:v>
      </x:c>
      <x:c r="W29" s="36" t="str">
        <x:v>미정</x:v>
      </x:c>
      <x:c r="X29" s="44"/>
      <x:c r="Y29" s="36" t="str">
        <x:v>SET-024,CHR-015</x:v>
      </x:c>
      <x:c r="Z29" s="36" t="str">
        <x:v>중간</x:v>
      </x:c>
      <x:c r="AA29" s="36" t="str">
        <x:v>접근성</x:v>
      </x:c>
      <x:c r="AB29" s="36" t="str">
        <x:v>TC-UIX-028-01, TC-UIX-028-02</x:v>
      </x:c>
      <x:c r="AC29" s="36"/>
      <x:c r="AD29" s="36" t="str">
        <x:v>게임 기획서</x:v>
      </x:c>
      <x:c r="AE29" s="36"/>
      <x:c r="AF29" s="44" t="str">
        <x:v>2026-07-10</x:v>
      </x:c>
      <x:c r="AG29" s="36"/>
      <x:c r="AH29" s="54"/>
      <x:c r="AI29" s="54"/>
      <x:c r="AJ29" s="53" t="str">
        <x:v>착수 전</x:v>
      </x:c>
    </x:row>
    <x:row r="30" ht="42" customHeight="1">
      <x:c r="A30" s="36" t="str">
        <x:v>UIX-029</x:v>
      </x:c>
      <x:c r="B30" s="36" t="str">
        <x:v>UI·UX</x:v>
      </x:c>
      <x:c r="C30" s="36" t="str">
        <x:v>플랫폼 UX</x:v>
      </x:c>
      <x:c r="D30" s="36" t="str">
        <x:v>현지화·입력</x:v>
      </x:c>
      <x:c r="E30" s="36" t="str">
        <x:v>현지화·가변 문자열·입력 장치 대응</x:v>
      </x:c>
      <x:c r="F30" s="36" t="str">
        <x:v>게임 규칙, 운영 요구사항과 대상 플랫폼 제약을 충족하도록 현지화·가변 문자열·입력 장치 대응 기능을 구현하고 검증한다.</x:v>
      </x:c>
      <x:c r="G30" s="36" t="str">
        <x:v>한국어·영어 등 지원 언어의 가변 길이와 줄바꿈, 게임패드, 키보드·마우스, 입력 아이콘 전환, 세이프 영역, 16:9·16:10·21:9 화면에서 주요 UI가 잘리지 않는다.</x:v>
      </x:c>
      <x:c r="H30" s="36" t="str">
        <x:v>구현, 코드 리뷰, 사양 갱신, 대상 QA 케이스 실행, 로그·텔레메트리 확인과 관련 플랫폼 검증을 완료하고 미해결 P0·P1 결함이 없다.</x:v>
      </x:c>
      <x:c r="I30" s="36" t="str">
        <x:v>베타</x:v>
      </x:c>
      <x:c r="J30" s="36" t="str">
        <x:v>P1</x:v>
      </x:c>
      <x:c r="K30" s="36" t="str">
        <x:v>필수</x:v>
      </x:c>
      <x:c r="L30" s="36" t="str">
        <x:v>호환성</x:v>
      </x:c>
      <x:c r="M30" s="36" t="str">
        <x:v>베타</x:v>
      </x:c>
      <x:c r="N30" s="36" t="str">
        <x:v>UI·UX 팀</x:v>
      </x:c>
      <x:c r="O30" s="36" t="str">
        <x:v>미정</x:v>
      </x:c>
      <x:c r="P30" s="36" t="str">
        <x:v>미정</x:v>
      </x:c>
      <x:c r="Q30" s="36" t="str">
        <x:v>전체</x:v>
      </x:c>
      <x:c r="R30" s="36" t="str">
        <x:v>클라이언트 로컬</x:v>
      </x:c>
      <x:c r="S30" s="36" t="str">
        <x:v>단말 로컬</x:v>
      </x:c>
      <x:c r="T30" s="36" t="str">
        <x:v>XL</x:v>
      </x:c>
      <x:c r="U30" s="36" t="str">
        <x:v>미착수</x:v>
      </x:c>
      <x:c r="V30" s="46" t="n">
        <x:f>IF(U30="완료",1,IF(U30="QA 진행 중",0.8,IF(U30="코드 리뷰",0.65,IF(U30="구현 중",0.4,IF(U30="사양 확인 중",0.1,IF(U30="차단",0.4,0))))))</x:f>
        <x:v>0</x:v>
      </x:c>
      <x:c r="W30" s="36" t="str">
        <x:v>미정</x:v>
      </x:c>
      <x:c r="X30" s="44"/>
      <x:c r="Y30" s="36" t="str">
        <x:v>SET-004,SET-006</x:v>
      </x:c>
      <x:c r="Z30" s="36" t="str">
        <x:v>중간</x:v>
      </x:c>
      <x:c r="AA30" s="36" t="str">
        <x:v>현지화</x:v>
      </x:c>
      <x:c r="AB30" s="36" t="str">
        <x:v>TC-UIX-029-01</x:v>
      </x:c>
      <x:c r="AC30" s="36"/>
      <x:c r="AD30" s="36" t="str">
        <x:v>게임 기획서</x:v>
      </x:c>
      <x:c r="AE30" s="36"/>
      <x:c r="AF30" s="44" t="str">
        <x:v>2026-07-10</x:v>
      </x:c>
      <x:c r="AG30" s="36"/>
      <x:c r="AH30" s="54"/>
      <x:c r="AI30" s="54"/>
      <x:c r="AJ30" s="53" t="str">
        <x:v>착수 전</x:v>
      </x:c>
    </x:row>
    <x:row r="31" ht="42" customHeight="1">
      <x:c r="A31" s="36" t="str">
        <x:v>UIX-030</x:v>
      </x:c>
      <x:c r="B31" s="36" t="str">
        <x:v>UI·UX</x:v>
      </x:c>
      <x:c r="C31" s="36" t="str">
        <x:v>확장</x:v>
      </x:c>
      <x:c r="D31" s="36" t="str">
        <x:v>사진 메모</x:v>
      </x:c>
      <x:c r="E31" s="36" t="str">
        <x:v>사진 메모 촬영·확인·부착 UI</x:v>
      </x:c>
      <x:c r="F31" s="36" t="str">
        <x:v>게임 규칙, 운영 요구사항과 대상 플랫폼 제약을 충족하도록 사진 메모 촬영·확인·부착 UI 기능을 구현하고 검증한다.</x:v>
      </x:c>
      <x:c r="G31" s="36" t="str">
        <x:v>촬영 가능 횟수, 좁은 화각, 흐림 효과, 확인, 폐기, 부착 상태를 표시하고 사진에서 내부 ID나 정확한 시각이 노출되지 않는다.</x:v>
      </x:c>
      <x:c r="H31" s="36" t="str">
        <x:v>구현, 코드 리뷰, 사양 갱신, 대상 QA 케이스 실행, 로그·텔레메트리 확인과 관련 플랫폼 검증을 완료하고 미해결 P0·P1 결함이 없다.</x:v>
      </x:c>
      <x:c r="I31" s="36" t="str">
        <x:v>출시 후</x:v>
      </x:c>
      <x:c r="J31" s="36" t="str">
        <x:v>P2</x:v>
      </x:c>
      <x:c r="K31" s="36" t="str">
        <x:v>조건부</x:v>
      </x:c>
      <x:c r="L31" s="36" t="str">
        <x:v>확장</x:v>
      </x:c>
      <x:c r="M31" s="36" t="str">
        <x:v>출시 후</x:v>
      </x:c>
      <x:c r="N31" s="36" t="str">
        <x:v>UI·UX 팀</x:v>
      </x:c>
      <x:c r="O31" s="36" t="str">
        <x:v>미정</x:v>
      </x:c>
      <x:c r="P31" s="36" t="str">
        <x:v>미정</x:v>
      </x:c>
      <x:c r="Q31" s="36" t="str">
        <x:v>전체</x:v>
      </x:c>
      <x:c r="R31" s="36" t="str">
        <x:v>클라이언트 로컬</x:v>
      </x:c>
      <x:c r="S31" s="36" t="str">
        <x:v>매치</x:v>
      </x:c>
      <x:c r="T31" s="36" t="str">
        <x:v>XL</x:v>
      </x:c>
      <x:c r="U31" s="36" t="str">
        <x:v>미착수</x:v>
      </x:c>
      <x:c r="V31" s="46" t="n">
        <x:f>IF(U31="완료",1,IF(U31="QA 진행 중",0.8,IF(U31="코드 리뷰",0.65,IF(U31="구현 중",0.4,IF(U31="사양 확인 중",0.1,IF(U31="차단",0.4,0))))))</x:f>
        <x:v>0</x:v>
      </x:c>
      <x:c r="W31" s="36" t="str">
        <x:v>미정</x:v>
      </x:c>
      <x:c r="X31" s="44"/>
      <x:c r="Y31" s="36" t="str">
        <x:v>IGM-034,CNT-029</x:v>
      </x:c>
      <x:c r="Z31" s="36" t="str">
        <x:v>높음</x:v>
      </x:c>
      <x:c r="AA31" s="36" t="str">
        <x:v>밸런스</x:v>
      </x:c>
      <x:c r="AB31" s="36" t="str">
        <x:v>TC-UIX-030-01</x:v>
      </x:c>
      <x:c r="AC31" s="36"/>
      <x:c r="AD31" s="36" t="str">
        <x:v>게임 기획서</x:v>
      </x:c>
      <x:c r="AE31" s="36"/>
      <x:c r="AF31" s="44" t="str">
        <x:v>2026-07-10</x:v>
      </x:c>
      <x:c r="AG31" s="36"/>
      <x:c r="AH31" s="54"/>
      <x:c r="AI31" s="54"/>
      <x:c r="AJ31" s="53" t="str">
        <x:v>착수 전</x:v>
      </x:c>
    </x:row>
  </x:sheetData>
  <x:conditionalFormatting sqref="U2:U31">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31">
    <x:cfRule type="expression" dxfId="6" priority="7">
      <x:formula>J2="P0"</x:formula>
    </x:cfRule>
    <x:cfRule type="expression" dxfId="7" priority="8">
      <x:formula>J2="P1"</x:formula>
    </x:cfRule>
  </x:conditionalFormatting>
  <x:conditionalFormatting sqref="Z2:Z31">
    <x:cfRule type="expression" dxfId="8" priority="9">
      <x:formula>Z2="높음"</x:formula>
    </x:cfRule>
    <x:cfRule type="expression" dxfId="9" priority="10">
      <x:formula>Z2="중간"</x:formula>
    </x:cfRule>
  </x:conditionalFormatting>
  <x:conditionalFormatting sqref="AJ2:AJ31">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31">
      <x:formula1>"MVP,알파,베타,릴리스 후보,출시,출시 후,대상 제외"</x:formula1>
    </x:dataValidation>
    <x:dataValidation type="list" sqref="J2:J31">
      <x:formula1>"P0,P1,P2,P3"</x:formula1>
    </x:dataValidation>
    <x:dataValidation type="list" sqref="K2:K31">
      <x:formula1>"필수,조건부,권장,대상 제외"</x:formula1>
    </x:dataValidation>
    <x:dataValidation type="list" sqref="Q2:Q31">
      <x:formula1>"전체,PC,콘솔,모바일,서버,백엔드,도구,웹·관리자"</x:formula1>
    </x:dataValidation>
    <x:dataValidation type="list" sqref="R2:R31">
      <x:formula1>"서버 권한,클라이언트 예측·서버 검증,클라이언트 로컬,백엔드 권한,호스트 권한,콘텐츠 데이터,해당 없음"</x:formula1>
    </x:dataValidation>
    <x:dataValidation type="list" sqref="S2:S31">
      <x:formula1>"없음,세션,매치,계정,단말 로컬,백엔드,감사 로그"</x:formula1>
    </x:dataValidation>
    <x:dataValidation type="list" sqref="T2:T31">
      <x:formula1>"XS,S,M,L,XL,분할 필요"</x:formula1>
    </x:dataValidation>
    <x:dataValidation type="list" sqref="U2:U31">
      <x:formula1>"미착수,사양 확인 중,구현 중,코드 리뷰,QA 진행 중,차단,완료,보류"</x:formula1>
    </x:dataValidation>
    <x:dataValidation type="list" sqref="Z2:Z31">
      <x:formula1>"높음,중간,낮음"</x:formula1>
    </x:dataValidation>
    <x:dataValidation type="list" sqref="AA2:AA31">
      <x:formula1>"기능,통합,경계값,네트워크,보안,성능,호환성,사용성,접근성,현지화,밸런스,운영,안전,부하"</x:formula1>
    </x:dataValidation>
    <x:dataValidation type="list" sqref="AJ2:AJ31">
      <x:formula1>"착수 전,작업 중,완료"</x:formula1>
    </x:dataValidation>
  </x:dataValidations>
  <x:pageMargins left="0.7" right="0.7" top="0.75" bottom="0.75" header="0.3" footer="0.3"/>
  <x:tableParts count="1">
    <x:tablePart xmlns:r="http://schemas.openxmlformats.org/officeDocument/2006/relationships" r:id="R62a1e5069c194901"/>
  </x:tableParts>
</x:worksheet>
</file>

<file path=xl/worksheets/sheet3.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30" hidden="0" customWidth="1"/>
    <x:col min="5" max="5" width="34" hidden="0" customWidth="1"/>
    <x:col min="6" max="6" width="26" hidden="0" customWidth="1"/>
    <x:col min="7" max="7" width="30" hidden="0" customWidth="1"/>
    <x:col min="8" max="8" width="32" hidden="0" customWidth="1"/>
    <x:col min="9" max="9" width="24" hidden="0" customWidth="1"/>
  </x:cols>
  <x:sheetData>
    <x:row r="1" ht="30" customHeight="1">
      <x:c r="A1" s="40" t="str">
        <x:v>화면 ID</x:v>
      </x:c>
      <x:c r="B1" s="40" t="str">
        <x:v>화면·오버레이</x:v>
      </x:c>
      <x:c r="C1" s="40" t="str">
        <x:v>진입 시점</x:v>
      </x:c>
      <x:c r="D1" s="40" t="str">
        <x:v>주요 목적</x:v>
      </x:c>
      <x:c r="E1" s="40" t="str">
        <x:v>주요 데이터</x:v>
      </x:c>
      <x:c r="F1" s="40" t="str">
        <x:v>주요 조작</x:v>
      </x:c>
      <x:c r="G1" s="40" t="str">
        <x:v>오류·빈 상태</x:v>
      </x:c>
      <x:c r="H1" s="40" t="str">
        <x:v>접근성</x:v>
      </x:c>
      <x:c r="I1" s="40" t="str">
        <x:v>관련 ID</x:v>
      </x:c>
    </x:row>
    <x:row r="2" ht="42" customHeight="1">
      <x:c r="A2" s="36" t="str">
        <x:v>SCR-001</x:v>
      </x:c>
      <x:c r="B2" s="36" t="str">
        <x:v>부팅·연결</x:v>
      </x:c>
      <x:c r="C2" s="36" t="str">
        <x:v>앱 실행</x:v>
      </x:c>
      <x:c r="D2" s="36" t="str">
        <x:v>서비스 초기화</x:v>
      </x:c>
      <x:c r="E2" s="36" t="str">
        <x:v>인증·서비스 상태</x:v>
      </x:c>
      <x:c r="F2" s="36" t="str">
        <x:v>재시도·종료</x:v>
      </x:c>
      <x:c r="G2" s="36" t="str">
        <x:v>점검·오프라인</x:v>
      </x:c>
      <x:c r="H2" s="36" t="str">
        <x:v>읽기 가능한 진행 상태</x:v>
      </x:c>
      <x:c r="I2" s="36" t="str">
        <x:v>UIX-003</x:v>
      </x:c>
    </x:row>
    <x:row r="3" ht="42" customHeight="1">
      <x:c r="A3" s="36" t="str">
        <x:v>SCR-010</x:v>
      </x:c>
      <x:c r="B3" s="36" t="str">
        <x:v>룸 생성</x:v>
      </x:c>
      <x:c r="C3" s="36" t="str">
        <x:v>타이틀·로비</x:v>
      </x:c>
      <x:c r="D3" s="36" t="str">
        <x:v>룸 설정·생성</x:v>
      </x:c>
      <x:c r="E3" s="36" t="str">
        <x:v>프리셋·지역·공개 범위</x:v>
      </x:c>
      <x:c r="F3" s="36" t="str">
        <x:v>생성·뒤로</x:v>
      </x:c>
      <x:c r="G3" s="36" t="str">
        <x:v>설정 불일치</x:v>
      </x:c>
      <x:c r="H3" s="36" t="str">
        <x:v>입력 아이콘·텍스트 배율</x:v>
      </x:c>
      <x:c r="I3" s="36" t="str">
        <x:v>UIX-005</x:v>
      </x:c>
    </x:row>
    <x:row r="4" ht="42" customHeight="1">
      <x:c r="A4" s="36" t="str">
        <x:v>SCR-011</x:v>
      </x:c>
      <x:c r="B4" s="36" t="str">
        <x:v>룸 참가</x:v>
      </x:c>
      <x:c r="C4" s="36" t="str">
        <x:v>타이틀·로비</x:v>
      </x:c>
      <x:c r="D4" s="36" t="str">
        <x:v>코드·초대 참가</x:v>
      </x:c>
      <x:c r="E4" s="36" t="str">
        <x:v>코드·참가 상태</x:v>
      </x:c>
      <x:c r="F4" s="36" t="str">
        <x:v>붙여넣기·참가·취소</x:v>
      </x:c>
      <x:c r="G4" s="36" t="str">
        <x:v>만원·만료·버전 불일치</x:v>
      </x:c>
      <x:c r="H4" s="36" t="str">
        <x:v>혼동 문자 제외</x:v>
      </x:c>
      <x:c r="I4" s="36" t="str">
        <x:v>UIX-006</x:v>
      </x:c>
    </x:row>
    <x:row r="5" ht="42" customHeight="1">
      <x:c r="A5" s="36" t="str">
        <x:v>SCR-020</x:v>
      </x:c>
      <x:c r="B5" s="36" t="str">
        <x:v>로비</x:v>
      </x:c>
      <x:c r="C5" s="36" t="str">
        <x:v>룸 생성·참가 후</x:v>
      </x:c>
      <x:c r="D5" s="36" t="str">
        <x:v>참가자·준비·설정 관리</x:v>
      </x:c>
      <x:c r="E5" s="36" t="str">
        <x:v>참가자·색상·준비·핑</x:v>
      </x:c>
      <x:c r="F5" s="36" t="str">
        <x:v>준비·설정·시작</x:v>
      </x:c>
      <x:c r="G5" s="36" t="str">
        <x:v>인원 부족·미준비</x:v>
      </x:c>
      <x:c r="H5" s="36" t="str">
        <x:v>색상+기호 병기</x:v>
      </x:c>
      <x:c r="I5" s="36" t="str">
        <x:v>UIX-007,UIX-008</x:v>
      </x:c>
    </x:row>
    <x:row r="6" ht="42" customHeight="1">
      <x:c r="A6" s="36" t="str">
        <x:v>SCR-030</x:v>
      </x:c>
      <x:c r="B6" s="36" t="str">
        <x:v>역할 공개</x:v>
      </x:c>
      <x:c r="C6" s="36" t="str">
        <x:v>매치 시작</x:v>
      </x:c>
      <x:c r="D6" s="36" t="str">
        <x:v>본인 역할 이해</x:v>
      </x:c>
      <x:c r="E6" s="36" t="str">
        <x:v>역할·목표·능력</x:v>
      </x:c>
      <x:c r="F6" s="36" t="str">
        <x:v>확인</x:v>
      </x:c>
      <x:c r="G6" s="36" t="str">
        <x:v>재접속 중</x:v>
      </x:c>
      <x:c r="H6" s="36" t="str">
        <x:v>엿보기 방지</x:v>
      </x:c>
      <x:c r="I6" s="36" t="str">
        <x:v>UIX-009</x:v>
      </x:c>
    </x:row>
    <x:row r="7" ht="42" customHeight="1">
      <x:c r="A7" s="36" t="str">
        <x:v>SCR-040</x:v>
      </x:c>
      <x:c r="B7" s="36" t="str">
        <x:v>게임 HUD</x:v>
      </x:c>
      <x:c r="C7" s="36" t="str">
        <x:v>역할 공개 후</x:v>
      </x:c>
      <x:c r="D7" s="36" t="str">
        <x:v>페이즈·보유 정보 확인</x:v>
      </x:c>
      <x:c r="E7" s="36" t="str">
        <x:v>상태·타이머·보유 수</x:v>
      </x:c>
      <x:c r="F7" s="36" t="str">
        <x:v>상호작용</x:v>
      </x:c>
      <x:c r="G7" s="36" t="str">
        <x:v>동기화 중·행동 금지</x:v>
      </x:c>
      <x:c r="H7" s="36" t="str">
        <x:v>색상 외 상태 표현</x:v>
      </x:c>
      <x:c r="I7" s="36" t="str">
        <x:v>UIX-010,UIX-011</x:v>
      </x:c>
    </x:row>
    <x:row r="8" ht="42" customHeight="1">
      <x:c r="A8" s="36" t="str">
        <x:v>SCR-041</x:v>
      </x:c>
      <x:c r="B8" s="36" t="str">
        <x:v>메모 작성</x:v>
      </x:c>
      <x:c r="C8" s="36" t="str">
        <x:v>게임 HUD</x:v>
      </x:c>
      <x:c r="D8" s="36" t="str">
        <x:v>프리셋 메모 선택</x:v>
      </x:c>
      <x:c r="E8" s="36" t="str">
        <x:v>문구·색상·잔여 수</x:v>
      </x:c>
      <x:c r="F8" s="36" t="str">
        <x:v>선택·확인·취소</x:v>
      </x:c>
      <x:c r="G8" s="36" t="str">
        <x:v>잔여 0·규칙 비활성</x:v>
      </x:c>
      <x:c r="H8" s="36" t="str">
        <x:v>게임패드 완전 조작</x:v>
      </x:c>
      <x:c r="I8" s="36" t="str">
        <x:v>UIX-012,UIX-013</x:v>
      </x:c>
    </x:row>
    <x:row r="9" ht="42" customHeight="1">
      <x:c r="A9" s="36" t="str">
        <x:v>SCR-050</x:v>
      </x:c>
      <x:c r="B9" s="36" t="str">
        <x:v>밤 관찰</x:v>
      </x:c>
      <x:c r="C9" s="36" t="str">
        <x:v>밤 시작</x:v>
      </x:c>
      <x:c r="D9" s="36" t="str">
        <x:v>무언 관찰</x:v>
      </x:c>
      <x:c r="E9" s="36" t="str">
        <x:v>남은 시간</x:v>
      </x:c>
      <x:c r="F9" s="36" t="str">
        <x:v>카메라 조작</x:v>
      </x:c>
      <x:c r="G9" s="36" t="str">
        <x:v>재동기화</x:v>
      </x:c>
      <x:c r="H9" s="36" t="str">
        <x:v>본인 등 메모 비공개</x:v>
      </x:c>
      <x:c r="I9" s="36" t="str">
        <x:v>UIX-018</x:v>
      </x:c>
    </x:row>
    <x:row r="10" ht="42" customHeight="1">
      <x:c r="A10" s="36" t="str">
        <x:v>SCR-051</x:v>
      </x:c>
      <x:c r="B10" s="36" t="str">
        <x:v>밤 투표</x:v>
      </x:c>
      <x:c r="C10" s="36" t="str">
        <x:v>관찰 종료</x:v>
      </x:c>
      <x:c r="D10" s="36" t="str">
        <x:v>1명 강제 투표</x:v>
      </x:c>
      <x:c r="E10" s="36" t="str">
        <x:v>생존자·마감</x:v>
      </x:c>
      <x:c r="F10" s="36" t="str">
        <x:v>선택·확정</x:v>
      </x:c>
      <x:c r="G10" s="36" t="str">
        <x:v>미투표·동률</x:v>
      </x:c>
      <x:c r="H10" s="36" t="str">
        <x:v>명확한 포커스</x:v>
      </x:c>
      <x:c r="I10" s="36" t="str">
        <x:v>UIX-019</x:v>
      </x:c>
    </x:row>
    <x:row r="11" ht="42" customHeight="1">
      <x:c r="A11" s="36" t="str">
        <x:v>SCR-060</x:v>
      </x:c>
      <x:c r="B11" s="36" t="str">
        <x:v>최종 재판 이력</x:v>
      </x:c>
      <x:c r="C11" s="36" t="str">
        <x:v>최종 재판 시작</x:v>
      </x:c>
      <x:c r="D11" s="36" t="str">
        <x:v>제한된 이력 열람</x:v>
      </x:c>
      <x:c r="E11" s="36" t="str">
        <x:v>색상·내용·대상·순서</x:v>
      </x:c>
      <x:c r="F11" s="36" t="str">
        <x:v>페이지 이동</x:v>
      </x:c>
      <x:c r="G11" s="36" t="str">
        <x:v>기록 없음</x:v>
      </x:c>
      <x:c r="H11" s="36" t="str">
        <x:v>색상+기호·읽기 순서</x:v>
      </x:c>
      <x:c r="I11" s="36" t="str">
        <x:v>UIX-021</x:v>
      </x:c>
    </x:row>
    <x:row r="12" ht="42" customHeight="1">
      <x:c r="A12" s="36" t="str">
        <x:v>SCR-061</x:v>
      </x:c>
      <x:c r="B12" s="36" t="str">
        <x:v>최종 발언</x:v>
      </x:c>
      <x:c r="C12" s="36" t="str">
        <x:v>증거 열람 종료</x:v>
      </x:c>
      <x:c r="D12" s="36" t="str">
        <x:v>발언 순서·시간 안내</x:v>
      </x:c>
      <x:c r="E12" s="36" t="str">
        <x:v>발언자·남은 시간</x:v>
      </x:c>
      <x:c r="F12" s="36" t="str">
        <x:v>규칙상 건너뛰기</x:v>
      </x:c>
      <x:c r="G12" s="36" t="str">
        <x:v>연결 끊김</x:v>
      </x:c>
      <x:c r="H12" s="36" t="str">
        <x:v>자막·발언 금지 표시</x:v>
      </x:c>
      <x:c r="I12" s="36" t="str">
        <x:v>UIX-022</x:v>
      </x:c>
    </x:row>
    <x:row r="13" ht="42" customHeight="1">
      <x:c r="A13" s="36" t="str">
        <x:v>SCR-070</x:v>
      </x:c>
      <x:c r="B13" s="36" t="str">
        <x:v>결과</x:v>
      </x:c>
      <x:c r="C13" s="36" t="str">
        <x:v>매치 종료</x:v>
      </x:c>
      <x:c r="D13" s="36" t="str">
        <x:v>승패 확인·회고·계속하기</x:v>
      </x:c>
      <x:c r="E13" s="36" t="str">
        <x:v>승패·역할·투표</x:v>
      </x:c>
      <x:c r="F13" s="36" t="str">
        <x:v>재대결·나가기</x:v>
      </x:c>
      <x:c r="G13" s="36" t="str">
        <x:v>저장 중·저장 실패</x:v>
      </x:c>
      <x:c r="H13" s="36" t="str">
        <x:v>읽기 순서 정의</x:v>
      </x:c>
      <x:c r="I13" s="36" t="str">
        <x:v>UIX-024</x:v>
      </x:c>
    </x:row>
  </x:sheetData>
  <x:pageMargins left="0.7" right="0.7" top="0.75" bottom="0.75" header="0.3" footer="0.3"/>
  <x:tableParts count="1">
    <x:tablePart xmlns:r="http://schemas.openxmlformats.org/officeDocument/2006/relationships" r:id="Rc8eb94c4793046ae"/>
  </x:tableParts>
</x:worksheet>
</file>

<file path=xl/worksheets/sheet4.xml><?xml version="1.0" encoding="utf-8"?>
<x:worksheet xmlns:x="http://schemas.openxmlformats.org/spreadsheetml/2006/main">
  <x:sheetFormatPr defaultRowHeight="15"/>
  <x:cols>
    <x:col min="1" max="1" width="18" hidden="0" customWidth="1"/>
    <x:col min="2" max="2" width="12" hidden="0" customWidth="1"/>
    <x:col min="3" max="3" width="14" hidden="0" customWidth="1"/>
    <x:col min="4" max="4" width="14" hidden="0" customWidth="1"/>
    <x:col min="5" max="5" width="14" hidden="0" customWidth="1"/>
    <x:col min="6" max="6" width="16" hidden="0" customWidth="1"/>
    <x:col min="7" max="7" width="16" hidden="0" customWidth="1"/>
    <x:col min="8" max="8" width="14" hidden="0" customWidth="1"/>
    <x:col min="9" max="9" width="16" hidden="0" customWidth="1"/>
    <x:col min="10" max="10" width="30" hidden="0" customWidth="1"/>
  </x:cols>
  <x:sheetData>
    <x:row r="1" ht="30" customHeight="1">
      <x:c r="A1" s="40" t="str">
        <x:v>페이즈</x:v>
      </x:c>
      <x:c r="B1" s="40" t="str">
        <x:v>이동</x:v>
      </x:c>
      <x:c r="C1" s="40" t="str">
        <x:v>메모 작성</x:v>
      </x:c>
      <x:c r="D1" s="40" t="str">
        <x:v>메모 부착</x:v>
      </x:c>
      <x:c r="E1" s="40" t="str">
        <x:v>미니게임</x:v>
      </x:c>
      <x:c r="F1" s="40" t="str">
        <x:v>음성</x:v>
      </x:c>
      <x:c r="G1" s="40" t="str">
        <x:v>텍스트</x:v>
      </x:c>
      <x:c r="H1" s="40" t="str">
        <x:v>투표</x:v>
      </x:c>
      <x:c r="I1" s="40" t="str">
        <x:v>본인 등 메모</x:v>
      </x:c>
      <x:c r="J1" s="40" t="str">
        <x:v>주요 UI</x:v>
      </x:c>
    </x:row>
    <x:row r="2" ht="42" customHeight="1">
      <x:c r="A2" s="36" t="str">
        <x:v>로비</x:v>
      </x:c>
      <x:c r="B2" s="36" t="str">
        <x:v>해당 없음</x:v>
      </x:c>
      <x:c r="C2" s="36" t="str">
        <x:v>꺼짐</x:v>
      </x:c>
      <x:c r="D2" s="36" t="str">
        <x:v>꺼짐</x:v>
      </x:c>
      <x:c r="E2" s="36" t="str">
        <x:v>꺼짐</x:v>
      </x:c>
      <x:c r="F2" s="36" t="str">
        <x:v>켜짐</x:v>
      </x:c>
      <x:c r="G2" s="36" t="str">
        <x:v>켜짐</x:v>
      </x:c>
      <x:c r="H2" s="36" t="str">
        <x:v>꺼짐</x:v>
      </x:c>
      <x:c r="I2" s="36" t="str">
        <x:v>비공개</x:v>
      </x:c>
      <x:c r="J2" s="36" t="str">
        <x:v>참가자·설정</x:v>
      </x:c>
    </x:row>
    <x:row r="3" ht="42" customHeight="1">
      <x:c r="A3" s="36" t="str">
        <x:v>역할 공개</x:v>
      </x:c>
      <x:c r="B3" s="36" t="str">
        <x:v>잠금</x:v>
      </x:c>
      <x:c r="C3" s="36" t="str">
        <x:v>꺼짐</x:v>
      </x:c>
      <x:c r="D3" s="36" t="str">
        <x:v>꺼짐</x:v>
      </x:c>
      <x:c r="E3" s="36" t="str">
        <x:v>꺼짐</x:v>
      </x:c>
      <x:c r="F3" s="36" t="str">
        <x:v>제한</x:v>
      </x:c>
      <x:c r="G3" s="36" t="str">
        <x:v>꺼짐</x:v>
      </x:c>
      <x:c r="H3" s="36" t="str">
        <x:v>꺼짐</x:v>
      </x:c>
      <x:c r="I3" s="36" t="str">
        <x:v>비공개</x:v>
      </x:c>
      <x:c r="J3" s="36" t="str">
        <x:v>역할 공개</x:v>
      </x:c>
    </x:row>
    <x:row r="4" ht="42" customHeight="1">
      <x:c r="A4" s="36" t="str">
        <x:v>낮</x:v>
      </x:c>
      <x:c r="B4" s="36" t="str">
        <x:v>켜짐</x:v>
      </x:c>
      <x:c r="C4" s="36" t="str">
        <x:v>켜짐</x:v>
      </x:c>
      <x:c r="D4" s="36" t="str">
        <x:v>켜짐</x:v>
      </x:c>
      <x:c r="E4" s="36" t="str">
        <x:v>켜짐</x:v>
      </x:c>
      <x:c r="F4" s="36" t="str">
        <x:v>근거리</x:v>
      </x:c>
      <x:c r="G4" s="36" t="str">
        <x:v>근거리</x:v>
      </x:c>
      <x:c r="H4" s="36" t="str">
        <x:v>꺼짐</x:v>
      </x:c>
      <x:c r="I4" s="36" t="str">
        <x:v>비공개</x:v>
      </x:c>
      <x:c r="J4" s="36" t="str">
        <x:v>HUD·상호작용</x:v>
      </x:c>
    </x:row>
    <x:row r="5" ht="42" customHeight="1">
      <x:c r="A5" s="36" t="str">
        <x:v>밤 관찰</x:v>
      </x:c>
      <x:c r="B5" s="36" t="str">
        <x:v>잠금</x:v>
      </x:c>
      <x:c r="C5" s="36" t="str">
        <x:v>꺼짐</x:v>
      </x:c>
      <x:c r="D5" s="36" t="str">
        <x:v>꺼짐</x:v>
      </x:c>
      <x:c r="E5" s="36" t="str">
        <x:v>꺼짐</x:v>
      </x:c>
      <x:c r="F5" s="36" t="str">
        <x:v>꺼짐</x:v>
      </x:c>
      <x:c r="G5" s="36" t="str">
        <x:v>꺼짐</x:v>
      </x:c>
      <x:c r="H5" s="36" t="str">
        <x:v>꺼짐</x:v>
      </x:c>
      <x:c r="I5" s="36" t="str">
        <x:v>비공개</x:v>
      </x:c>
      <x:c r="J5" s="36" t="str">
        <x:v>관찰 타이머</x:v>
      </x:c>
    </x:row>
    <x:row r="6" ht="42" customHeight="1">
      <x:c r="A6" s="36" t="str">
        <x:v>밤 투표</x:v>
      </x:c>
      <x:c r="B6" s="36" t="str">
        <x:v>잠금</x:v>
      </x:c>
      <x:c r="C6" s="36" t="str">
        <x:v>꺼짐</x:v>
      </x:c>
      <x:c r="D6" s="36" t="str">
        <x:v>꺼짐</x:v>
      </x:c>
      <x:c r="E6" s="36" t="str">
        <x:v>꺼짐</x:v>
      </x:c>
      <x:c r="F6" s="36" t="str">
        <x:v>꺼짐</x:v>
      </x:c>
      <x:c r="G6" s="36" t="str">
        <x:v>꺼짐</x:v>
      </x:c>
      <x:c r="H6" s="36" t="str">
        <x:v>1명 강제</x:v>
      </x:c>
      <x:c r="I6" s="36" t="str">
        <x:v>비공개</x:v>
      </x:c>
      <x:c r="J6" s="36" t="str">
        <x:v>투표 UI</x:v>
      </x:c>
    </x:row>
    <x:row r="7" ht="42" customHeight="1">
      <x:c r="A7" s="36" t="str">
        <x:v>최종 증거 공개</x:v>
      </x:c>
      <x:c r="B7" s="36" t="str">
        <x:v>잠금</x:v>
      </x:c>
      <x:c r="C7" s="36" t="str">
        <x:v>꺼짐</x:v>
      </x:c>
      <x:c r="D7" s="36" t="str">
        <x:v>꺼짐</x:v>
      </x:c>
      <x:c r="E7" s="36" t="str">
        <x:v>꺼짐</x:v>
      </x:c>
      <x:c r="F7" s="36" t="str">
        <x:v>꺼짐</x:v>
      </x:c>
      <x:c r="G7" s="36" t="str">
        <x:v>꺼짐</x:v>
      </x:c>
      <x:c r="H7" s="36" t="str">
        <x:v>꺼짐</x:v>
      </x:c>
      <x:c r="I7" s="36" t="str">
        <x:v>비공개</x:v>
      </x:c>
      <x:c r="J7" s="36" t="str">
        <x:v>제한 이력</x:v>
      </x:c>
    </x:row>
    <x:row r="8" ht="42" customHeight="1">
      <x:c r="A8" s="36" t="str">
        <x:v>최종 발언</x:v>
      </x:c>
      <x:c r="B8" s="36" t="str">
        <x:v>잠금</x:v>
      </x:c>
      <x:c r="C8" s="36" t="str">
        <x:v>꺼짐</x:v>
      </x:c>
      <x:c r="D8" s="36" t="str">
        <x:v>꺼짐</x:v>
      </x:c>
      <x:c r="E8" s="36" t="str">
        <x:v>꺼짐</x:v>
      </x:c>
      <x:c r="F8" s="36" t="str">
        <x:v>발언자만</x:v>
      </x:c>
      <x:c r="G8" s="36" t="str">
        <x:v>꺼짐</x:v>
      </x:c>
      <x:c r="H8" s="36" t="str">
        <x:v>꺼짐</x:v>
      </x:c>
      <x:c r="I8" s="36" t="str">
        <x:v>비공개</x:v>
      </x:c>
      <x:c r="J8" s="36" t="str">
        <x:v>발언 순서</x:v>
      </x:c>
    </x:row>
    <x:row r="9" ht="42" customHeight="1">
      <x:c r="A9" s="36" t="str">
        <x:v>최종 투표</x:v>
      </x:c>
      <x:c r="B9" s="36" t="str">
        <x:v>잠금</x:v>
      </x:c>
      <x:c r="C9" s="36" t="str">
        <x:v>꺼짐</x:v>
      </x:c>
      <x:c r="D9" s="36" t="str">
        <x:v>꺼짐</x:v>
      </x:c>
      <x:c r="E9" s="36" t="str">
        <x:v>꺼짐</x:v>
      </x:c>
      <x:c r="F9" s="36" t="str">
        <x:v>꺼짐</x:v>
      </x:c>
      <x:c r="G9" s="36" t="str">
        <x:v>꺼짐</x:v>
      </x:c>
      <x:c r="H9" s="36" t="str">
        <x:v>1명 강제</x:v>
      </x:c>
      <x:c r="I9" s="36" t="str">
        <x:v>비공개</x:v>
      </x:c>
      <x:c r="J9" s="36" t="str">
        <x:v>최종 투표</x:v>
      </x:c>
    </x:row>
    <x:row r="10" ht="42" customHeight="1">
      <x:c r="A10" s="36" t="str">
        <x:v>결과</x:v>
      </x:c>
      <x:c r="B10" s="36" t="str">
        <x:v>잠금</x:v>
      </x:c>
      <x:c r="C10" s="36" t="str">
        <x:v>꺼짐</x:v>
      </x:c>
      <x:c r="D10" s="36" t="str">
        <x:v>꺼짐</x:v>
      </x:c>
      <x:c r="E10" s="36" t="str">
        <x:v>꺼짐</x:v>
      </x:c>
      <x:c r="F10" s="36" t="str">
        <x:v>정책에 따름</x:v>
      </x:c>
      <x:c r="G10" s="36" t="str">
        <x:v>정책에 따름</x:v>
      </x:c>
      <x:c r="H10" s="36" t="str">
        <x:v>꺼짐</x:v>
      </x:c>
      <x:c r="I10" s="36" t="str">
        <x:v>공개 정책에 따름</x:v>
      </x:c>
      <x:c r="J10" s="36" t="str">
        <x:v>결과</x:v>
      </x:c>
    </x:row>
  </x:sheetData>
  <x:pageMargins left="0.7" right="0.7" top="0.75" bottom="0.75" header="0.3" footer="0.3"/>
  <x:tableParts count="1">
    <x:tablePart xmlns:r="http://schemas.openxmlformats.org/officeDocument/2006/relationships" r:id="R7649f5d52a404879"/>
  </x:tableParts>
</x:worksheet>
</file>

<file path=xl/worksheets/sheet5.xml><?xml version="1.0" encoding="utf-8"?>
<x:worksheet xmlns:x="http://schemas.openxmlformats.org/spreadsheetml/2006/main">
  <x:sheetFormatPr defaultRowHeight="15"/>
  <x:cols>
    <x:col min="1" max="1" width="14" hidden="0" customWidth="1"/>
    <x:col min="2" max="2" width="20" hidden="0" customWidth="1"/>
    <x:col min="3" max="3" width="44" hidden="0" customWidth="1"/>
    <x:col min="4" max="4" width="34" hidden="0" customWidth="1"/>
    <x:col min="5" max="5" width="34" hidden="0" customWidth="1"/>
    <x:col min="6" max="6" width="24" hidden="0" customWidth="1"/>
    <x:col min="7" max="7" width="14" hidden="0" customWidth="1"/>
  </x:cols>
  <x:sheetData>
    <x:row r="1" ht="30" customHeight="1">
      <x:c r="A1" s="40" t="str">
        <x:v>검사 ID</x:v>
      </x:c>
      <x:c r="B1" s="40" t="str">
        <x:v>대상</x:v>
      </x:c>
      <x:c r="C1" s="40" t="str">
        <x:v>요구사항</x:v>
      </x:c>
      <x:c r="D1" s="40" t="str">
        <x:v>검증 방법</x:v>
      </x:c>
      <x:c r="E1" s="40" t="str">
        <x:v>합격 기준</x:v>
      </x:c>
      <x:c r="F1" s="40" t="str">
        <x:v>관련 ID</x:v>
      </x:c>
      <x:c r="G1" s="40" t="str">
        <x:v>상태</x:v>
      </x:c>
    </x:row>
    <x:row r="2" ht="42" customHeight="1">
      <x:c r="A2" s="36" t="str">
        <x:v>A11Y-001</x:v>
      </x:c>
      <x:c r="B2" s="36" t="str">
        <x:v>플레이어 색상</x:v>
      </x:c>
      <x:c r="C2" s="36" t="str">
        <x:v>색상+형태·기호</x:v>
      </x:c>
      <x:c r="D2" s="36" t="str">
        <x:v>색각 시뮬레이션·실제 기기</x:v>
      </x:c>
      <x:c r="E2" s="36" t="str">
        <x:v>모든 색상을 오인 없이 구분</x:v>
      </x:c>
      <x:c r="F2" s="36" t="str">
        <x:v>UIX-028,CHR-015</x:v>
      </x:c>
      <x:c r="G2" s="36" t="str">
        <x:v>미실시</x:v>
      </x:c>
    </x:row>
    <x:row r="3" ht="42" customHeight="1">
      <x:c r="A3" s="36" t="str">
        <x:v>A11Y-002</x:v>
      </x:c>
      <x:c r="B3" s="36" t="str">
        <x:v>등 메모</x:v>
      </x:c>
      <x:c r="C3" s="36" t="str">
        <x:v>중거리는 색상·기호, 근거리는 문구</x:v>
      </x:c>
      <x:c r="D3" s="36" t="str">
        <x:v>거리·FOV·해상도 조합</x:v>
      </x:c>
      <x:c r="E3" s="36" t="str">
        <x:v>주요 조건에서 판독 가능</x:v>
      </x:c>
      <x:c r="F3" s="36" t="str">
        <x:v>UIX-014</x:v>
      </x:c>
      <x:c r="G3" s="36" t="str">
        <x:v>미실시</x:v>
      </x:c>
    </x:row>
    <x:row r="4" ht="42" customHeight="1">
      <x:c r="A4" s="36" t="str">
        <x:v>A11Y-003</x:v>
      </x:c>
      <x:c r="B4" s="36" t="str">
        <x:v>투표</x:v>
      </x:c>
      <x:c r="C4" s="36" t="str">
        <x:v>포커스·확정·남은 시간</x:v>
      </x:c>
      <x:c r="D4" s="36" t="str">
        <x:v>게임패드만 사용</x:v>
      </x:c>
      <x:c r="E4" s="36" t="str">
        <x:v>마우스 없이 완료 가능</x:v>
      </x:c>
      <x:c r="F4" s="36" t="str">
        <x:v>UIX-019,UIX-023</x:v>
      </x:c>
      <x:c r="G4" s="36" t="str">
        <x:v>미실시</x:v>
      </x:c>
    </x:row>
    <x:row r="5" ht="42" customHeight="1">
      <x:c r="A5" s="36" t="str">
        <x:v>A11Y-004</x:v>
      </x:c>
      <x:c r="B5" s="36" t="str">
        <x:v>자막</x:v>
      </x:c>
      <x:c r="C5" s="36" t="str">
        <x:v>중요 효과음 자막·방향</x:v>
      </x:c>
      <x:c r="D5" s="36" t="str">
        <x:v>오디오 끄기</x:v>
      </x:c>
      <x:c r="E5" s="36" t="str">
        <x:v>핵심 게임 루프 완료 가능</x:v>
      </x:c>
      <x:c r="F5" s="36" t="str">
        <x:v>AUD-015</x:v>
      </x:c>
      <x:c r="G5" s="36" t="str">
        <x:v>미실시</x:v>
      </x:c>
    </x:row>
    <x:row r="6" ht="42" customHeight="1">
      <x:c r="A6" s="36" t="str">
        <x:v>A11Y-005</x:v>
      </x:c>
      <x:c r="B6" s="36" t="str">
        <x:v>텍스트 배율</x:v>
      </x:c>
      <x:c r="C6" s="36" t="str">
        <x:v>최대 배율에서도 잘림 없음</x:v>
      </x:c>
      <x:c r="D6" s="36" t="str">
        <x:v>모든 주요 화면</x:v>
      </x:c>
      <x:c r="E6" s="36" t="str">
        <x:v>중요 조작이 항상 보임</x:v>
      </x:c>
      <x:c r="F6" s="36" t="str">
        <x:v>SET-023,UIX-029</x:v>
      </x:c>
      <x:c r="G6" s="36" t="str">
        <x:v>미실시</x:v>
      </x:c>
    </x:row>
  </x:sheetData>
  <x:pageMargins left="0.7" right="0.7" top="0.75" bottom="0.75" header="0.3" footer="0.3"/>
  <x:tableParts count="1">
    <x:tablePart xmlns:r="http://schemas.openxmlformats.org/officeDocument/2006/relationships" r:id="R73e18d5931524523"/>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TC-UIX-001-01</x:v>
      </x:c>
      <x:c r="B2" s="36" t="str">
        <x:v>UIX-001</x:v>
      </x:c>
      <x:c r="C2" s="36" t="str">
        <x:v>UI·UX</x:v>
      </x:c>
      <x:c r="D2" s="36" t="str">
        <x:v>정상 시나리오: 게임 UI 디자인 시스템·토큰</x:v>
      </x:c>
      <x:c r="E2" s="36" t="str">
        <x:v>색상, 타이포그래피, 여백, 포커스, 상태 색상, 경고 계층, 아이콘 규칙을 정의하고 주요 화면이 공통 컴포넌트를 사용한다.</x:v>
      </x:c>
      <x:c r="F2" s="36" t="str">
        <x:v>대상 기능이 포함된 MVP 빌드, 필요한 테스트 계정·룸 설정·로그 접근 권한을 준비한다.</x:v>
      </x:c>
      <x:c r="G2" s="36" t="str">
        <x:v>1. 사전 조건 상태를 구성한다.
2. 표준 설정에서 다음 테스트 대상을 실행한다: 게임 UI 디자인 시스템·토큰.
3. UI, 서버 상태와 로그·텔레메트리를 확인한다.
4. 필요하면 재입장 또는 재실행하여 재현성을 확인한다.</x:v>
      </x:c>
      <x:c r="H2" s="36" t="str">
        <x:v>색상, 타이포그래피, 여백, 포커스, 상태 색상, 경고 계층, 아이콘 규칙을 정의하고 주요 화면이 공통 컴포넌트를 사용한다.</x:v>
      </x:c>
      <x:c r="I2" s="36" t="str">
        <x:v>사용성</x:v>
      </x:c>
      <x:c r="J2" s="36" t="str">
        <x:v>P0</x:v>
      </x:c>
      <x:c r="K2" s="36" t="str">
        <x:v>전체</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TC-UIX-001-02</x:v>
      </x:c>
      <x:c r="B3" s="36" t="str">
        <x:v>UIX-001</x:v>
      </x:c>
      <x:c r="C3" s="36" t="str">
        <x:v>UI·UX</x:v>
      </x:c>
      <x:c r="D3" s="36" t="str">
        <x:v>예외·경계 시나리오: 게임 UI 디자인 시스템·토큰</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게임 UI 디자인 시스템·토큰에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사용성</x:v>
      </x:c>
      <x:c r="J3" s="36" t="str">
        <x:v>P0</x:v>
      </x:c>
      <x:c r="K3" s="36" t="str">
        <x:v>전체</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TC-UIX-002-01</x:v>
      </x:c>
      <x:c r="B4" s="36" t="str">
        <x:v>UIX-002</x:v>
      </x:c>
      <x:c r="C4" s="36" t="str">
        <x:v>UI·UX</x:v>
      </x:c>
      <x:c r="D4" s="36" t="str">
        <x:v>정상 시나리오: 화면 전환·뒤로 가기·모달 공통 제어</x:v>
      </x:c>
      <x:c r="E4" s="36" t="str">
        <x:v>타이틀, 로비, 설정, 매치, 결과 화면의 전환이 입력 방식과 관계없이 일관되며 모달 중첩이나 뒤로 가기 경로 상실이 발생하지 않는다.</x:v>
      </x:c>
      <x:c r="F4" s="36" t="str">
        <x:v>대상 기능이 포함된 MVP 빌드, 필요한 테스트 계정·룸 설정·로그 접근 권한을 준비한다.</x:v>
      </x:c>
      <x:c r="G4" s="36" t="str">
        <x:v>1. 사전 조건 상태를 구성한다.
2. 표준 설정에서 다음 테스트 대상을 실행한다: 화면 전환·뒤로 가기·모달 공통 제어.
3. UI, 서버 상태와 로그·텔레메트리를 확인한다.
4. 필요하면 재입장 또는 재실행하여 재현성을 확인한다.</x:v>
      </x:c>
      <x:c r="H4" s="36" t="str">
        <x:v>타이틀, 로비, 설정, 매치, 결과 화면의 전환이 입력 방식과 관계없이 일관되며 모달 중첩이나 뒤로 가기 경로 상실이 발생하지 않는다.</x:v>
      </x:c>
      <x:c r="I4" s="36" t="str">
        <x:v>기능</x:v>
      </x:c>
      <x:c r="J4" s="36" t="str">
        <x:v>P0</x:v>
      </x:c>
      <x:c r="K4" s="36" t="str">
        <x:v>전체</x:v>
      </x:c>
      <x:c r="L4" s="36" t="str">
        <x:v>부분</x:v>
      </x:c>
      <x:c r="M4" s="36" t="str">
        <x:v>미실시</x:v>
      </x:c>
      <x:c r="N4" s="36" t="str">
        <x:v>미정</x:v>
      </x:c>
      <x:c r="O4" s="36" t="str">
        <x:v>미정</x:v>
      </x:c>
      <x:c r="P4" s="36"/>
      <x:c r="Q4" s="36"/>
      <x:c r="R4" s="44" t="str">
        <x:v>2026-07-10</x:v>
      </x:c>
      <x:c r="S4" s="36"/>
      <x:c r="T4" s="54"/>
      <x:c r="U4" s="54"/>
      <x:c r="V4" s="53" t="str">
        <x:v>착수 전</x:v>
      </x:c>
    </x:row>
    <x:row r="5" ht="42" customHeight="1">
      <x:c r="A5" s="36" t="str">
        <x:v>TC-UIX-002-02</x:v>
      </x:c>
      <x:c r="B5" s="36" t="str">
        <x:v>UIX-002</x:v>
      </x:c>
      <x:c r="C5" s="36" t="str">
        <x:v>UI·UX</x:v>
      </x:c>
      <x:c r="D5" s="36" t="str">
        <x:v>예외·경계 시나리오: 화면 전환·뒤로 가기·모달 공통 제어</x:v>
      </x:c>
      <x:c r="E5" s="36" t="str">
        <x:v>허용되지 않은 상태, 잘못된 값, 중복, 만료, 권한 부족, 연결 끊김 입력으로 데이터 손상·정보 유출·클라이언트 상태 분기가 발생하지 않는지 확인한다.</x:v>
      </x:c>
      <x:c r="F5" s="36" t="str">
        <x:v>대상 기능이 포함된 MVP 빌드와 디버그 입력, 네트워크 열화, 비정상 요청 재현 수단을 준비한다.</x:v>
      </x:c>
      <x:c r="G5" s="36" t="str">
        <x:v>1. 허용되지 않은 페이즈 또는 경계값 조건을 구성한다.
2. 화면 전환·뒤로 가기·모달 공통 제어에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기능</x:v>
      </x:c>
      <x:c r="J5" s="36" t="str">
        <x:v>P0</x:v>
      </x:c>
      <x:c r="K5" s="36" t="str">
        <x:v>전체</x:v>
      </x:c>
      <x:c r="L5" s="36" t="str">
        <x:v>부분</x:v>
      </x:c>
      <x:c r="M5" s="36" t="str">
        <x:v>미실시</x:v>
      </x:c>
      <x:c r="N5" s="36" t="str">
        <x:v>미정</x:v>
      </x:c>
      <x:c r="O5" s="36" t="str">
        <x:v>미정</x:v>
      </x:c>
      <x:c r="P5" s="36"/>
      <x:c r="Q5" s="36"/>
      <x:c r="R5" s="44" t="str">
        <x:v>2026-07-10</x:v>
      </x:c>
      <x:c r="S5" s="36"/>
      <x:c r="T5" s="54"/>
      <x:c r="U5" s="54"/>
      <x:c r="V5" s="53" t="str">
        <x:v>착수 전</x:v>
      </x:c>
    </x:row>
    <x:row r="6" ht="42" customHeight="1">
      <x:c r="A6" s="36" t="str">
        <x:v>TC-UIX-003-01</x:v>
      </x:c>
      <x:c r="B6" s="36" t="str">
        <x:v>UIX-003</x:v>
      </x:c>
      <x:c r="C6" s="36" t="str">
        <x:v>UI·UX</x:v>
      </x:c>
      <x:c r="D6" s="36" t="str">
        <x:v>정상 시나리오: 부팅·타이틀·연결 상태 화면</x:v>
      </x:c>
      <x:c r="E6" s="36" t="str">
        <x:v>초기화, 인증, 서비스 연결, 점검, 오프라인 상태를 구분해 표시하고 재시도 또는 종료 경로를 제공한다.</x:v>
      </x:c>
      <x:c r="F6" s="36" t="str">
        <x:v>대상 기능이 포함된 MVP 빌드, 필요한 테스트 계정·룸 설정·로그 접근 권한을 준비한다.</x:v>
      </x:c>
      <x:c r="G6" s="36" t="str">
        <x:v>1. 사전 조건 상태를 구성한다.
2. 표준 설정에서 다음 테스트 대상을 실행한다: 부팅·타이틀·연결 상태 화면.
3. UI, 서버 상태와 로그·텔레메트리를 확인한다.
4. 필요하면 재입장 또는 재실행하여 재현성을 확인한다.</x:v>
      </x:c>
      <x:c r="H6" s="36" t="str">
        <x:v>초기화, 인증, 서비스 연결, 점검, 오프라인 상태를 구분해 표시하고 재시도 또는 종료 경로를 제공한다.</x:v>
      </x:c>
      <x:c r="I6" s="36" t="str">
        <x:v>통합</x:v>
      </x:c>
      <x:c r="J6" s="36" t="str">
        <x:v>P0</x:v>
      </x:c>
      <x:c r="K6" s="36" t="str">
        <x:v>전체</x:v>
      </x:c>
      <x:c r="L6" s="36" t="str">
        <x:v>부분</x:v>
      </x:c>
      <x:c r="M6" s="36" t="str">
        <x:v>미실시</x:v>
      </x:c>
      <x:c r="N6" s="36" t="str">
        <x:v>미정</x:v>
      </x:c>
      <x:c r="O6" s="36" t="str">
        <x:v>미정</x:v>
      </x:c>
      <x:c r="P6" s="36"/>
      <x:c r="Q6" s="36"/>
      <x:c r="R6" s="44" t="str">
        <x:v>2026-07-10</x:v>
      </x:c>
      <x:c r="S6" s="36"/>
      <x:c r="T6" s="54"/>
      <x:c r="U6" s="54"/>
      <x:c r="V6" s="53" t="str">
        <x:v>착수 전</x:v>
      </x:c>
    </x:row>
    <x:row r="7" ht="42" customHeight="1">
      <x:c r="A7" s="36" t="str">
        <x:v>TC-UIX-003-02</x:v>
      </x:c>
      <x:c r="B7" s="36" t="str">
        <x:v>UIX-003</x:v>
      </x:c>
      <x:c r="C7" s="36" t="str">
        <x:v>UI·UX</x:v>
      </x:c>
      <x:c r="D7" s="36" t="str">
        <x:v>예외·경계 시나리오: 부팅·타이틀·연결 상태 화면</x:v>
      </x:c>
      <x:c r="E7" s="36" t="str">
        <x:v>허용되지 않은 상태, 잘못된 값, 중복, 만료, 권한 부족, 연결 끊김 입력으로 데이터 손상·정보 유출·클라이언트 상태 분기가 발생하지 않는지 확인한다.</x:v>
      </x:c>
      <x:c r="F7" s="36" t="str">
        <x:v>대상 기능이 포함된 MVP 빌드와 디버그 입력, 네트워크 열화, 비정상 요청 재현 수단을 준비한다.</x:v>
      </x:c>
      <x:c r="G7" s="36" t="str">
        <x:v>1. 허용되지 않은 페이즈 또는 경계값 조건을 구성한다.
2. 부팅·타이틀·연결 상태 화면에 대해 중복·무효·지연·연결 끊김을 포함한 요청을 전송한다.
3. 서버 거부, 롤백, 오류 표시와 감사 로그를 확인한다.
4. 모든 클라이언트의 상태가 일치하는지 확인한다.</x:v>
      </x:c>
      <x:c r="H7" s="36" t="str">
        <x:v>요청은 사양에 따라 거부되거나 안전하게 복구되며, 중복 반영, 데이터 손실, 정보 유출 또는 진행 중단이 발생하지 않는다. 오류와 상관관계 ID가 기록된다.</x:v>
      </x:c>
      <x:c r="I7" s="36" t="str">
        <x:v>통합</x:v>
      </x:c>
      <x:c r="J7" s="36" t="str">
        <x:v>P0</x:v>
      </x:c>
      <x:c r="K7" s="36" t="str">
        <x:v>전체</x:v>
      </x:c>
      <x:c r="L7" s="36" t="str">
        <x:v>부분</x:v>
      </x:c>
      <x:c r="M7" s="36" t="str">
        <x:v>미실시</x:v>
      </x:c>
      <x:c r="N7" s="36" t="str">
        <x:v>미정</x:v>
      </x:c>
      <x:c r="O7" s="36" t="str">
        <x:v>미정</x:v>
      </x:c>
      <x:c r="P7" s="36"/>
      <x:c r="Q7" s="36"/>
      <x:c r="R7" s="44" t="str">
        <x:v>2026-07-10</x:v>
      </x:c>
      <x:c r="S7" s="36"/>
      <x:c r="T7" s="54"/>
      <x:c r="U7" s="54"/>
      <x:c r="V7" s="53" t="str">
        <x:v>착수 전</x:v>
      </x:c>
    </x:row>
    <x:row r="8" ht="42" customHeight="1">
      <x:c r="A8" s="36" t="str">
        <x:v>TC-UIX-004-01</x:v>
      </x:c>
      <x:c r="B8" s="36" t="str">
        <x:v>UIX-004</x:v>
      </x:c>
      <x:c r="C8" s="36" t="str">
        <x:v>UI·UX</x:v>
      </x:c>
      <x:c r="D8" s="36" t="str">
        <x:v>정상 시나리오: 공개 룸·매치메이킹 진입 화면</x:v>
      </x:c>
      <x:c r="E8" s="36" t="str">
        <x:v>공개 검색, 비공개 코드, 초대, 취소 진입점을 명확하게 제공하고 사용할 수 없는 모드는 이유와 함께 비활성화한다.</x:v>
      </x:c>
      <x:c r="F8" s="36" t="str">
        <x:v>대상 기능이 포함된 알파 빌드, 필요한 테스트 계정·룸 설정·로그 접근 권한을 준비한다.</x:v>
      </x:c>
      <x:c r="G8" s="36" t="str">
        <x:v>1. 사전 조건 상태를 구성한다.
2. 표준 설정에서 다음 테스트 대상을 실행한다: 공개 룸·매치메이킹 진입 화면.
3. UI, 서버 상태와 로그·텔레메트리를 확인한다.
4. 필요하면 재입장 또는 재실행하여 재현성을 확인한다.</x:v>
      </x:c>
      <x:c r="H8" s="36" t="str">
        <x:v>공개 검색, 비공개 코드, 초대, 취소 진입점을 명확하게 제공하고 사용할 수 없는 모드는 이유와 함께 비활성화한다.</x:v>
      </x:c>
      <x:c r="I8" s="36" t="str">
        <x:v>사용성</x:v>
      </x:c>
      <x:c r="J8" s="36" t="str">
        <x:v>P1</x:v>
      </x:c>
      <x:c r="K8" s="36" t="str">
        <x:v>전체</x:v>
      </x:c>
      <x:c r="L8" s="36" t="str">
        <x:v>부분</x:v>
      </x:c>
      <x:c r="M8" s="36" t="str">
        <x:v>미실시</x:v>
      </x:c>
      <x:c r="N8" s="36" t="str">
        <x:v>미정</x:v>
      </x:c>
      <x:c r="O8" s="36" t="str">
        <x:v>미정</x:v>
      </x:c>
      <x:c r="P8" s="36"/>
      <x:c r="Q8" s="36"/>
      <x:c r="R8" s="44" t="str">
        <x:v>2026-07-10</x:v>
      </x:c>
      <x:c r="S8" s="36"/>
      <x:c r="T8" s="54"/>
      <x:c r="U8" s="54"/>
      <x:c r="V8" s="53" t="str">
        <x:v>착수 전</x:v>
      </x:c>
    </x:row>
    <x:row r="9" ht="42" customHeight="1">
      <x:c r="A9" s="36" t="str">
        <x:v>TC-UIX-005-01</x:v>
      </x:c>
      <x:c r="B9" s="36" t="str">
        <x:v>UIX-005</x:v>
      </x:c>
      <x:c r="C9" s="36" t="str">
        <x:v>UI·UX</x:v>
      </x:c>
      <x:c r="D9" s="36" t="str">
        <x:v>정상 시나리오: 룸 생성 화면</x:v>
      </x:c>
      <x:c r="E9" s="36" t="str">
        <x:v>기본 프리셋, 공개 범위, 지역, 최대 인원, 상세 설정 진입점을 표시하고 유효하지 않은 값에서는 생성 요청을 전송하지 않는다.</x:v>
      </x:c>
      <x:c r="F9" s="36" t="str">
        <x:v>대상 기능이 포함된 MVP 빌드, 필요한 테스트 계정·룸 설정·로그 접근 권한을 준비한다.</x:v>
      </x:c>
      <x:c r="G9" s="36" t="str">
        <x:v>1. 사전 조건 상태를 구성한다.
2. 표준 설정에서 다음 테스트 대상을 실행한다: 룸 생성 화면.
3. UI, 서버 상태와 로그·텔레메트리를 확인한다.
4. 필요하면 재입장 또는 재실행하여 재현성을 확인한다.</x:v>
      </x:c>
      <x:c r="H9" s="36" t="str">
        <x:v>기본 프리셋, 공개 범위, 지역, 최대 인원, 상세 설정 진입점을 표시하고 유효하지 않은 값에서는 생성 요청을 전송하지 않는다.</x:v>
      </x:c>
      <x:c r="I9" s="36" t="str">
        <x:v>기능</x:v>
      </x:c>
      <x:c r="J9" s="36" t="str">
        <x:v>P0</x:v>
      </x:c>
      <x:c r="K9" s="36" t="str">
        <x:v>전체</x:v>
      </x:c>
      <x:c r="L9" s="36" t="str">
        <x:v>부분</x:v>
      </x:c>
      <x:c r="M9" s="36" t="str">
        <x:v>미실시</x:v>
      </x:c>
      <x:c r="N9" s="36" t="str">
        <x:v>미정</x:v>
      </x:c>
      <x:c r="O9" s="36" t="str">
        <x:v>미정</x:v>
      </x:c>
      <x:c r="P9" s="36"/>
      <x:c r="Q9" s="36"/>
      <x:c r="R9" s="44" t="str">
        <x:v>2026-07-10</x:v>
      </x:c>
      <x:c r="S9" s="36"/>
      <x:c r="T9" s="54"/>
      <x:c r="U9" s="54"/>
      <x:c r="V9" s="53" t="str">
        <x:v>착수 전</x:v>
      </x:c>
    </x:row>
    <x:row r="10" ht="42" customHeight="1">
      <x:c r="A10" s="36" t="str">
        <x:v>TC-UIX-005-02</x:v>
      </x:c>
      <x:c r="B10" s="36" t="str">
        <x:v>UIX-005</x:v>
      </x:c>
      <x:c r="C10" s="36" t="str">
        <x:v>UI·UX</x:v>
      </x:c>
      <x:c r="D10" s="36" t="str">
        <x:v>예외·경계 시나리오: 룸 생성 화면</x:v>
      </x:c>
      <x:c r="E10" s="36" t="str">
        <x:v>허용되지 않은 상태, 잘못된 값, 중복, 만료, 권한 부족, 연결 끊김 입력으로 데이터 손상·정보 유출·클라이언트 상태 분기가 발생하지 않는지 확인한다.</x:v>
      </x:c>
      <x:c r="F10" s="36" t="str">
        <x:v>대상 기능이 포함된 MVP 빌드와 디버그 입력, 네트워크 열화, 비정상 요청 재현 수단을 준비한다.</x:v>
      </x:c>
      <x:c r="G10" s="36" t="str">
        <x:v>1. 허용되지 않은 페이즈 또는 경계값 조건을 구성한다.
2. 룸 생성 화면에 대해 중복·무효·지연·연결 끊김을 포함한 요청을 전송한다.
3. 서버 거부, 롤백, 오류 표시와 감사 로그를 확인한다.
4. 모든 클라이언트의 상태가 일치하는지 확인한다.</x:v>
      </x:c>
      <x:c r="H10" s="36" t="str">
        <x:v>요청은 사양에 따라 거부되거나 안전하게 복구되며, 중복 반영, 데이터 손실, 정보 유출 또는 진행 중단이 발생하지 않는다. 오류와 상관관계 ID가 기록된다.</x:v>
      </x:c>
      <x:c r="I10" s="36" t="str">
        <x:v>기능</x:v>
      </x:c>
      <x:c r="J10" s="36" t="str">
        <x:v>P0</x:v>
      </x:c>
      <x:c r="K10" s="36" t="str">
        <x:v>전체</x:v>
      </x:c>
      <x:c r="L10" s="36" t="str">
        <x:v>부분</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TC-UIX-006-01</x:v>
      </x:c>
      <x:c r="B11" s="36" t="str">
        <x:v>UIX-006</x:v>
      </x:c>
      <x:c r="C11" s="36" t="str">
        <x:v>UI·UX</x:v>
      </x:c>
      <x:c r="D11" s="36" t="str">
        <x:v>정상 시나리오: 룸 코드 입력·참가 화면</x:v>
      </x:c>
      <x:c r="E11" s="36" t="str">
        <x:v>코드 입력, 붙여넣기, 자릿수 검증, 참가 진행 상태를 제공하고 만원, 만료, 버전 불일치 오류를 개별적으로 표시한다.</x:v>
      </x:c>
      <x:c r="F11" s="36" t="str">
        <x:v>대상 기능이 포함된 MVP 빌드, 필요한 테스트 계정·룸 설정·로그 접근 권한을 준비한다.</x:v>
      </x:c>
      <x:c r="G11" s="36" t="str">
        <x:v>1. 사전 조건 상태를 구성한다.
2. 표준 설정에서 다음 테스트 대상을 실행한다: 룸 코드 입력·참가 화면.
3. UI, 서버 상태와 로그·텔레메트리를 확인한다.
4. 필요하면 재입장 또는 재실행하여 재현성을 확인한다.</x:v>
      </x:c>
      <x:c r="H11" s="36" t="str">
        <x:v>코드 입력, 붙여넣기, 자릿수 검증, 참가 진행 상태를 제공하고 만원, 만료, 버전 불일치 오류를 개별적으로 표시한다.</x:v>
      </x:c>
      <x:c r="I11" s="36" t="str">
        <x:v>경계값</x:v>
      </x:c>
      <x:c r="J11" s="36" t="str">
        <x:v>P0</x:v>
      </x:c>
      <x:c r="K11" s="36" t="str">
        <x:v>전체</x:v>
      </x:c>
      <x:c r="L11" s="36" t="str">
        <x:v>부분</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TC-UIX-006-02</x:v>
      </x:c>
      <x:c r="B12" s="36" t="str">
        <x:v>UIX-006</x:v>
      </x:c>
      <x:c r="C12" s="36" t="str">
        <x:v>UI·UX</x:v>
      </x:c>
      <x:c r="D12" s="36" t="str">
        <x:v>예외·경계 시나리오: 룸 코드 입력·참가 화면</x:v>
      </x:c>
      <x:c r="E12" s="36" t="str">
        <x:v>허용되지 않은 상태, 잘못된 값, 중복, 만료, 권한 부족, 연결 끊김 입력으로 데이터 손상·정보 유출·클라이언트 상태 분기가 발생하지 않는지 확인한다.</x:v>
      </x:c>
      <x:c r="F12" s="36" t="str">
        <x:v>대상 기능이 포함된 MVP 빌드와 디버그 입력, 네트워크 열화, 비정상 요청 재현 수단을 준비한다.</x:v>
      </x:c>
      <x:c r="G12" s="36" t="str">
        <x:v>1. 허용되지 않은 페이즈 또는 경계값 조건을 구성한다.
2. 룸 코드 입력·참가 화면에 대해 중복·무효·지연·연결 끊김을 포함한 요청을 전송한다.
3. 서버 거부, 롤백, 오류 표시와 감사 로그를 확인한다.
4. 모든 클라이언트의 상태가 일치하는지 확인한다.</x:v>
      </x:c>
      <x:c r="H12" s="36" t="str">
        <x:v>요청은 사양에 따라 거부되거나 안전하게 복구되며, 중복 반영, 데이터 손실, 정보 유출 또는 진행 중단이 발생하지 않는다. 오류와 상관관계 ID가 기록된다.</x:v>
      </x:c>
      <x:c r="I12" s="36" t="str">
        <x:v>경계값</x:v>
      </x:c>
      <x:c r="J12" s="36" t="str">
        <x:v>P0</x:v>
      </x:c>
      <x:c r="K12" s="36" t="str">
        <x:v>전체</x:v>
      </x:c>
      <x:c r="L12" s="36" t="str">
        <x:v>부분</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TC-UIX-007-01</x:v>
      </x:c>
      <x:c r="B13" s="36" t="str">
        <x:v>UIX-007</x:v>
      </x:c>
      <x:c r="C13" s="36" t="str">
        <x:v>UI·UX</x:v>
      </x:c>
      <x:c r="D13" s="36" t="str">
        <x:v>정상 시나리오: 로비 참가자·색상·상태 표시</x:v>
      </x:c>
      <x:c r="E13" s="36" t="str">
        <x:v>참가자 이름, 색상, 준비 상태, 연결 품질, 호스트·관리 권한을 표시하되 역할이나 비공개 정보는 표시하지 않는다.</x:v>
      </x:c>
      <x:c r="F13" s="36" t="str">
        <x:v>대상 기능이 포함된 MVP 빌드, 필요한 테스트 계정·룸 설정·로그 접근 권한을 준비한다.</x:v>
      </x:c>
      <x:c r="G13" s="36" t="str">
        <x:v>1. 사전 조건 상태를 구성한다.
2. 표준 설정에서 다음 테스트 대상을 실행한다: 로비 참가자·색상·상태 표시.
3. UI, 서버 상태와 로그·텔레메트리를 확인한다.
4. 필요하면 재입장 또는 재실행하여 재현성을 확인한다.</x:v>
      </x:c>
      <x:c r="H13" s="36" t="str">
        <x:v>참가자 이름, 색상, 준비 상태, 연결 품질, 호스트·관리 권한을 표시하되 역할이나 비공개 정보는 표시하지 않는다.</x:v>
      </x:c>
      <x:c r="I13" s="36" t="str">
        <x:v>통합</x:v>
      </x:c>
      <x:c r="J13" s="36" t="str">
        <x:v>P0</x:v>
      </x:c>
      <x:c r="K13" s="36" t="str">
        <x:v>전체</x:v>
      </x:c>
      <x:c r="L13" s="36" t="str">
        <x:v>부분</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TC-UIX-007-02</x:v>
      </x:c>
      <x:c r="B14" s="36" t="str">
        <x:v>UIX-007</x:v>
      </x:c>
      <x:c r="C14" s="36" t="str">
        <x:v>UI·UX</x:v>
      </x:c>
      <x:c r="D14" s="36" t="str">
        <x:v>예외·경계 시나리오: 로비 참가자·색상·상태 표시</x:v>
      </x:c>
      <x:c r="E14" s="36" t="str">
        <x:v>허용되지 않은 상태, 잘못된 값, 중복, 만료, 권한 부족, 연결 끊김 입력으로 데이터 손상·정보 유출·클라이언트 상태 분기가 발생하지 않는지 확인한다.</x:v>
      </x:c>
      <x:c r="F14" s="36" t="str">
        <x:v>대상 기능이 포함된 MVP 빌드와 디버그 입력, 네트워크 열화, 비정상 요청 재현 수단을 준비한다.</x:v>
      </x:c>
      <x:c r="G14" s="36" t="str">
        <x:v>1. 허용되지 않은 페이즈 또는 경계값 조건을 구성한다.
2. 로비 참가자·색상·상태 표시에 대해 중복·무효·지연·연결 끊김을 포함한 요청을 전송한다.
3. 서버 거부, 롤백, 오류 표시와 감사 로그를 확인한다.
4. 모든 클라이언트의 상태가 일치하는지 확인한다.</x:v>
      </x:c>
      <x:c r="H14" s="36" t="str">
        <x:v>요청은 사양에 따라 거부되거나 안전하게 복구되며, 중복 반영, 데이터 손실, 정보 유출 또는 진행 중단이 발생하지 않는다. 오류와 상관관계 ID가 기록된다.</x:v>
      </x:c>
      <x:c r="I14" s="36" t="str">
        <x:v>통합</x:v>
      </x:c>
      <x:c r="J14" s="36" t="str">
        <x:v>P0</x:v>
      </x:c>
      <x:c r="K14" s="36" t="str">
        <x:v>전체</x:v>
      </x:c>
      <x:c r="L14" s="36" t="str">
        <x:v>부분</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TC-UIX-008-01</x:v>
      </x:c>
      <x:c r="B15" s="36" t="str">
        <x:v>UIX-008</x:v>
      </x:c>
      <x:c r="C15" s="36" t="str">
        <x:v>UI·UX</x:v>
      </x:c>
      <x:c r="D15" s="36" t="str">
        <x:v>정상 시나리오: 준비·시작 조건·차단 사유 표시</x:v>
      </x:c>
      <x:c r="E15" s="36" t="str">
        <x:v>준비 전환, 최소 인원, 설정 오류, 버전 불일치를 표시하고 시작할 수 없는 이유를 호스트에게 명확히 안내한다.</x:v>
      </x:c>
      <x:c r="F15" s="36" t="str">
        <x:v>대상 기능이 포함된 MVP 빌드, 필요한 테스트 계정·룸 설정·로그 접근 권한을 준비한다.</x:v>
      </x:c>
      <x:c r="G15" s="36" t="str">
        <x:v>1. 사전 조건 상태를 구성한다.
2. 표준 설정에서 다음 테스트 대상을 실행한다: 준비·시작 조건·차단 사유 표시.
3. UI, 서버 상태와 로그·텔레메트리를 확인한다.
4. 필요하면 재입장 또는 재실행하여 재현성을 확인한다.</x:v>
      </x:c>
      <x:c r="H15" s="36" t="str">
        <x:v>준비 전환, 최소 인원, 설정 오류, 버전 불일치를 표시하고 시작할 수 없는 이유를 호스트에게 명확히 안내한다.</x:v>
      </x:c>
      <x:c r="I15" s="36" t="str">
        <x:v>사용성</x:v>
      </x:c>
      <x:c r="J15" s="36" t="str">
        <x:v>P0</x:v>
      </x:c>
      <x:c r="K15" s="36" t="str">
        <x:v>전체</x:v>
      </x:c>
      <x:c r="L15" s="36" t="str">
        <x:v>부분</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TC-UIX-008-02</x:v>
      </x:c>
      <x:c r="B16" s="36" t="str">
        <x:v>UIX-008</x:v>
      </x:c>
      <x:c r="C16" s="36" t="str">
        <x:v>UI·UX</x:v>
      </x:c>
      <x:c r="D16" s="36" t="str">
        <x:v>예외·경계 시나리오: 준비·시작 조건·차단 사유 표시</x:v>
      </x:c>
      <x:c r="E16" s="36" t="str">
        <x:v>허용되지 않은 상태, 잘못된 값, 중복, 만료, 권한 부족, 연결 끊김 입력으로 데이터 손상·정보 유출·클라이언트 상태 분기가 발생하지 않는지 확인한다.</x:v>
      </x:c>
      <x:c r="F16" s="36" t="str">
        <x:v>대상 기능이 포함된 MVP 빌드와 디버그 입력, 네트워크 열화, 비정상 요청 재현 수단을 준비한다.</x:v>
      </x:c>
      <x:c r="G16" s="36" t="str">
        <x:v>1. 허용되지 않은 페이즈 또는 경계값 조건을 구성한다.
2. 준비·시작 조건·차단 사유 표시에 대해 중복·무효·지연·연결 끊김을 포함한 요청을 전송한다.
3. 서버 거부, 롤백, 오류 표시와 감사 로그를 확인한다.
4. 모든 클라이언트의 상태가 일치하는지 확인한다.</x:v>
      </x:c>
      <x:c r="H16" s="36" t="str">
        <x:v>요청은 사양에 따라 거부되거나 안전하게 복구되며, 중복 반영, 데이터 손실, 정보 유출 또는 진행 중단이 발생하지 않는다. 오류와 상관관계 ID가 기록된다.</x:v>
      </x:c>
      <x:c r="I16" s="36" t="str">
        <x:v>사용성</x:v>
      </x:c>
      <x:c r="J16" s="36" t="str">
        <x:v>P0</x:v>
      </x:c>
      <x:c r="K16" s="36" t="str">
        <x:v>전체</x:v>
      </x:c>
      <x:c r="L16" s="36" t="str">
        <x:v>부분</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TC-UIX-009-01</x:v>
      </x:c>
      <x:c r="B17" s="36" t="str">
        <x:v>UIX-009</x:v>
      </x:c>
      <x:c r="C17" s="36" t="str">
        <x:v>UI·UX</x:v>
      </x:c>
      <x:c r="D17" s="36" t="str">
        <x:v>정상 시나리오: 본인 전용 역할 공개 화면</x:v>
      </x:c>
      <x:c r="E17" s="36" t="str">
        <x:v>역할, 승리 조건, 마피아의 색상 위조 능력을 짧은 시간에 이해할 수 있으며 방송 화면, 다른 플레이어 화면, 관전자에게 잘못 노출되지 않는다.</x:v>
      </x:c>
      <x:c r="F17" s="36" t="str">
        <x:v>대상 기능이 포함된 MVP 빌드, 필요한 테스트 계정·룸 설정·로그 접근 권한을 준비한다.</x:v>
      </x:c>
      <x:c r="G17" s="36" t="str">
        <x:v>1. 사전 조건 상태를 구성한다.
2. 표준 설정에서 다음 테스트 대상을 실행한다: 본인 전용 역할 공개 화면.
3. UI, 서버 상태와 로그·텔레메트리를 확인한다.
4. 필요하면 재입장 또는 재실행하여 재현성을 확인한다.</x:v>
      </x:c>
      <x:c r="H17" s="36" t="str">
        <x:v>역할, 승리 조건, 마피아의 색상 위조 능력을 짧은 시간에 이해할 수 있으며 방송 화면, 다른 플레이어 화면, 관전자에게 잘못 노출되지 않는다.</x:v>
      </x:c>
      <x:c r="I17" s="36" t="str">
        <x:v>보안</x:v>
      </x:c>
      <x:c r="J17" s="36" t="str">
        <x:v>P0</x:v>
      </x:c>
      <x:c r="K17" s="36" t="str">
        <x:v>전체</x:v>
      </x:c>
      <x:c r="L17" s="36" t="str">
        <x:v>부분</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TC-UIX-009-02</x:v>
      </x:c>
      <x:c r="B18" s="36" t="str">
        <x:v>UIX-009</x:v>
      </x:c>
      <x:c r="C18" s="36" t="str">
        <x:v>UI·UX</x:v>
      </x:c>
      <x:c r="D18" s="36" t="str">
        <x:v>예외·경계 시나리오: 본인 전용 역할 공개 화면</x:v>
      </x:c>
      <x:c r="E18" s="36" t="str">
        <x:v>허용되지 않은 상태, 잘못된 값, 중복, 만료, 권한 부족, 연결 끊김 입력으로 데이터 손상·정보 유출·클라이언트 상태 분기가 발생하지 않는지 확인한다.</x:v>
      </x:c>
      <x:c r="F18" s="36" t="str">
        <x:v>대상 기능이 포함된 MVP 빌드와 디버그 입력, 네트워크 열화, 비정상 요청 재현 수단을 준비한다.</x:v>
      </x:c>
      <x:c r="G18" s="36" t="str">
        <x:v>1. 허용되지 않은 페이즈 또는 경계값 조건을 구성한다.
2. 본인 전용 역할 공개 화면에 대해 중복·무효·지연·연결 끊김을 포함한 요청을 전송한다.
3. 서버 거부, 롤백, 오류 표시와 감사 로그를 확인한다.
4. 모든 클라이언트의 상태가 일치하는지 확인한다.</x:v>
      </x:c>
      <x:c r="H18" s="36" t="str">
        <x:v>요청은 사양에 따라 거부되거나 안전하게 복구되며, 중복 반영, 데이터 손실, 정보 유출 또는 진행 중단이 발생하지 않는다. 오류와 상관관계 ID가 기록된다.</x:v>
      </x:c>
      <x:c r="I18" s="36" t="str">
        <x:v>보안</x:v>
      </x:c>
      <x:c r="J18" s="36" t="str">
        <x:v>P0</x:v>
      </x:c>
      <x:c r="K18" s="36" t="str">
        <x:v>전체</x:v>
      </x:c>
      <x:c r="L18" s="36" t="str">
        <x:v>부분</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TC-UIX-010-01</x:v>
      </x:c>
      <x:c r="B19" s="36" t="str">
        <x:v>UIX-010</x:v>
      </x:c>
      <x:c r="C19" s="36" t="str">
        <x:v>UI·UX</x:v>
      </x:c>
      <x:c r="D19" s="36" t="str">
        <x:v>정상 시나리오: 페이즈·일차·남은 시간 HUD</x:v>
      </x:c>
      <x:c r="E19" s="36" t="str">
        <x:v>낮, 밤 관찰, 밤 투표, 최종 재판을 색상에만 의존하지 않고 표시하며 서버 시간 보정 후에도 1초 이상의 급격한 변화나 역행이 없다.</x:v>
      </x:c>
      <x:c r="F19" s="36" t="str">
        <x:v>대상 기능이 포함된 MVP 빌드, 필요한 테스트 계정·룸 설정·로그 접근 권한을 준비한다.</x:v>
      </x:c>
      <x:c r="G19" s="36" t="str">
        <x:v>1. 사전 조건 상태를 구성한다.
2. 표준 설정에서 다음 테스트 대상을 실행한다: 페이즈·일차·남은 시간 HUD.
3. UI, 서버 상태와 로그·텔레메트리를 확인한다.
4. 필요하면 재입장 또는 재실행하여 재현성을 확인한다.</x:v>
      </x:c>
      <x:c r="H19" s="36" t="str">
        <x:v>낮, 밤 관찰, 밤 투표, 최종 재판을 색상에만 의존하지 않고 표시하며 서버 시간 보정 후에도 1초 이상의 급격한 변화나 역행이 없다.</x:v>
      </x:c>
      <x:c r="I19" s="36" t="str">
        <x:v>통합</x:v>
      </x:c>
      <x:c r="J19" s="36" t="str">
        <x:v>P0</x:v>
      </x:c>
      <x:c r="K19" s="36" t="str">
        <x:v>전체</x:v>
      </x:c>
      <x:c r="L19" s="36" t="str">
        <x:v>부분</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TC-UIX-010-02</x:v>
      </x:c>
      <x:c r="B20" s="36" t="str">
        <x:v>UIX-010</x:v>
      </x:c>
      <x:c r="C20" s="36" t="str">
        <x:v>UI·UX</x:v>
      </x:c>
      <x:c r="D20" s="36" t="str">
        <x:v>예외·경계 시나리오: 페이즈·일차·남은 시간 HUD</x:v>
      </x:c>
      <x:c r="E20" s="36" t="str">
        <x:v>허용되지 않은 상태, 잘못된 값, 중복, 만료, 권한 부족, 연결 끊김 입력으로 데이터 손상·정보 유출·클라이언트 상태 분기가 발생하지 않는지 확인한다.</x:v>
      </x:c>
      <x:c r="F20" s="36" t="str">
        <x:v>대상 기능이 포함된 MVP 빌드와 디버그 입력, 네트워크 열화, 비정상 요청 재현 수단을 준비한다.</x:v>
      </x:c>
      <x:c r="G20" s="36" t="str">
        <x:v>1. 허용되지 않은 페이즈 또는 경계값 조건을 구성한다.
2. 페이즈·일차·남은 시간 HUD에 대해 중복·무효·지연·연결 끊김을 포함한 요청을 전송한다.
3. 서버 거부, 롤백, 오류 표시와 감사 로그를 확인한다.
4. 모든 클라이언트의 상태가 일치하는지 확인한다.</x:v>
      </x:c>
      <x:c r="H20" s="36" t="str">
        <x:v>요청은 사양에 따라 거부되거나 안전하게 복구되며, 중복 반영, 데이터 손실, 정보 유출 또는 진행 중단이 발생하지 않는다. 오류와 상관관계 ID가 기록된다.</x:v>
      </x:c>
      <x:c r="I20" s="36" t="str">
        <x:v>통합</x:v>
      </x:c>
      <x:c r="J20" s="36" t="str">
        <x:v>P0</x:v>
      </x:c>
      <x:c r="K20" s="36" t="str">
        <x:v>전체</x:v>
      </x:c>
      <x:c r="L20" s="36" t="str">
        <x:v>부분</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TC-UIX-011-01</x:v>
      </x:c>
      <x:c r="B21" s="36" t="str">
        <x:v>UIX-011</x:v>
      </x:c>
      <x:c r="C21" s="36" t="str">
        <x:v>UI·UX</x:v>
      </x:c>
      <x:c r="D21" s="36" t="str">
        <x:v>정상 시나리오: 보유 메모·위조 잔여 횟수 표시</x:v>
      </x:c>
      <x:c r="E21" s="36" t="str">
        <x:v>본인 보유 메모 수를 표시하고 마피아에게만 위조 잔여 횟수를 표시한다. 자신의 등 메모 수량과 내용은 표시하지 않는다.</x:v>
      </x:c>
      <x:c r="F21" s="36" t="str">
        <x:v>대상 기능이 포함된 MVP 빌드, 필요한 테스트 계정·룸 설정·로그 접근 권한을 준비한다.</x:v>
      </x:c>
      <x:c r="G21" s="36" t="str">
        <x:v>1. 사전 조건 상태를 구성한다.
2. 표준 설정에서 다음 테스트 대상을 실행한다: 보유 메모·위조 잔여 횟수 표시.
3. UI, 서버 상태와 로그·텔레메트리를 확인한다.
4. 필요하면 재입장 또는 재실행하여 재현성을 확인한다.</x:v>
      </x:c>
      <x:c r="H21" s="36" t="str">
        <x:v>본인 보유 메모 수를 표시하고 마피아에게만 위조 잔여 횟수를 표시한다. 자신의 등 메모 수량과 내용은 표시하지 않는다.</x:v>
      </x:c>
      <x:c r="I21" s="36" t="str">
        <x:v>보안</x:v>
      </x:c>
      <x:c r="J21" s="36" t="str">
        <x:v>P0</x:v>
      </x:c>
      <x:c r="K21" s="36" t="str">
        <x:v>전체</x:v>
      </x:c>
      <x:c r="L21" s="36" t="str">
        <x:v>부분</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TC-UIX-011-02</x:v>
      </x:c>
      <x:c r="B22" s="36" t="str">
        <x:v>UIX-011</x:v>
      </x:c>
      <x:c r="C22" s="36" t="str">
        <x:v>UI·UX</x:v>
      </x:c>
      <x:c r="D22" s="36" t="str">
        <x:v>예외·경계 시나리오: 보유 메모·위조 잔여 횟수 표시</x:v>
      </x:c>
      <x:c r="E22" s="36" t="str">
        <x:v>허용되지 않은 상태, 잘못된 값, 중복, 만료, 권한 부족, 연결 끊김 입력으로 데이터 손상·정보 유출·클라이언트 상태 분기가 발생하지 않는지 확인한다.</x:v>
      </x:c>
      <x:c r="F22" s="36" t="str">
        <x:v>대상 기능이 포함된 MVP 빌드와 디버그 입력, 네트워크 열화, 비정상 요청 재현 수단을 준비한다.</x:v>
      </x:c>
      <x:c r="G22" s="36" t="str">
        <x:v>1. 허용되지 않은 페이즈 또는 경계값 조건을 구성한다.
2. 보유 메모·위조 잔여 횟수 표시에 대해 중복·무효·지연·연결 끊김을 포함한 요청을 전송한다.
3. 서버 거부, 롤백, 오류 표시와 감사 로그를 확인한다.
4. 모든 클라이언트의 상태가 일치하는지 확인한다.</x:v>
      </x:c>
      <x:c r="H22" s="36" t="str">
        <x:v>요청은 사양에 따라 거부되거나 안전하게 복구되며, 중복 반영, 데이터 손실, 정보 유출 또는 진행 중단이 발생하지 않는다. 오류와 상관관계 ID가 기록된다.</x:v>
      </x:c>
      <x:c r="I22" s="36" t="str">
        <x:v>보안</x:v>
      </x:c>
      <x:c r="J22" s="36" t="str">
        <x:v>P0</x:v>
      </x:c>
      <x:c r="K22" s="36" t="str">
        <x:v>전체</x:v>
      </x:c>
      <x:c r="L22" s="36" t="str">
        <x:v>부분</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TC-UIX-012-01</x:v>
      </x:c>
      <x:c r="B23" s="36" t="str">
        <x:v>UIX-012</x:v>
      </x:c>
      <x:c r="C23" s="36" t="str">
        <x:v>UI·UX</x:v>
      </x:c>
      <x:c r="D23" s="36" t="str">
        <x:v>정상 시나리오: 프리셋 메모 작성 패널</x:v>
      </x:c>
      <x:c r="E23" s="36" t="str">
        <x:v>분류, 문구, 표시 색상, 확인, 취소를 게임패드와 키보드·마우스로 조작할 수 있고 MVP에서는 자유 입력·자유 그리기 진입점을 노출하지 않는다.</x:v>
      </x:c>
      <x:c r="F23" s="36" t="str">
        <x:v>대상 기능이 포함된 MVP 빌드, 필요한 테스트 계정·룸 설정·로그 접근 권한을 준비한다.</x:v>
      </x:c>
      <x:c r="G23" s="36" t="str">
        <x:v>1. 사전 조건 상태를 구성한다.
2. 표준 설정에서 다음 테스트 대상을 실행한다: 프리셋 메모 작성 패널.
3. UI, 서버 상태와 로그·텔레메트리를 확인한다.
4. 필요하면 재입장 또는 재실행하여 재현성을 확인한다.</x:v>
      </x:c>
      <x:c r="H23" s="36" t="str">
        <x:v>분류, 문구, 표시 색상, 확인, 취소를 게임패드와 키보드·마우스로 조작할 수 있고 MVP에서는 자유 입력·자유 그리기 진입점을 노출하지 않는다.</x:v>
      </x:c>
      <x:c r="I23" s="36" t="str">
        <x:v>사용성</x:v>
      </x:c>
      <x:c r="J23" s="36" t="str">
        <x:v>P0</x:v>
      </x:c>
      <x:c r="K23" s="36" t="str">
        <x:v>전체</x:v>
      </x:c>
      <x:c r="L23" s="36" t="str">
        <x:v>부분</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TC-UIX-012-02</x:v>
      </x:c>
      <x:c r="B24" s="36" t="str">
        <x:v>UIX-012</x:v>
      </x:c>
      <x:c r="C24" s="36" t="str">
        <x:v>UI·UX</x:v>
      </x:c>
      <x:c r="D24" s="36" t="str">
        <x:v>예외·경계 시나리오: 프리셋 메모 작성 패널</x:v>
      </x:c>
      <x:c r="E24" s="36" t="str">
        <x:v>허용되지 않은 상태, 잘못된 값, 중복, 만료, 권한 부족, 연결 끊김 입력으로 데이터 손상·정보 유출·클라이언트 상태 분기가 발생하지 않는지 확인한다.</x:v>
      </x:c>
      <x:c r="F24" s="36" t="str">
        <x:v>대상 기능이 포함된 MVP 빌드와 디버그 입력, 네트워크 열화, 비정상 요청 재현 수단을 준비한다.</x:v>
      </x:c>
      <x:c r="G24" s="36" t="str">
        <x:v>1. 허용되지 않은 페이즈 또는 경계값 조건을 구성한다.
2. 프리셋 메모 작성 패널에 대해 중복·무효·지연·연결 끊김을 포함한 요청을 전송한다.
3. 서버 거부, 롤백, 오류 표시와 감사 로그를 확인한다.
4. 모든 클라이언트의 상태가 일치하는지 확인한다.</x:v>
      </x:c>
      <x:c r="H24" s="36" t="str">
        <x:v>요청은 사양에 따라 거부되거나 안전하게 복구되며, 중복 반영, 데이터 손실, 정보 유출 또는 진행 중단이 발생하지 않는다. 오류와 상관관계 ID가 기록된다.</x:v>
      </x:c>
      <x:c r="I24" s="36" t="str">
        <x:v>사용성</x:v>
      </x:c>
      <x:c r="J24" s="36" t="str">
        <x:v>P0</x:v>
      </x:c>
      <x:c r="K24" s="36" t="str">
        <x:v>전체</x:v>
      </x:c>
      <x:c r="L24" s="36" t="str">
        <x:v>부분</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TC-UIX-013-01</x:v>
      </x:c>
      <x:c r="B25" s="36" t="str">
        <x:v>UIX-013</x:v>
      </x:c>
      <x:c r="C25" s="36" t="str">
        <x:v>UI·UX</x:v>
      </x:c>
      <x:c r="D25" s="36" t="str">
        <x:v>정상 시나리오: 마피아 위조 색상 선택 UI</x:v>
      </x:c>
      <x:c r="E25" s="36" t="str">
        <x:v>생존 플레이어의 색상만 선택할 수 있고 잔여 횟수 0회 또는 규칙 비활성화 시 이유와 함께 선택을 막는다. 시민에게는 색상 선택 UI를 표시하지 않는다.</x:v>
      </x:c>
      <x:c r="F25" s="36" t="str">
        <x:v>대상 기능이 포함된 MVP 빌드, 필요한 테스트 계정·룸 설정·로그 접근 권한을 준비한다.</x:v>
      </x:c>
      <x:c r="G25" s="36" t="str">
        <x:v>1. 사전 조건 상태를 구성한다.
2. 표준 설정에서 다음 테스트 대상을 실행한다: 마피아 위조 색상 선택 UI.
3. UI, 서버 상태와 로그·텔레메트리를 확인한다.
4. 필요하면 재입장 또는 재실행하여 재현성을 확인한다.</x:v>
      </x:c>
      <x:c r="H25" s="36" t="str">
        <x:v>생존 플레이어의 색상만 선택할 수 있고 잔여 횟수 0회 또는 규칙 비활성화 시 이유와 함께 선택을 막는다. 시민에게는 색상 선택 UI를 표시하지 않는다.</x:v>
      </x:c>
      <x:c r="I25" s="36" t="str">
        <x:v>보안</x:v>
      </x:c>
      <x:c r="J25" s="36" t="str">
        <x:v>P0</x:v>
      </x:c>
      <x:c r="K25" s="36" t="str">
        <x:v>전체</x:v>
      </x:c>
      <x:c r="L25" s="36" t="str">
        <x:v>부분</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TC-UIX-013-02</x:v>
      </x:c>
      <x:c r="B26" s="36" t="str">
        <x:v>UIX-013</x:v>
      </x:c>
      <x:c r="C26" s="36" t="str">
        <x:v>UI·UX</x:v>
      </x:c>
      <x:c r="D26" s="36" t="str">
        <x:v>예외·경계 시나리오: 마피아 위조 색상 선택 UI</x:v>
      </x:c>
      <x:c r="E26" s="36" t="str">
        <x:v>허용되지 않은 상태, 잘못된 값, 중복, 만료, 권한 부족, 연결 끊김 입력으로 데이터 손상·정보 유출·클라이언트 상태 분기가 발생하지 않는지 확인한다.</x:v>
      </x:c>
      <x:c r="F26" s="36" t="str">
        <x:v>대상 기능이 포함된 MVP 빌드와 디버그 입력, 네트워크 열화, 비정상 요청 재현 수단을 준비한다.</x:v>
      </x:c>
      <x:c r="G26" s="36" t="str">
        <x:v>1. 허용되지 않은 페이즈 또는 경계값 조건을 구성한다.
2. 마피아 위조 색상 선택 UI에 대해 중복·무효·지연·연결 끊김을 포함한 요청을 전송한다.
3. 서버 거부, 롤백, 오류 표시와 감사 로그를 확인한다.
4. 모든 클라이언트의 상태가 일치하는지 확인한다.</x:v>
      </x:c>
      <x:c r="H26" s="36" t="str">
        <x:v>요청은 사양에 따라 거부되거나 안전하게 복구되며, 중복 반영, 데이터 손실, 정보 유출 또는 진행 중단이 발생하지 않는다. 오류와 상관관계 ID가 기록된다.</x:v>
      </x:c>
      <x:c r="I26" s="36" t="str">
        <x:v>보안</x:v>
      </x:c>
      <x:c r="J26" s="36" t="str">
        <x:v>P0</x:v>
      </x:c>
      <x:c r="K26" s="36" t="str">
        <x:v>전체</x:v>
      </x:c>
      <x:c r="L26" s="36" t="str">
        <x:v>부분</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TC-UIX-014-01</x:v>
      </x:c>
      <x:c r="B27" s="36" t="str">
        <x:v>UIX-014</x:v>
      </x:c>
      <x:c r="C27" s="36" t="str">
        <x:v>UI·UX</x:v>
      </x:c>
      <x:c r="D27" s="36" t="str">
        <x:v>정상 시나리오: 등 메모 거리별 표시·겹침·순서</x:v>
      </x:c>
      <x:c r="E27" s="36" t="str">
        <x:v>중거리에서는 색상, 근거리에서는 문구를 읽을 수 있고 최대 6장의 순서를 유지하며 해상도, FOV, 색각 보조 설정에서도 레이아웃이 깨지지 않는다.</x:v>
      </x:c>
      <x:c r="F27" s="36" t="str">
        <x:v>대상 기능이 포함된 MVP 빌드, 필요한 테스트 계정·룸 설정·로그 접근 권한을 준비한다.</x:v>
      </x:c>
      <x:c r="G27" s="36" t="str">
        <x:v>1. 사전 조건 상태를 구성한다.
2. 표준 설정에서 다음 테스트 대상을 실행한다: 등 메모 거리별 표시·겹침·순서.
3. UI, 서버 상태와 로그·텔레메트리를 확인한다.
4. 필요하면 재입장 또는 재실행하여 재현성을 확인한다.</x:v>
      </x:c>
      <x:c r="H27" s="36" t="str">
        <x:v>중거리에서는 색상, 근거리에서는 문구를 읽을 수 있고 최대 6장의 순서를 유지하며 해상도, FOV, 색각 보조 설정에서도 레이아웃이 깨지지 않는다.</x:v>
      </x:c>
      <x:c r="I27" s="36" t="str">
        <x:v>접근성</x:v>
      </x:c>
      <x:c r="J27" s="36" t="str">
        <x:v>P0</x:v>
      </x:c>
      <x:c r="K27" s="36" t="str">
        <x:v>전체</x:v>
      </x:c>
      <x:c r="L27" s="36" t="str">
        <x:v>부분</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TC-UIX-014-02</x:v>
      </x:c>
      <x:c r="B28" s="36" t="str">
        <x:v>UIX-014</x:v>
      </x:c>
      <x:c r="C28" s="36" t="str">
        <x:v>UI·UX</x:v>
      </x:c>
      <x:c r="D28" s="36" t="str">
        <x:v>예외·경계 시나리오: 등 메모 거리별 표시·겹침·순서</x:v>
      </x:c>
      <x:c r="E28" s="36" t="str">
        <x:v>허용되지 않은 상태, 잘못된 값, 중복, 만료, 권한 부족, 연결 끊김 입력으로 데이터 손상·정보 유출·클라이언트 상태 분기가 발생하지 않는지 확인한다.</x:v>
      </x:c>
      <x:c r="F28" s="36" t="str">
        <x:v>대상 기능이 포함된 MVP 빌드와 디버그 입력, 네트워크 열화, 비정상 요청 재현 수단을 준비한다.</x:v>
      </x:c>
      <x:c r="G28" s="36" t="str">
        <x:v>1. 허용되지 않은 페이즈 또는 경계값 조건을 구성한다.
2. 등 메모 거리별 표시·겹침·순서에 대해 중복·무효·지연·연결 끊김을 포함한 요청을 전송한다.
3. 서버 거부, 롤백, 오류 표시와 감사 로그를 확인한다.
4. 모든 클라이언트의 상태가 일치하는지 확인한다.</x:v>
      </x:c>
      <x:c r="H28" s="36" t="str">
        <x:v>요청은 사양에 따라 거부되거나 안전하게 복구되며, 중복 반영, 데이터 손실, 정보 유출 또는 진행 중단이 발생하지 않는다. 오류와 상관관계 ID가 기록된다.</x:v>
      </x:c>
      <x:c r="I28" s="36" t="str">
        <x:v>접근성</x:v>
      </x:c>
      <x:c r="J28" s="36" t="str">
        <x:v>P0</x:v>
      </x:c>
      <x:c r="K28" s="36" t="str">
        <x:v>전체</x:v>
      </x:c>
      <x:c r="L28" s="36" t="str">
        <x:v>부분</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TC-UIX-015-01</x:v>
      </x:c>
      <x:c r="B29" s="36" t="str">
        <x:v>UIX-015</x:v>
      </x:c>
      <x:c r="C29" s="36" t="str">
        <x:v>UI·UX</x:v>
      </x:c>
      <x:c r="D29" s="36" t="str">
        <x:v>정상 시나리오: 메모 부착·미니게임 상호작용 안내</x:v>
      </x:c>
      <x:c r="E29" s="36" t="str">
        <x:v>대상, 행동, 필요 조건, 사용할 입력, 실행 불가 사유를 표시하고 정면, 거리 밖, 밤 등 무효 상태에서 잘못된 안내를 제공하지 않는다.</x:v>
      </x:c>
      <x:c r="F29" s="36" t="str">
        <x:v>대상 기능이 포함된 MVP 빌드, 필요한 테스트 계정·룸 설정·로그 접근 권한을 준비한다.</x:v>
      </x:c>
      <x:c r="G29" s="36" t="str">
        <x:v>1. 사전 조건 상태를 구성한다.
2. 표준 설정에서 다음 테스트 대상을 실행한다: 메모 부착·미니게임 상호작용 안내.
3. UI, 서버 상태와 로그·텔레메트리를 확인한다.
4. 필요하면 재입장 또는 재실행하여 재현성을 확인한다.</x:v>
      </x:c>
      <x:c r="H29" s="36" t="str">
        <x:v>대상, 행동, 필요 조건, 사용할 입력, 실행 불가 사유를 표시하고 정면, 거리 밖, 밤 등 무효 상태에서 잘못된 안내를 제공하지 않는다.</x:v>
      </x:c>
      <x:c r="I29" s="36" t="str">
        <x:v>사용성</x:v>
      </x:c>
      <x:c r="J29" s="36" t="str">
        <x:v>P0</x:v>
      </x:c>
      <x:c r="K29" s="36" t="str">
        <x:v>전체</x:v>
      </x:c>
      <x:c r="L29" s="36" t="str">
        <x:v>부분</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TC-UIX-015-02</x:v>
      </x:c>
      <x:c r="B30" s="36" t="str">
        <x:v>UIX-015</x:v>
      </x:c>
      <x:c r="C30" s="36" t="str">
        <x:v>UI·UX</x:v>
      </x:c>
      <x:c r="D30" s="36" t="str">
        <x:v>예외·경계 시나리오: 메모 부착·미니게임 상호작용 안내</x:v>
      </x:c>
      <x:c r="E30" s="36" t="str">
        <x:v>허용되지 않은 상태, 잘못된 값, 중복, 만료, 권한 부족, 연결 끊김 입력으로 데이터 손상·정보 유출·클라이언트 상태 분기가 발생하지 않는지 확인한다.</x:v>
      </x:c>
      <x:c r="F30" s="36" t="str">
        <x:v>대상 기능이 포함된 MVP 빌드와 디버그 입력, 네트워크 열화, 비정상 요청 재현 수단을 준비한다.</x:v>
      </x:c>
      <x:c r="G30" s="36" t="str">
        <x:v>1. 허용되지 않은 페이즈 또는 경계값 조건을 구성한다.
2. 메모 부착·미니게임 상호작용 안내에 대해 중복·무효·지연·연결 끊김을 포함한 요청을 전송한다.
3. 서버 거부, 롤백, 오류 표시와 감사 로그를 확인한다.
4. 모든 클라이언트의 상태가 일치하는지 확인한다.</x:v>
      </x:c>
      <x:c r="H30" s="36" t="str">
        <x:v>요청은 사양에 따라 거부되거나 안전하게 복구되며, 중복 반영, 데이터 손실, 정보 유출 또는 진행 중단이 발생하지 않는다. 오류와 상관관계 ID가 기록된다.</x:v>
      </x:c>
      <x:c r="I30" s="36" t="str">
        <x:v>사용성</x:v>
      </x:c>
      <x:c r="J30" s="36" t="str">
        <x:v>P0</x:v>
      </x:c>
      <x:c r="K30" s="36" t="str">
        <x:v>전체</x:v>
      </x:c>
      <x:c r="L30" s="36" t="str">
        <x:v>부분</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TC-UIX-016-01</x:v>
      </x:c>
      <x:c r="B31" s="36" t="str">
        <x:v>UIX-016</x:v>
      </x:c>
      <x:c r="C31" s="36" t="str">
        <x:v>UI·UX</x:v>
      </x:c>
      <x:c r="D31" s="36" t="str">
        <x:v>정상 시나리오: 메모 부착 진행·취소 사유 표시</x:v>
      </x:c>
      <x:c r="E31" s="36" t="str">
        <x:v>1.5초 진행도와 취소, 성공, 실패 상태를 표시하며 서버 확정 전에 보유 수량이나 대상의 메모 표시를 선반영하지 않는다.</x:v>
      </x:c>
      <x:c r="F31" s="36" t="str">
        <x:v>대상 기능이 포함된 MVP 빌드, 필요한 테스트 계정·룸 설정·로그 접근 권한을 준비한다.</x:v>
      </x:c>
      <x:c r="G31" s="36" t="str">
        <x:v>1. 사전 조건 상태를 구성한다.
2. 표준 설정에서 다음 테스트 대상을 실행한다: 메모 부착 진행·취소 사유 표시.
3. UI, 서버 상태와 로그·텔레메트리를 확인한다.
4. 필요하면 재입장 또는 재실행하여 재현성을 확인한다.</x:v>
      </x:c>
      <x:c r="H31" s="36" t="str">
        <x:v>1.5초 진행도와 취소, 성공, 실패 상태를 표시하며 서버 확정 전에 보유 수량이나 대상의 메모 표시를 선반영하지 않는다.</x:v>
      </x:c>
      <x:c r="I31" s="36" t="str">
        <x:v>통합</x:v>
      </x:c>
      <x:c r="J31" s="36" t="str">
        <x:v>P0</x:v>
      </x:c>
      <x:c r="K31" s="36" t="str">
        <x:v>전체</x:v>
      </x:c>
      <x:c r="L31" s="36" t="str">
        <x:v>부분</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TC-UIX-016-02</x:v>
      </x:c>
      <x:c r="B32" s="36" t="str">
        <x:v>UIX-016</x:v>
      </x:c>
      <x:c r="C32" s="36" t="str">
        <x:v>UI·UX</x:v>
      </x:c>
      <x:c r="D32" s="36" t="str">
        <x:v>예외·경계 시나리오: 메모 부착 진행·취소 사유 표시</x:v>
      </x:c>
      <x:c r="E32" s="36" t="str">
        <x:v>허용되지 않은 상태, 잘못된 값, 중복, 만료, 권한 부족, 연결 끊김 입력으로 데이터 손상·정보 유출·클라이언트 상태 분기가 발생하지 않는지 확인한다.</x:v>
      </x:c>
      <x:c r="F32" s="36" t="str">
        <x:v>대상 기능이 포함된 MVP 빌드와 디버그 입력, 네트워크 열화, 비정상 요청 재현 수단을 준비한다.</x:v>
      </x:c>
      <x:c r="G32" s="36" t="str">
        <x:v>1. 허용되지 않은 페이즈 또는 경계값 조건을 구성한다.
2. 메모 부착 진행·취소 사유 표시에 대해 중복·무효·지연·연결 끊김을 포함한 요청을 전송한다.
3. 서버 거부, 롤백, 오류 표시와 감사 로그를 확인한다.
4. 모든 클라이언트의 상태가 일치하는지 확인한다.</x:v>
      </x:c>
      <x:c r="H32" s="36" t="str">
        <x:v>요청은 사양에 따라 거부되거나 안전하게 복구되며, 중복 반영, 데이터 손실, 정보 유출 또는 진행 중단이 발생하지 않는다. 오류와 상관관계 ID가 기록된다.</x:v>
      </x:c>
      <x:c r="I32" s="36" t="str">
        <x:v>통합</x:v>
      </x:c>
      <x:c r="J32" s="36" t="str">
        <x:v>P0</x:v>
      </x:c>
      <x:c r="K32" s="36" t="str">
        <x:v>전체</x:v>
      </x:c>
      <x:c r="L32" s="36" t="str">
        <x:v>부분</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TC-UIX-017-01</x:v>
      </x:c>
      <x:c r="B33" s="36" t="str">
        <x:v>UIX-017</x:v>
      </x:c>
      <x:c r="C33" s="36" t="str">
        <x:v>UI·UX</x:v>
      </x:c>
      <x:c r="D33" s="36" t="str">
        <x:v>정상 시나리오: 미니게임 공통 UI 셸</x:v>
      </x:c>
      <x:c r="E33" s="36" t="str">
        <x:v>시작 설명, 조작법, 남은 시간, 성공, 실패, 중단, 나가기를 공통 패턴으로 표시하고 플레이어가 3초 안에 목표를 이해할 수 있다.</x:v>
      </x:c>
      <x:c r="F33" s="36" t="str">
        <x:v>대상 기능이 포함된 MVP 빌드, 필요한 테스트 계정·룸 설정·로그 접근 권한을 준비한다.</x:v>
      </x:c>
      <x:c r="G33" s="36" t="str">
        <x:v>1. 사전 조건 상태를 구성한다.
2. 표준 설정에서 다음 테스트 대상을 실행한다: 미니게임 공통 UI 셸.
3. UI, 서버 상태와 로그·텔레메트리를 확인한다.
4. 필요하면 재입장 또는 재실행하여 재현성을 확인한다.</x:v>
      </x:c>
      <x:c r="H33" s="36" t="str">
        <x:v>시작 설명, 조작법, 남은 시간, 성공, 실패, 중단, 나가기를 공통 패턴으로 표시하고 플레이어가 3초 안에 목표를 이해할 수 있다.</x:v>
      </x:c>
      <x:c r="I33" s="36" t="str">
        <x:v>사용성</x:v>
      </x:c>
      <x:c r="J33" s="36" t="str">
        <x:v>P0</x:v>
      </x:c>
      <x:c r="K33" s="36" t="str">
        <x:v>전체</x:v>
      </x:c>
      <x:c r="L33" s="36" t="str">
        <x:v>부분</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TC-UIX-017-02</x:v>
      </x:c>
      <x:c r="B34" s="36" t="str">
        <x:v>UIX-017</x:v>
      </x:c>
      <x:c r="C34" s="36" t="str">
        <x:v>UI·UX</x:v>
      </x:c>
      <x:c r="D34" s="36" t="str">
        <x:v>예외·경계 시나리오: 미니게임 공통 UI 셸</x:v>
      </x:c>
      <x:c r="E34" s="36" t="str">
        <x:v>허용되지 않은 상태, 잘못된 값, 중복, 만료, 권한 부족, 연결 끊김 입력으로 데이터 손상·정보 유출·클라이언트 상태 분기가 발생하지 않는지 확인한다.</x:v>
      </x:c>
      <x:c r="F34" s="36" t="str">
        <x:v>대상 기능이 포함된 MVP 빌드와 디버그 입력, 네트워크 열화, 비정상 요청 재현 수단을 준비한다.</x:v>
      </x:c>
      <x:c r="G34" s="36" t="str">
        <x:v>1. 허용되지 않은 페이즈 또는 경계값 조건을 구성한다.
2. 미니게임 공통 UI 셸에 대해 중복·무효·지연·연결 끊김을 포함한 요청을 전송한다.
3. 서버 거부, 롤백, 오류 표시와 감사 로그를 확인한다.
4. 모든 클라이언트의 상태가 일치하는지 확인한다.</x:v>
      </x:c>
      <x:c r="H34" s="36" t="str">
        <x:v>요청은 사양에 따라 거부되거나 안전하게 복구되며, 중복 반영, 데이터 손실, 정보 유출 또는 진행 중단이 발생하지 않는다. 오류와 상관관계 ID가 기록된다.</x:v>
      </x:c>
      <x:c r="I34" s="36" t="str">
        <x:v>사용성</x:v>
      </x:c>
      <x:c r="J34" s="36" t="str">
        <x:v>P0</x:v>
      </x:c>
      <x:c r="K34" s="36" t="str">
        <x:v>전체</x:v>
      </x:c>
      <x:c r="L34" s="36" t="str">
        <x:v>부분</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TC-UIX-018-01</x:v>
      </x:c>
      <x:c r="B35" s="36" t="str">
        <x:v>UIX-018</x:v>
      </x:c>
      <x:c r="C35" s="36" t="str">
        <x:v>UI·UX</x:v>
      </x:c>
      <x:c r="D35" s="36" t="str">
        <x:v>정상 시나리오: 밤 관찰 페이즈 UI</x:v>
      </x:c>
      <x:c r="E35" s="36" t="str">
        <x:v>대화 금지, 관찰 남은 시간, 투표 시작 예고를 표시하고 자신의 등 메모나 역할 추정에 연결되는 내부 정보를 노출하지 않는다.</x:v>
      </x:c>
      <x:c r="F35" s="36" t="str">
        <x:v>대상 기능이 포함된 MVP 빌드, 필요한 테스트 계정·룸 설정·로그 접근 권한을 준비한다.</x:v>
      </x:c>
      <x:c r="G35" s="36" t="str">
        <x:v>1. 사전 조건 상태를 구성한다.
2. 표준 설정에서 다음 테스트 대상을 실행한다: 밤 관찰 페이즈 UI.
3. UI, 서버 상태와 로그·텔레메트리를 확인한다.
4. 필요하면 재입장 또는 재실행하여 재현성을 확인한다.</x:v>
      </x:c>
      <x:c r="H35" s="36" t="str">
        <x:v>대화 금지, 관찰 남은 시간, 투표 시작 예고를 표시하고 자신의 등 메모나 역할 추정에 연결되는 내부 정보를 노출하지 않는다.</x:v>
      </x:c>
      <x:c r="I35" s="36" t="str">
        <x:v>보안</x:v>
      </x:c>
      <x:c r="J35" s="36" t="str">
        <x:v>P0</x:v>
      </x:c>
      <x:c r="K35" s="36" t="str">
        <x:v>전체</x:v>
      </x:c>
      <x:c r="L35" s="36" t="str">
        <x:v>부분</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TC-UIX-018-02</x:v>
      </x:c>
      <x:c r="B36" s="36" t="str">
        <x:v>UIX-018</x:v>
      </x:c>
      <x:c r="C36" s="36" t="str">
        <x:v>UI·UX</x:v>
      </x:c>
      <x:c r="D36" s="36" t="str">
        <x:v>예외·경계 시나리오: 밤 관찰 페이즈 UI</x:v>
      </x:c>
      <x:c r="E36" s="36" t="str">
        <x:v>허용되지 않은 상태, 잘못된 값, 중복, 만료, 권한 부족, 연결 끊김 입력으로 데이터 손상·정보 유출·클라이언트 상태 분기가 발생하지 않는지 확인한다.</x:v>
      </x:c>
      <x:c r="F36" s="36" t="str">
        <x:v>대상 기능이 포함된 MVP 빌드와 디버그 입력, 네트워크 열화, 비정상 요청 재현 수단을 준비한다.</x:v>
      </x:c>
      <x:c r="G36" s="36" t="str">
        <x:v>1. 허용되지 않은 페이즈 또는 경계값 조건을 구성한다.
2. 밤 관찰 페이즈 UI에 대해 중복·무효·지연·연결 끊김을 포함한 요청을 전송한다.
3. 서버 거부, 롤백, 오류 표시와 감사 로그를 확인한다.
4. 모든 클라이언트의 상태가 일치하는지 확인한다.</x:v>
      </x:c>
      <x:c r="H36" s="36" t="str">
        <x:v>요청은 사양에 따라 거부되거나 안전하게 복구되며, 중복 반영, 데이터 손실, 정보 유출 또는 진행 중단이 발생하지 않는다. 오류와 상관관계 ID가 기록된다.</x:v>
      </x:c>
      <x:c r="I36" s="36" t="str">
        <x:v>보안</x:v>
      </x:c>
      <x:c r="J36" s="36" t="str">
        <x:v>P0</x:v>
      </x:c>
      <x:c r="K36" s="36" t="str">
        <x:v>전체</x:v>
      </x:c>
      <x:c r="L36" s="36" t="str">
        <x:v>부분</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TC-UIX-019-01</x:v>
      </x:c>
      <x:c r="B37" s="36" t="str">
        <x:v>UIX-019</x:v>
      </x:c>
      <x:c r="C37" s="36" t="str">
        <x:v>UI·UX</x:v>
      </x:c>
      <x:c r="D37" s="36" t="str">
        <x:v>정상 시나리오: 밤 강제 투표 UI</x:v>
      </x:c>
      <x:c r="E37" s="36" t="str">
        <x:v>생존자 1명만 선택하게 하고 확정 전 확인, 확정 완료, 마감, 미투표 규칙을 명시한다. 스킵 항목은 표시하지 않는다.</x:v>
      </x:c>
      <x:c r="F37" s="36" t="str">
        <x:v>대상 기능이 포함된 MVP 빌드, 필요한 테스트 계정·룸 설정·로그 접근 권한을 준비한다.</x:v>
      </x:c>
      <x:c r="G37" s="36" t="str">
        <x:v>1. 사전 조건 상태를 구성한다.
2. 표준 설정에서 다음 테스트 대상을 실행한다: 밤 강제 투표 UI.
3. UI, 서버 상태와 로그·텔레메트리를 확인한다.
4. 필요하면 재입장 또는 재실행하여 재현성을 확인한다.</x:v>
      </x:c>
      <x:c r="H37" s="36" t="str">
        <x:v>생존자 1명만 선택하게 하고 확정 전 확인, 확정 완료, 마감, 미투표 규칙을 명시한다. 스킵 항목은 표시하지 않는다.</x:v>
      </x:c>
      <x:c r="I37" s="36" t="str">
        <x:v>경계값</x:v>
      </x:c>
      <x:c r="J37" s="36" t="str">
        <x:v>P0</x:v>
      </x:c>
      <x:c r="K37" s="36" t="str">
        <x:v>전체</x:v>
      </x:c>
      <x:c r="L37" s="36" t="str">
        <x:v>부분</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TC-UIX-019-02</x:v>
      </x:c>
      <x:c r="B38" s="36" t="str">
        <x:v>UIX-019</x:v>
      </x:c>
      <x:c r="C38" s="36" t="str">
        <x:v>UI·UX</x:v>
      </x:c>
      <x:c r="D38" s="36" t="str">
        <x:v>예외·경계 시나리오: 밤 강제 투표 UI</x:v>
      </x:c>
      <x:c r="E38" s="36" t="str">
        <x:v>허용되지 않은 상태, 잘못된 값, 중복, 만료, 권한 부족, 연결 끊김 입력으로 데이터 손상·정보 유출·클라이언트 상태 분기가 발생하지 않는지 확인한다.</x:v>
      </x:c>
      <x:c r="F38" s="36" t="str">
        <x:v>대상 기능이 포함된 MVP 빌드와 디버그 입력, 네트워크 열화, 비정상 요청 재현 수단을 준비한다.</x:v>
      </x:c>
      <x:c r="G38" s="36" t="str">
        <x:v>1. 허용되지 않은 페이즈 또는 경계값 조건을 구성한다.
2. 밤 강제 투표 UI에 대해 중복·무효·지연·연결 끊김을 포함한 요청을 전송한다.
3. 서버 거부, 롤백, 오류 표시와 감사 로그를 확인한다.
4. 모든 클라이언트의 상태가 일치하는지 확인한다.</x:v>
      </x:c>
      <x:c r="H38" s="36" t="str">
        <x:v>요청은 사양에 따라 거부되거나 안전하게 복구되며, 중복 반영, 데이터 손실, 정보 유출 또는 진행 중단이 발생하지 않는다. 오류와 상관관계 ID가 기록된다.</x:v>
      </x:c>
      <x:c r="I38" s="36" t="str">
        <x:v>경계값</x:v>
      </x:c>
      <x:c r="J38" s="36" t="str">
        <x:v>P0</x:v>
      </x:c>
      <x:c r="K38" s="36" t="str">
        <x:v>전체</x:v>
      </x:c>
      <x:c r="L38" s="36" t="str">
        <x:v>부분</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TC-UIX-020-01</x:v>
      </x:c>
      <x:c r="B39" s="36" t="str">
        <x:v>UIX-020</x:v>
      </x:c>
      <x:c r="C39" s="36" t="str">
        <x:v>UI·UX</x:v>
      </x:c>
      <x:c r="D39" s="36" t="str">
        <x:v>정상 시나리오: 추방 결과·역할 공개 정책 표시</x:v>
      </x:c>
      <x:c r="E39" s="36" t="str">
        <x:v>최다 득표자, 동률 처리, 탈락 결과를 정해진 시간 동안 표시하고 역할 공개 설정이 꺼진 경우 역할을 추정할 수 있는 시각적 차이를 만들지 않는다.</x:v>
      </x:c>
      <x:c r="F39" s="36" t="str">
        <x:v>대상 기능이 포함된 MVP 빌드, 필요한 테스트 계정·룸 설정·로그 접근 권한을 준비한다.</x:v>
      </x:c>
      <x:c r="G39" s="36" t="str">
        <x:v>1. 사전 조건 상태를 구성한다.
2. 표준 설정에서 다음 테스트 대상을 실행한다: 추방 결과·역할 공개 정책 표시.
3. UI, 서버 상태와 로그·텔레메트리를 확인한다.
4. 필요하면 재입장 또는 재실행하여 재현성을 확인한다.</x:v>
      </x:c>
      <x:c r="H39" s="36" t="str">
        <x:v>최다 득표자, 동률 처리, 탈락 결과를 정해진 시간 동안 표시하고 역할 공개 설정이 꺼진 경우 역할을 추정할 수 있는 시각적 차이를 만들지 않는다.</x:v>
      </x:c>
      <x:c r="I39" s="36" t="str">
        <x:v>보안</x:v>
      </x:c>
      <x:c r="J39" s="36" t="str">
        <x:v>P0</x:v>
      </x:c>
      <x:c r="K39" s="36" t="str">
        <x:v>전체</x:v>
      </x:c>
      <x:c r="L39" s="36" t="str">
        <x:v>부분</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TC-UIX-020-02</x:v>
      </x:c>
      <x:c r="B40" s="36" t="str">
        <x:v>UIX-020</x:v>
      </x:c>
      <x:c r="C40" s="36" t="str">
        <x:v>UI·UX</x:v>
      </x:c>
      <x:c r="D40" s="36" t="str">
        <x:v>예외·경계 시나리오: 추방 결과·역할 공개 정책 표시</x:v>
      </x:c>
      <x:c r="E40" s="36" t="str">
        <x:v>허용되지 않은 상태, 잘못된 값, 중복, 만료, 권한 부족, 연결 끊김 입력으로 데이터 손상·정보 유출·클라이언트 상태 분기가 발생하지 않는지 확인한다.</x:v>
      </x:c>
      <x:c r="F40" s="36" t="str">
        <x:v>대상 기능이 포함된 MVP 빌드와 디버그 입력, 네트워크 열화, 비정상 요청 재현 수단을 준비한다.</x:v>
      </x:c>
      <x:c r="G40" s="36" t="str">
        <x:v>1. 허용되지 않은 페이즈 또는 경계값 조건을 구성한다.
2. 추방 결과·역할 공개 정책 표시에 대해 중복·무효·지연·연결 끊김을 포함한 요청을 전송한다.
3. 서버 거부, 롤백, 오류 표시와 감사 로그를 확인한다.
4. 모든 클라이언트의 상태가 일치하는지 확인한다.</x:v>
      </x:c>
      <x:c r="H40" s="36" t="str">
        <x:v>요청은 사양에 따라 거부되거나 안전하게 복구되며, 중복 반영, 데이터 손실, 정보 유출 또는 진행 중단이 발생하지 않는다. 오류와 상관관계 ID가 기록된다.</x:v>
      </x:c>
      <x:c r="I40" s="36" t="str">
        <x:v>보안</x:v>
      </x:c>
      <x:c r="J40" s="36" t="str">
        <x:v>P0</x:v>
      </x:c>
      <x:c r="K40" s="36" t="str">
        <x:v>전체</x:v>
      </x:c>
      <x:c r="L40" s="36" t="str">
        <x:v>부분</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TC-UIX-021-01</x:v>
      </x:c>
      <x:c r="B41" s="36" t="str">
        <x:v>UIX-021</x:v>
      </x:c>
      <x:c r="C41" s="36" t="str">
        <x:v>UI·UX</x:v>
      </x:c>
      <x:c r="D41" s="36" t="str">
        <x:v>정상 시나리오: 최종 재판 메모 이력 화면</x:v>
      </x:c>
      <x:c r="E41" s="36" t="str">
        <x:v>대상, 표시 색상, 내용, 부착 순서만 시간 흐름에 따라 볼 수 있고 실제 작성자, 부착자, 위조 여부, 정확한 시각 관련 열이나 툴팁은 제공하지 않는다.</x:v>
      </x:c>
      <x:c r="F41" s="36" t="str">
        <x:v>대상 기능이 포함된 MVP 빌드, 필요한 테스트 계정·룸 설정·로그 접근 권한을 준비한다.</x:v>
      </x:c>
      <x:c r="G41" s="36" t="str">
        <x:v>1. 사전 조건 상태를 구성한다.
2. 표준 설정에서 다음 테스트 대상을 실행한다: 최종 재판 메모 이력 화면.
3. UI, 서버 상태와 로그·텔레메트리를 확인한다.
4. 필요하면 재입장 또는 재실행하여 재현성을 확인한다.</x:v>
      </x:c>
      <x:c r="H41" s="36" t="str">
        <x:v>대상, 표시 색상, 내용, 부착 순서만 시간 흐름에 따라 볼 수 있고 실제 작성자, 부착자, 위조 여부, 정확한 시각 관련 열이나 툴팁은 제공하지 않는다.</x:v>
      </x:c>
      <x:c r="I41" s="36" t="str">
        <x:v>보안</x:v>
      </x:c>
      <x:c r="J41" s="36" t="str">
        <x:v>P0</x:v>
      </x:c>
      <x:c r="K41" s="36" t="str">
        <x:v>전체</x:v>
      </x:c>
      <x:c r="L41" s="36" t="str">
        <x:v>부분</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TC-UIX-021-02</x:v>
      </x:c>
      <x:c r="B42" s="36" t="str">
        <x:v>UIX-021</x:v>
      </x:c>
      <x:c r="C42" s="36" t="str">
        <x:v>UI·UX</x:v>
      </x:c>
      <x:c r="D42" s="36" t="str">
        <x:v>예외·경계 시나리오: 최종 재판 메모 이력 화면</x:v>
      </x:c>
      <x:c r="E42" s="36" t="str">
        <x:v>허용되지 않은 상태, 잘못된 값, 중복, 만료, 권한 부족, 연결 끊김 입력으로 데이터 손상·정보 유출·클라이언트 상태 분기가 발생하지 않는지 확인한다.</x:v>
      </x:c>
      <x:c r="F42" s="36" t="str">
        <x:v>대상 기능이 포함된 MVP 빌드와 디버그 입력, 네트워크 열화, 비정상 요청 재현 수단을 준비한다.</x:v>
      </x:c>
      <x:c r="G42" s="36" t="str">
        <x:v>1. 허용되지 않은 페이즈 또는 경계값 조건을 구성한다.
2. 최종 재판 메모 이력 화면에 대해 중복·무효·지연·연결 끊김을 포함한 요청을 전송한다.
3. 서버 거부, 롤백, 오류 표시와 감사 로그를 확인한다.
4. 모든 클라이언트의 상태가 일치하는지 확인한다.</x:v>
      </x:c>
      <x:c r="H42" s="36" t="str">
        <x:v>요청은 사양에 따라 거부되거나 안전하게 복구되며, 중복 반영, 데이터 손실, 정보 유출 또는 진행 중단이 발생하지 않는다. 오류와 상관관계 ID가 기록된다.</x:v>
      </x:c>
      <x:c r="I42" s="36" t="str">
        <x:v>보안</x:v>
      </x:c>
      <x:c r="J42" s="36" t="str">
        <x:v>P0</x:v>
      </x:c>
      <x:c r="K42" s="36" t="str">
        <x:v>전체</x:v>
      </x:c>
      <x:c r="L42" s="36" t="str">
        <x:v>부분</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TC-UIX-022-01</x:v>
      </x:c>
      <x:c r="B43" s="36" t="str">
        <x:v>UIX-022</x:v>
      </x:c>
      <x:c r="C43" s="36" t="str">
        <x:v>UI·UX</x:v>
      </x:c>
      <x:c r="D43" s="36" t="str">
        <x:v>정상 시나리오: 최종 발언 순서·남은 시간 UI</x:v>
      </x:c>
      <x:c r="E43" s="36" t="str">
        <x:v>현재 발언자, 남은 시간, 대기 순서를 표시하고 비발언자에게 마이크 차단 상태를 알린다. 발언 완료자는 발언권을 다시 받을 수 없다.</x:v>
      </x:c>
      <x:c r="F43" s="36" t="str">
        <x:v>대상 기능이 포함된 MVP 빌드, 필요한 테스트 계정·룸 설정·로그 접근 권한을 준비한다.</x:v>
      </x:c>
      <x:c r="G43" s="36" t="str">
        <x:v>1. 사전 조건 상태를 구성한다.
2. 표준 설정에서 다음 테스트 대상을 실행한다: 최종 발언 순서·남은 시간 UI.
3. UI, 서버 상태와 로그·텔레메트리를 확인한다.
4. 필요하면 재입장 또는 재실행하여 재현성을 확인한다.</x:v>
      </x:c>
      <x:c r="H43" s="36" t="str">
        <x:v>현재 발언자, 남은 시간, 대기 순서를 표시하고 비발언자에게 마이크 차단 상태를 알린다. 발언 완료자는 발언권을 다시 받을 수 없다.</x:v>
      </x:c>
      <x:c r="I43" s="36" t="str">
        <x:v>통합</x:v>
      </x:c>
      <x:c r="J43" s="36" t="str">
        <x:v>P0</x:v>
      </x:c>
      <x:c r="K43" s="36" t="str">
        <x:v>전체</x:v>
      </x:c>
      <x:c r="L43" s="36" t="str">
        <x:v>부분</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TC-UIX-022-02</x:v>
      </x:c>
      <x:c r="B44" s="36" t="str">
        <x:v>UIX-022</x:v>
      </x:c>
      <x:c r="C44" s="36" t="str">
        <x:v>UI·UX</x:v>
      </x:c>
      <x:c r="D44" s="36" t="str">
        <x:v>예외·경계 시나리오: 최종 발언 순서·남은 시간 UI</x:v>
      </x:c>
      <x:c r="E44" s="36" t="str">
        <x:v>허용되지 않은 상태, 잘못된 값, 중복, 만료, 권한 부족, 연결 끊김 입력으로 데이터 손상·정보 유출·클라이언트 상태 분기가 발생하지 않는지 확인한다.</x:v>
      </x:c>
      <x:c r="F44" s="36" t="str">
        <x:v>대상 기능이 포함된 MVP 빌드와 디버그 입력, 네트워크 열화, 비정상 요청 재현 수단을 준비한다.</x:v>
      </x:c>
      <x:c r="G44" s="36" t="str">
        <x:v>1. 허용되지 않은 페이즈 또는 경계값 조건을 구성한다.
2. 최종 발언 순서·남은 시간 UI에 대해 중복·무효·지연·연결 끊김을 포함한 요청을 전송한다.
3. 서버 거부, 롤백, 오류 표시와 감사 로그를 확인한다.
4. 모든 클라이언트의 상태가 일치하는지 확인한다.</x:v>
      </x:c>
      <x:c r="H44" s="36" t="str">
        <x:v>요청은 사양에 따라 거부되거나 안전하게 복구되며, 중복 반영, 데이터 손실, 정보 유출 또는 진행 중단이 발생하지 않는다. 오류와 상관관계 ID가 기록된다.</x:v>
      </x:c>
      <x:c r="I44" s="36" t="str">
        <x:v>통합</x:v>
      </x:c>
      <x:c r="J44" s="36" t="str">
        <x:v>P0</x:v>
      </x:c>
      <x:c r="K44" s="36" t="str">
        <x:v>전체</x:v>
      </x:c>
      <x:c r="L44" s="36" t="str">
        <x:v>부분</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TC-UIX-023-01</x:v>
      </x:c>
      <x:c r="B45" s="36" t="str">
        <x:v>UIX-023</x:v>
      </x:c>
      <x:c r="C45" s="36" t="str">
        <x:v>UI·UX</x:v>
      </x:c>
      <x:c r="D45" s="36" t="str">
        <x:v>정상 시나리오: 최종 투표 UI</x:v>
      </x:c>
      <x:c r="E45" s="36" t="str">
        <x:v>모든 최종 발언이 끝난 뒤에만 활성화되고 생존자 1명에게 투표할 수 있다. 일반 밤 투표와 최종 투표의 결과 표기를 혼동하지 않는다.</x:v>
      </x:c>
      <x:c r="F45" s="36" t="str">
        <x:v>대상 기능이 포함된 MVP 빌드, 필요한 테스트 계정·룸 설정·로그 접근 권한을 준비한다.</x:v>
      </x:c>
      <x:c r="G45" s="36" t="str">
        <x:v>1. 사전 조건 상태를 구성한다.
2. 표준 설정에서 다음 테스트 대상을 실행한다: 최종 투표 UI.
3. UI, 서버 상태와 로그·텔레메트리를 확인한다.
4. 필요하면 재입장 또는 재실행하여 재현성을 확인한다.</x:v>
      </x:c>
      <x:c r="H45" s="36" t="str">
        <x:v>모든 최종 발언이 끝난 뒤에만 활성화되고 생존자 1명에게 투표할 수 있다. 일반 밤 투표와 최종 투표의 결과 표기를 혼동하지 않는다.</x:v>
      </x:c>
      <x:c r="I45" s="36" t="str">
        <x:v>경계값</x:v>
      </x:c>
      <x:c r="J45" s="36" t="str">
        <x:v>P0</x:v>
      </x:c>
      <x:c r="K45" s="36" t="str">
        <x:v>전체</x:v>
      </x:c>
      <x:c r="L45" s="36" t="str">
        <x:v>부분</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TC-UIX-023-02</x:v>
      </x:c>
      <x:c r="B46" s="36" t="str">
        <x:v>UIX-023</x:v>
      </x:c>
      <x:c r="C46" s="36" t="str">
        <x:v>UI·UX</x:v>
      </x:c>
      <x:c r="D46" s="36" t="str">
        <x:v>예외·경계 시나리오: 최종 투표 UI</x:v>
      </x:c>
      <x:c r="E46" s="36" t="str">
        <x:v>허용되지 않은 상태, 잘못된 값, 중복, 만료, 권한 부족, 연결 끊김 입력으로 데이터 손상·정보 유출·클라이언트 상태 분기가 발생하지 않는지 확인한다.</x:v>
      </x:c>
      <x:c r="F46" s="36" t="str">
        <x:v>대상 기능이 포함된 MVP 빌드와 디버그 입력, 네트워크 열화, 비정상 요청 재현 수단을 준비한다.</x:v>
      </x:c>
      <x:c r="G46" s="36" t="str">
        <x:v>1. 허용되지 않은 페이즈 또는 경계값 조건을 구성한다.
2. 최종 투표 UI에 대해 중복·무효·지연·연결 끊김을 포함한 요청을 전송한다.
3. 서버 거부, 롤백, 오류 표시와 감사 로그를 확인한다.
4. 모든 클라이언트의 상태가 일치하는지 확인한다.</x:v>
      </x:c>
      <x:c r="H46" s="36" t="str">
        <x:v>요청은 사양에 따라 거부되거나 안전하게 복구되며, 중복 반영, 데이터 손실, 정보 유출 또는 진행 중단이 발생하지 않는다. 오류와 상관관계 ID가 기록된다.</x:v>
      </x:c>
      <x:c r="I46" s="36" t="str">
        <x:v>경계값</x:v>
      </x:c>
      <x:c r="J46" s="36" t="str">
        <x:v>P0</x:v>
      </x:c>
      <x:c r="K46" s="36" t="str">
        <x:v>전체</x:v>
      </x:c>
      <x:c r="L46" s="36" t="str">
        <x:v>부분</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TC-UIX-024-01</x:v>
      </x:c>
      <x:c r="B47" s="36" t="str">
        <x:v>UIX-024</x:v>
      </x:c>
      <x:c r="C47" s="36" t="str">
        <x:v>UI·UX</x:v>
      </x:c>
      <x:c r="D47" s="36" t="str">
        <x:v>정상 시나리오: 승패·역할·주요 이력 결과 화면</x:v>
      </x:c>
      <x:c r="E47" s="36" t="str">
        <x:v>승리 진영, 각 플레이어의 역할, 게임 시간, 투표 경과, 재대결·로비 나가기 동선을 표시하며 비공개 데이터는 경기 종료 후 공개 정책을 따른다.</x:v>
      </x:c>
      <x:c r="F47" s="36" t="str">
        <x:v>대상 기능이 포함된 MVP 빌드, 필요한 테스트 계정·룸 설정·로그 접근 권한을 준비한다.</x:v>
      </x:c>
      <x:c r="G47" s="36" t="str">
        <x:v>1. 사전 조건 상태를 구성한다.
2. 표준 설정에서 다음 테스트 대상을 실행한다: 승패·역할·주요 이력 결과 화면.
3. UI, 서버 상태와 로그·텔레메트리를 확인한다.
4. 필요하면 재입장 또는 재실행하여 재현성을 확인한다.</x:v>
      </x:c>
      <x:c r="H47" s="36" t="str">
        <x:v>승리 진영, 각 플레이어의 역할, 게임 시간, 투표 경과, 재대결·로비 나가기 동선을 표시하며 비공개 데이터는 경기 종료 후 공개 정책을 따른다.</x:v>
      </x:c>
      <x:c r="I47" s="36" t="str">
        <x:v>통합</x:v>
      </x:c>
      <x:c r="J47" s="36" t="str">
        <x:v>P0</x:v>
      </x:c>
      <x:c r="K47" s="36" t="str">
        <x:v>전체</x:v>
      </x:c>
      <x:c r="L47" s="36" t="str">
        <x:v>부분</x:v>
      </x:c>
      <x:c r="M47" s="36" t="str">
        <x:v>미실시</x:v>
      </x:c>
      <x:c r="N47" s="36" t="str">
        <x:v>미정</x:v>
      </x:c>
      <x:c r="O47" s="36" t="str">
        <x:v>미정</x:v>
      </x:c>
      <x:c r="P47" s="36"/>
      <x:c r="Q47" s="36"/>
      <x:c r="R47" s="44" t="str">
        <x:v>2026-07-10</x:v>
      </x:c>
      <x:c r="S47" s="36"/>
      <x:c r="T47" s="54"/>
      <x:c r="U47" s="54"/>
      <x:c r="V47" s="53" t="str">
        <x:v>착수 전</x:v>
      </x:c>
    </x:row>
    <x:row r="48" ht="42" customHeight="1">
      <x:c r="A48" s="36" t="str">
        <x:v>TC-UIX-024-02</x:v>
      </x:c>
      <x:c r="B48" s="36" t="str">
        <x:v>UIX-024</x:v>
      </x:c>
      <x:c r="C48" s="36" t="str">
        <x:v>UI·UX</x:v>
      </x:c>
      <x:c r="D48" s="36" t="str">
        <x:v>예외·경계 시나리오: 승패·역할·주요 이력 결과 화면</x:v>
      </x:c>
      <x:c r="E48" s="36" t="str">
        <x:v>허용되지 않은 상태, 잘못된 값, 중복, 만료, 권한 부족, 연결 끊김 입력으로 데이터 손상·정보 유출·클라이언트 상태 분기가 발생하지 않는지 확인한다.</x:v>
      </x:c>
      <x:c r="F48" s="36" t="str">
        <x:v>대상 기능이 포함된 MVP 빌드와 디버그 입력, 네트워크 열화, 비정상 요청 재현 수단을 준비한다.</x:v>
      </x:c>
      <x:c r="G48" s="36" t="str">
        <x:v>1. 허용되지 않은 페이즈 또는 경계값 조건을 구성한다.
2. 승패·역할·주요 이력 결과 화면에 대해 중복·무효·지연·연결 끊김을 포함한 요청을 전송한다.
3. 서버 거부, 롤백, 오류 표시와 감사 로그를 확인한다.
4. 모든 클라이언트의 상태가 일치하는지 확인한다.</x:v>
      </x:c>
      <x:c r="H48" s="36" t="str">
        <x:v>요청은 사양에 따라 거부되거나 안전하게 복구되며, 중복 반영, 데이터 손실, 정보 유출 또는 진행 중단이 발생하지 않는다. 오류와 상관관계 ID가 기록된다.</x:v>
      </x:c>
      <x:c r="I48" s="36" t="str">
        <x:v>통합</x:v>
      </x:c>
      <x:c r="J48" s="36" t="str">
        <x:v>P0</x:v>
      </x:c>
      <x:c r="K48" s="36" t="str">
        <x:v>전체</x:v>
      </x:c>
      <x:c r="L48" s="36" t="str">
        <x:v>부분</x:v>
      </x:c>
      <x:c r="M48" s="36" t="str">
        <x:v>미실시</x:v>
      </x:c>
      <x:c r="N48" s="36" t="str">
        <x:v>미정</x:v>
      </x:c>
      <x:c r="O48" s="36" t="str">
        <x:v>미정</x:v>
      </x:c>
      <x:c r="P48" s="36"/>
      <x:c r="Q48" s="36"/>
      <x:c r="R48" s="44" t="str">
        <x:v>2026-07-10</x:v>
      </x:c>
      <x:c r="S48" s="36"/>
      <x:c r="T48" s="54"/>
      <x:c r="U48" s="54"/>
      <x:c r="V48" s="53" t="str">
        <x:v>착수 전</x:v>
      </x:c>
    </x:row>
    <x:row r="49" ht="42" customHeight="1">
      <x:c r="A49" s="36" t="str">
        <x:v>TC-UIX-025-01</x:v>
      </x:c>
      <x:c r="B49" s="36" t="str">
        <x:v>UIX-025</x:v>
      </x:c>
      <x:c r="C49" s="36" t="str">
        <x:v>UI·UX</x:v>
      </x:c>
      <x:c r="D49" s="36" t="str">
        <x:v>정상 시나리오: 연결 끊김·재접속·복원 UI</x:v>
      </x:c>
      <x:c r="E49" s="36" t="str">
        <x:v>연결 끊김 감지, 재시도, 남은 유예 시간, 복원 중, 실패 사유, 로비 복귀를 구분해 표시하고 복원 완료 전에는 게임 조작을 받지 않는다.</x:v>
      </x:c>
      <x:c r="F49" s="36" t="str">
        <x:v>대상 기능이 포함된 알파 빌드, 필요한 테스트 계정·룸 설정·로그 접근 권한을 준비한다.</x:v>
      </x:c>
      <x:c r="G49" s="36" t="str">
        <x:v>1. 사전 조건 상태를 구성한다.
2. 표준 설정에서 다음 테스트 대상을 실행한다: 연결 끊김·재접속·복원 UI.
3. UI, 서버 상태와 로그·텔레메트리를 확인한다.
4. 필요하면 재입장 또는 재실행하여 재현성을 확인한다.</x:v>
      </x:c>
      <x:c r="H49" s="36" t="str">
        <x:v>연결 끊김 감지, 재시도, 남은 유예 시간, 복원 중, 실패 사유, 로비 복귀를 구분해 표시하고 복원 완료 전에는 게임 조작을 받지 않는다.</x:v>
      </x:c>
      <x:c r="I49" s="36" t="str">
        <x:v>네트워크</x:v>
      </x:c>
      <x:c r="J49" s="36" t="str">
        <x:v>P0</x:v>
      </x:c>
      <x:c r="K49" s="36" t="str">
        <x:v>전체</x:v>
      </x:c>
      <x:c r="L49" s="36" t="str">
        <x:v>부분</x:v>
      </x:c>
      <x:c r="M49" s="36" t="str">
        <x:v>미실시</x:v>
      </x:c>
      <x:c r="N49" s="36" t="str">
        <x:v>미정</x:v>
      </x:c>
      <x:c r="O49" s="36" t="str">
        <x:v>미정</x:v>
      </x:c>
      <x:c r="P49" s="36"/>
      <x:c r="Q49" s="36"/>
      <x:c r="R49" s="44" t="str">
        <x:v>2026-07-10</x:v>
      </x:c>
      <x:c r="S49" s="36"/>
      <x:c r="T49" s="54"/>
      <x:c r="U49" s="54"/>
      <x:c r="V49" s="53" t="str">
        <x:v>착수 전</x:v>
      </x:c>
    </x:row>
    <x:row r="50" ht="42" customHeight="1">
      <x:c r="A50" s="36" t="str">
        <x:v>TC-UIX-025-02</x:v>
      </x:c>
      <x:c r="B50" s="36" t="str">
        <x:v>UIX-025</x:v>
      </x:c>
      <x:c r="C50" s="36" t="str">
        <x:v>UI·UX</x:v>
      </x:c>
      <x:c r="D50" s="36" t="str">
        <x:v>예외·경계 시나리오: 연결 끊김·재접속·복원 UI</x:v>
      </x:c>
      <x:c r="E50" s="36" t="str">
        <x:v>허용되지 않은 상태, 잘못된 값, 중복, 만료, 권한 부족, 연결 끊김 입력으로 데이터 손상·정보 유출·클라이언트 상태 분기가 발생하지 않는지 확인한다.</x:v>
      </x:c>
      <x:c r="F50" s="36" t="str">
        <x:v>대상 기능이 포함된 알파 빌드와 디버그 입력, 네트워크 열화, 비정상 요청 재현 수단을 준비한다.</x:v>
      </x:c>
      <x:c r="G50" s="36" t="str">
        <x:v>1. 허용되지 않은 페이즈 또는 경계값 조건을 구성한다.
2. 연결 끊김·재접속·복원 UI에 대해 중복·무효·지연·연결 끊김을 포함한 요청을 전송한다.
3. 서버 거부, 롤백, 오류 표시와 감사 로그를 확인한다.
4. 모든 클라이언트의 상태가 일치하는지 확인한다.</x:v>
      </x:c>
      <x:c r="H50" s="36" t="str">
        <x:v>요청은 사양에 따라 거부되거나 안전하게 복구되며, 중복 반영, 데이터 손실, 정보 유출 또는 진행 중단이 발생하지 않는다. 오류와 상관관계 ID가 기록된다.</x:v>
      </x:c>
      <x:c r="I50" s="36" t="str">
        <x:v>네트워크</x:v>
      </x:c>
      <x:c r="J50" s="36" t="str">
        <x:v>P0</x:v>
      </x:c>
      <x:c r="K50" s="36" t="str">
        <x:v>전체</x:v>
      </x:c>
      <x:c r="L50" s="36" t="str">
        <x:v>부분</x:v>
      </x:c>
      <x:c r="M50" s="36" t="str">
        <x:v>미실시</x:v>
      </x:c>
      <x:c r="N50" s="36" t="str">
        <x:v>미정</x:v>
      </x:c>
      <x:c r="O50" s="36" t="str">
        <x:v>미정</x:v>
      </x:c>
      <x:c r="P50" s="36"/>
      <x:c r="Q50" s="36"/>
      <x:c r="R50" s="44" t="str">
        <x:v>2026-07-10</x:v>
      </x:c>
      <x:c r="S50" s="36"/>
      <x:c r="T50" s="54"/>
      <x:c r="U50" s="54"/>
      <x:c r="V50" s="53" t="str">
        <x:v>착수 전</x:v>
      </x:c>
    </x:row>
    <x:row r="51" ht="42" customHeight="1">
      <x:c r="A51" s="36" t="str">
        <x:v>TC-UIX-026-01</x:v>
      </x:c>
      <x:c r="B51" s="36" t="str">
        <x:v>UIX-026</x:v>
      </x:c>
      <x:c r="C51" s="36" t="str">
        <x:v>UI·UX</x:v>
      </x:c>
      <x:c r="D51" s="36" t="str">
        <x:v>정상 시나리오: 사용자용 오류 코드·복구 동선</x:v>
      </x:c>
      <x:c r="E51" s="36" t="str">
        <x:v>온라인, 설정, 메모, 투표, 음성의 대표 오류를 원인별로 표시하고 재시도, 설정 변경, 지원 코드 확인 경로를 제공한다.</x:v>
      </x:c>
      <x:c r="F51" s="36" t="str">
        <x:v>대상 기능이 포함된 알파 빌드, 필요한 테스트 계정·룸 설정·로그 접근 권한을 준비한다.</x:v>
      </x:c>
      <x:c r="G51" s="36" t="str">
        <x:v>1. 사전 조건 상태를 구성한다.
2. 표준 설정에서 다음 테스트 대상을 실행한다: 사용자용 오류 코드·복구 동선.
3. UI, 서버 상태와 로그·텔레메트리를 확인한다.
4. 필요하면 재입장 또는 재실행하여 재현성을 확인한다.</x:v>
      </x:c>
      <x:c r="H51" s="36" t="str">
        <x:v>온라인, 설정, 메모, 투표, 음성의 대표 오류를 원인별로 표시하고 재시도, 설정 변경, 지원 코드 확인 경로를 제공한다.</x:v>
      </x:c>
      <x:c r="I51" s="36" t="str">
        <x:v>운영</x:v>
      </x:c>
      <x:c r="J51" s="36" t="str">
        <x:v>P0</x:v>
      </x:c>
      <x:c r="K51" s="36" t="str">
        <x:v>전체</x:v>
      </x:c>
      <x:c r="L51" s="36" t="str">
        <x:v>부분</x:v>
      </x:c>
      <x:c r="M51" s="36" t="str">
        <x:v>미실시</x:v>
      </x:c>
      <x:c r="N51" s="36" t="str">
        <x:v>미정</x:v>
      </x:c>
      <x:c r="O51" s="36" t="str">
        <x:v>미정</x:v>
      </x:c>
      <x:c r="P51" s="36"/>
      <x:c r="Q51" s="36"/>
      <x:c r="R51" s="44" t="str">
        <x:v>2026-07-10</x:v>
      </x:c>
      <x:c r="S51" s="36"/>
      <x:c r="T51" s="54"/>
      <x:c r="U51" s="54"/>
      <x:c r="V51" s="53" t="str">
        <x:v>착수 전</x:v>
      </x:c>
    </x:row>
    <x:row r="52" ht="42" customHeight="1">
      <x:c r="A52" s="36" t="str">
        <x:v>TC-UIX-026-02</x:v>
      </x:c>
      <x:c r="B52" s="36" t="str">
        <x:v>UIX-026</x:v>
      </x:c>
      <x:c r="C52" s="36" t="str">
        <x:v>UI·UX</x:v>
      </x:c>
      <x:c r="D52" s="36" t="str">
        <x:v>예외·경계 시나리오: 사용자용 오류 코드·복구 동선</x:v>
      </x:c>
      <x:c r="E52" s="36" t="str">
        <x:v>허용되지 않은 상태, 잘못된 값, 중복, 만료, 권한 부족, 연결 끊김 입력으로 데이터 손상·정보 유출·클라이언트 상태 분기가 발생하지 않는지 확인한다.</x:v>
      </x:c>
      <x:c r="F52" s="36" t="str">
        <x:v>대상 기능이 포함된 알파 빌드와 디버그 입력, 네트워크 열화, 비정상 요청 재현 수단을 준비한다.</x:v>
      </x:c>
      <x:c r="G52" s="36" t="str">
        <x:v>1. 허용되지 않은 페이즈 또는 경계값 조건을 구성한다.
2. 사용자용 오류 코드·복구 동선에 대해 중복·무효·지연·연결 끊김을 포함한 요청을 전송한다.
3. 서버 거부, 롤백, 오류 표시와 감사 로그를 확인한다.
4. 모든 클라이언트의 상태가 일치하는지 확인한다.</x:v>
      </x:c>
      <x:c r="H52" s="36" t="str">
        <x:v>요청은 사양에 따라 거부되거나 안전하게 복구되며, 중복 반영, 데이터 손실, 정보 유출 또는 진행 중단이 발생하지 않는다. 오류와 상관관계 ID가 기록된다.</x:v>
      </x:c>
      <x:c r="I52" s="36" t="str">
        <x:v>운영</x:v>
      </x:c>
      <x:c r="J52" s="36" t="str">
        <x:v>P0</x:v>
      </x:c>
      <x:c r="K52" s="36" t="str">
        <x:v>전체</x:v>
      </x:c>
      <x:c r="L52" s="36" t="str">
        <x:v>부분</x:v>
      </x:c>
      <x:c r="M52" s="36" t="str">
        <x:v>미실시</x:v>
      </x:c>
      <x:c r="N52" s="36" t="str">
        <x:v>미정</x:v>
      </x:c>
      <x:c r="O52" s="36" t="str">
        <x:v>미정</x:v>
      </x:c>
      <x:c r="P52" s="36"/>
      <x:c r="Q52" s="36"/>
      <x:c r="R52" s="44" t="str">
        <x:v>2026-07-10</x:v>
      </x:c>
      <x:c r="S52" s="36"/>
      <x:c r="T52" s="54"/>
      <x:c r="U52" s="54"/>
      <x:c r="V52" s="53" t="str">
        <x:v>착수 전</x:v>
      </x:c>
    </x:row>
    <x:row r="53" ht="42" customHeight="1">
      <x:c r="A53" s="36" t="str">
        <x:v>TC-UIX-027-01</x:v>
      </x:c>
      <x:c r="B53" s="36" t="str">
        <x:v>UIX-027</x:v>
      </x:c>
      <x:c r="C53" s="36" t="str">
        <x:v>UI·UX</x:v>
      </x:c>
      <x:c r="D53" s="36" t="str">
        <x:v>정상 시나리오: 5분 이내 핵심 규칙 온보딩</x:v>
      </x:c>
      <x:c r="E53" s="36" t="str">
        <x:v>‘자신의 등은 볼 수 없음’, ‘색상은 위조 가능’, ‘밤에는 대화 불가’, ‘매일 밤 반드시 1명 투표’를 직접 조작하며 학습하고 건너뛰기와 재열람을 지원한다.</x:v>
      </x:c>
      <x:c r="F53" s="36" t="str">
        <x:v>대상 기능이 포함된 알파 빌드, 필요한 테스트 계정·룸 설정·로그 접근 권한을 준비한다.</x:v>
      </x:c>
      <x:c r="G53" s="36" t="str">
        <x:v>1. 사전 조건 상태를 구성한다.
2. 표준 설정에서 다음 테스트 대상을 실행한다: 5분 이내 핵심 규칙 온보딩.
3. UI, 서버 상태와 로그·텔레메트리를 확인한다.
4. 필요하면 재입장 또는 재실행하여 재현성을 확인한다.</x:v>
      </x:c>
      <x:c r="H53" s="36" t="str">
        <x:v>‘자신의 등은 볼 수 없음’, ‘색상은 위조 가능’, ‘밤에는 대화 불가’, ‘매일 밤 반드시 1명 투표’를 직접 조작하며 학습하고 건너뛰기와 재열람을 지원한다.</x:v>
      </x:c>
      <x:c r="I53" s="36" t="str">
        <x:v>사용성</x:v>
      </x:c>
      <x:c r="J53" s="36" t="str">
        <x:v>P0</x:v>
      </x:c>
      <x:c r="K53" s="36" t="str">
        <x:v>전체</x:v>
      </x:c>
      <x:c r="L53" s="36" t="str">
        <x:v>부분</x:v>
      </x:c>
      <x:c r="M53" s="36" t="str">
        <x:v>미실시</x:v>
      </x:c>
      <x:c r="N53" s="36" t="str">
        <x:v>미정</x:v>
      </x:c>
      <x:c r="O53" s="36" t="str">
        <x:v>미정</x:v>
      </x:c>
      <x:c r="P53" s="36"/>
      <x:c r="Q53" s="36"/>
      <x:c r="R53" s="44" t="str">
        <x:v>2026-07-10</x:v>
      </x:c>
      <x:c r="S53" s="36"/>
      <x:c r="T53" s="54"/>
      <x:c r="U53" s="54"/>
      <x:c r="V53" s="53" t="str">
        <x:v>착수 전</x:v>
      </x:c>
    </x:row>
    <x:row r="54" ht="42" customHeight="1">
      <x:c r="A54" s="36" t="str">
        <x:v>TC-UIX-027-02</x:v>
      </x:c>
      <x:c r="B54" s="36" t="str">
        <x:v>UIX-027</x:v>
      </x:c>
      <x:c r="C54" s="36" t="str">
        <x:v>UI·UX</x:v>
      </x:c>
      <x:c r="D54" s="36" t="str">
        <x:v>예외·경계 시나리오: 5분 이내 핵심 규칙 온보딩</x:v>
      </x:c>
      <x:c r="E54" s="36" t="str">
        <x:v>허용되지 않은 상태, 잘못된 값, 중복, 만료, 권한 부족, 연결 끊김 입력으로 데이터 손상·정보 유출·클라이언트 상태 분기가 발생하지 않는지 확인한다.</x:v>
      </x:c>
      <x:c r="F54" s="36" t="str">
        <x:v>대상 기능이 포함된 알파 빌드와 디버그 입력, 네트워크 열화, 비정상 요청 재현 수단을 준비한다.</x:v>
      </x:c>
      <x:c r="G54" s="36" t="str">
        <x:v>1. 허용되지 않은 페이즈 또는 경계값 조건을 구성한다.
2. 5분 이내 핵심 규칙 온보딩에 대해 중복·무효·지연·연결 끊김을 포함한 요청을 전송한다.
3. 서버 거부, 롤백, 오류 표시와 감사 로그를 확인한다.
4. 모든 클라이언트의 상태가 일치하는지 확인한다.</x:v>
      </x:c>
      <x:c r="H54" s="36" t="str">
        <x:v>요청은 사양에 따라 거부되거나 안전하게 복구되며, 중복 반영, 데이터 손실, 정보 유출 또는 진행 중단이 발생하지 않는다. 오류와 상관관계 ID가 기록된다.</x:v>
      </x:c>
      <x:c r="I54" s="36" t="str">
        <x:v>사용성</x:v>
      </x:c>
      <x:c r="J54" s="36" t="str">
        <x:v>P0</x:v>
      </x:c>
      <x:c r="K54" s="36" t="str">
        <x:v>전체</x:v>
      </x:c>
      <x:c r="L54" s="36" t="str">
        <x:v>부분</x:v>
      </x:c>
      <x:c r="M54" s="36" t="str">
        <x:v>미실시</x:v>
      </x:c>
      <x:c r="N54" s="36" t="str">
        <x:v>미정</x:v>
      </x:c>
      <x:c r="O54" s="36" t="str">
        <x:v>미정</x:v>
      </x:c>
      <x:c r="P54" s="36"/>
      <x:c r="Q54" s="36"/>
      <x:c r="R54" s="44" t="str">
        <x:v>2026-07-10</x:v>
      </x:c>
      <x:c r="S54" s="36"/>
      <x:c r="T54" s="54"/>
      <x:c r="U54" s="54"/>
      <x:c r="V54" s="53" t="str">
        <x:v>착수 전</x:v>
      </x:c>
    </x:row>
    <x:row r="55" ht="42" customHeight="1">
      <x:c r="A55" s="36" t="str">
        <x:v>TC-UIX-028-01</x:v>
      </x:c>
      <x:c r="B55" s="36" t="str">
        <x:v>UIX-028</x:v>
      </x:c>
      <x:c r="C55" s="36" t="str">
        <x:v>UI·UX</x:v>
      </x:c>
      <x:c r="D55" s="36" t="str">
        <x:v>정상 시나리오: 색각 보조 패턴·아이콘 적용</x:v>
      </x:c>
      <x:c r="E55" s="36" t="str">
        <x:v>플레이어 색상과 메모 색상에 형태, 패턴, 기호를 함께 표시해 색상만으로 중요한 판단을 요구하는 화면이 없도록 한다.</x:v>
      </x:c>
      <x:c r="F55" s="36" t="str">
        <x:v>대상 기능이 포함된 베타 빌드, 필요한 테스트 계정·룸 설정·로그 접근 권한을 준비한다.</x:v>
      </x:c>
      <x:c r="G55" s="36" t="str">
        <x:v>1. 사전 조건 상태를 구성한다.
2. 표준 설정에서 다음 테스트 대상을 실행한다: 색각 보조 패턴·아이콘 적용.
3. UI, 서버 상태와 로그·텔레메트리를 확인한다.
4. 필요하면 재입장 또는 재실행하여 재현성을 확인한다.</x:v>
      </x:c>
      <x:c r="H55" s="36" t="str">
        <x:v>플레이어 색상과 메모 색상에 형태, 패턴, 기호를 함께 표시해 색상만으로 중요한 판단을 요구하는 화면이 없도록 한다.</x:v>
      </x:c>
      <x:c r="I55" s="36" t="str">
        <x:v>접근성</x:v>
      </x:c>
      <x:c r="J55" s="36" t="str">
        <x:v>P0</x:v>
      </x:c>
      <x:c r="K55" s="36" t="str">
        <x:v>전체</x:v>
      </x:c>
      <x:c r="L55" s="36" t="str">
        <x:v>부분</x:v>
      </x:c>
      <x:c r="M55" s="36" t="str">
        <x:v>미실시</x:v>
      </x:c>
      <x:c r="N55" s="36" t="str">
        <x:v>미정</x:v>
      </x:c>
      <x:c r="O55" s="36" t="str">
        <x:v>미정</x:v>
      </x:c>
      <x:c r="P55" s="36"/>
      <x:c r="Q55" s="36"/>
      <x:c r="R55" s="44" t="str">
        <x:v>2026-07-10</x:v>
      </x:c>
      <x:c r="S55" s="36"/>
      <x:c r="T55" s="54"/>
      <x:c r="U55" s="54"/>
      <x:c r="V55" s="53" t="str">
        <x:v>착수 전</x:v>
      </x:c>
    </x:row>
    <x:row r="56" ht="42" customHeight="1">
      <x:c r="A56" s="36" t="str">
        <x:v>TC-UIX-028-02</x:v>
      </x:c>
      <x:c r="B56" s="36" t="str">
        <x:v>UIX-028</x:v>
      </x:c>
      <x:c r="C56" s="36" t="str">
        <x:v>UI·UX</x:v>
      </x:c>
      <x:c r="D56" s="36" t="str">
        <x:v>예외·경계 시나리오: 색각 보조 패턴·아이콘 적용</x:v>
      </x:c>
      <x:c r="E56" s="36" t="str">
        <x:v>허용되지 않은 상태, 잘못된 값, 중복, 만료, 권한 부족, 연결 끊김 입력으로 데이터 손상·정보 유출·클라이언트 상태 분기가 발생하지 않는지 확인한다.</x:v>
      </x:c>
      <x:c r="F56" s="36" t="str">
        <x:v>대상 기능이 포함된 베타 빌드와 디버그 입력, 네트워크 열화, 비정상 요청 재현 수단을 준비한다.</x:v>
      </x:c>
      <x:c r="G56" s="36" t="str">
        <x:v>1. 허용되지 않은 페이즈 또는 경계값 조건을 구성한다.
2. 색각 보조 패턴·아이콘 적용에 대해 중복·무효·지연·연결 끊김을 포함한 요청을 전송한다.
3. 서버 거부, 롤백, 오류 표시와 감사 로그를 확인한다.
4. 모든 클라이언트의 상태가 일치하는지 확인한다.</x:v>
      </x:c>
      <x:c r="H56" s="36" t="str">
        <x:v>요청은 사양에 따라 거부되거나 안전하게 복구되며, 중복 반영, 데이터 손실, 정보 유출 또는 진행 중단이 발생하지 않는다. 오류와 상관관계 ID가 기록된다.</x:v>
      </x:c>
      <x:c r="I56" s="36" t="str">
        <x:v>접근성</x:v>
      </x:c>
      <x:c r="J56" s="36" t="str">
        <x:v>P0</x:v>
      </x:c>
      <x:c r="K56" s="36" t="str">
        <x:v>전체</x:v>
      </x:c>
      <x:c r="L56" s="36" t="str">
        <x:v>부분</x:v>
      </x:c>
      <x:c r="M56" s="36" t="str">
        <x:v>미실시</x:v>
      </x:c>
      <x:c r="N56" s="36" t="str">
        <x:v>미정</x:v>
      </x:c>
      <x:c r="O56" s="36" t="str">
        <x:v>미정</x:v>
      </x:c>
      <x:c r="P56" s="36"/>
      <x:c r="Q56" s="36"/>
      <x:c r="R56" s="44" t="str">
        <x:v>2026-07-10</x:v>
      </x:c>
      <x:c r="S56" s="36"/>
      <x:c r="T56" s="54"/>
      <x:c r="U56" s="54"/>
      <x:c r="V56" s="53" t="str">
        <x:v>착수 전</x:v>
      </x:c>
    </x:row>
    <x:row r="57" ht="42" customHeight="1">
      <x:c r="A57" s="36" t="str">
        <x:v>TC-UIX-029-01</x:v>
      </x:c>
      <x:c r="B57" s="36" t="str">
        <x:v>UIX-029</x:v>
      </x:c>
      <x:c r="C57" s="36" t="str">
        <x:v>UI·UX</x:v>
      </x:c>
      <x:c r="D57" s="36" t="str">
        <x:v>정상 시나리오: 현지화·가변 문자열·입력 장치 대응</x:v>
      </x:c>
      <x:c r="E57" s="36" t="str">
        <x:v>한국어·영어 등 지원 언어의 가변 길이와 줄바꿈, 게임패드, 키보드·마우스, 입력 아이콘 전환, 세이프 영역, 16:9·16:10·21:9 화면에서 주요 UI가 잘리지 않는다.</x:v>
      </x:c>
      <x:c r="F57" s="36" t="str">
        <x:v>대상 기능이 포함된 베타 빌드, 필요한 테스트 계정·룸 설정·로그 접근 권한을 준비한다.</x:v>
      </x:c>
      <x:c r="G57" s="36" t="str">
        <x:v>1. 사전 조건 상태를 구성한다.
2. 표준 설정에서 다음 테스트 대상을 실행한다: 현지화·가변 문자열·입력 장치 대응.
3. UI, 서버 상태와 로그·텔레메트리를 확인한다.
4. 필요하면 재입장 또는 재실행하여 재현성을 확인한다.</x:v>
      </x:c>
      <x:c r="H57" s="36" t="str">
        <x:v>한국어·영어 등 지원 언어의 가변 길이와 줄바꿈, 게임패드, 키보드·마우스, 입력 아이콘 전환, 세이프 영역, 16:9·16:10·21:9 화면에서 주요 UI가 잘리지 않는다.</x:v>
      </x:c>
      <x:c r="I57" s="36" t="str">
        <x:v>현지화</x:v>
      </x:c>
      <x:c r="J57" s="36" t="str">
        <x:v>P1</x:v>
      </x:c>
      <x:c r="K57" s="36" t="str">
        <x:v>전체</x:v>
      </x:c>
      <x:c r="L57" s="36" t="str">
        <x:v>부분</x:v>
      </x:c>
      <x:c r="M57" s="36" t="str">
        <x:v>미실시</x:v>
      </x:c>
      <x:c r="N57" s="36" t="str">
        <x:v>미정</x:v>
      </x:c>
      <x:c r="O57" s="36" t="str">
        <x:v>미정</x:v>
      </x:c>
      <x:c r="P57" s="36"/>
      <x:c r="Q57" s="36"/>
      <x:c r="R57" s="44" t="str">
        <x:v>2026-07-10</x:v>
      </x:c>
      <x:c r="S57" s="36"/>
      <x:c r="T57" s="54"/>
      <x:c r="U57" s="54"/>
      <x:c r="V57" s="53" t="str">
        <x:v>착수 전</x:v>
      </x:c>
    </x:row>
    <x:row r="58" ht="42" customHeight="1">
      <x:c r="A58" s="36" t="str">
        <x:v>TC-UIX-030-01</x:v>
      </x:c>
      <x:c r="B58" s="36" t="str">
        <x:v>UIX-030</x:v>
      </x:c>
      <x:c r="C58" s="36" t="str">
        <x:v>UI·UX</x:v>
      </x:c>
      <x:c r="D58" s="36" t="str">
        <x:v>정상 시나리오: 사진 메모 촬영·확인·부착 UI</x:v>
      </x:c>
      <x:c r="E58" s="36" t="str">
        <x:v>촬영 가능 횟수, 좁은 화각, 흐림 효과, 확인, 폐기, 부착 상태를 표시하고 사진에서 내부 ID나 정확한 시각이 노출되지 않는다.</x:v>
      </x:c>
      <x:c r="F58" s="36" t="str">
        <x:v>대상 기능이 포함된 출시 후 빌드, 필요한 테스트 계정·룸 설정·로그 접근 권한을 준비한다.</x:v>
      </x:c>
      <x:c r="G58" s="36" t="str">
        <x:v>1. 사전 조건 상태를 구성한다.
2. 표준 설정에서 다음 테스트 대상을 실행한다: 사진 메모 촬영·확인·부착 UI.
3. UI, 서버 상태와 로그·텔레메트리를 확인한다.
4. 필요하면 재입장 또는 재실행하여 재현성을 확인한다.</x:v>
      </x:c>
      <x:c r="H58" s="36" t="str">
        <x:v>촬영 가능 횟수, 좁은 화각, 흐림 효과, 확인, 폐기, 부착 상태를 표시하고 사진에서 내부 ID나 정확한 시각이 노출되지 않는다.</x:v>
      </x:c>
      <x:c r="I58" s="36" t="str">
        <x:v>밸런스</x:v>
      </x:c>
      <x:c r="J58" s="36" t="str">
        <x:v>P2</x:v>
      </x:c>
      <x:c r="K58" s="36" t="str">
        <x:v>전체</x:v>
      </x:c>
      <x:c r="L58" s="36" t="str">
        <x:v>부분</x:v>
      </x:c>
      <x:c r="M58" s="36" t="str">
        <x:v>미실시</x:v>
      </x:c>
      <x:c r="N58" s="36" t="str">
        <x:v>미정</x:v>
      </x:c>
      <x:c r="O58" s="36" t="str">
        <x:v>미정</x:v>
      </x:c>
      <x:c r="P58" s="36"/>
      <x:c r="Q58" s="36"/>
      <x:c r="R58" s="44" t="str">
        <x:v>2026-07-10</x:v>
      </x:c>
      <x:c r="S58" s="36"/>
      <x:c r="T58" s="54"/>
      <x:c r="U58" s="54"/>
      <x:c r="V58" s="53" t="str">
        <x:v>착수 전</x:v>
      </x:c>
    </x:row>
  </x:sheetData>
  <x:conditionalFormatting sqref="M2:M58">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58">
    <x:cfRule type="expression" dxfId="16" priority="7">
      <x:formula>J2="P0"</x:formula>
    </x:cfRule>
    <x:cfRule type="expression" dxfId="17" priority="8">
      <x:formula>J2="P1"</x:formula>
    </x:cfRule>
  </x:conditionalFormatting>
  <x:conditionalFormatting sqref="V2:V58">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58">
      <x:formula1>"기능,통합,경계값,네트워크,보안,성능,호환성,사용성,접근성,현지화,밸런스,운영,안전,부하"</x:formula1>
    </x:dataValidation>
    <x:dataValidation type="list" sqref="J2:J58">
      <x:formula1>"P0,P1,P2,P3"</x:formula1>
    </x:dataValidation>
    <x:dataValidation type="list" sqref="L2:L58">
      <x:formula1>"예,아니요,부분"</x:formula1>
    </x:dataValidation>
    <x:dataValidation type="list" sqref="M2:M58">
      <x:formula1>"미실시,진행 중,통과,실패,차단,대상 제외"</x:formula1>
    </x:dataValidation>
    <x:dataValidation type="list" sqref="K2:K58">
      <x:formula1>"전체,PC,콘솔,모바일,서버,백엔드,도구,웹·관리자"</x:formula1>
    </x:dataValidation>
    <x:dataValidation type="list" sqref="V2:V58">
      <x:formula1>"착수 전,작업 중,완료"</x:formula1>
    </x:dataValidation>
  </x:dataValidations>
  <x:pageMargins left="0.7" right="0.7" top="0.75" bottom="0.75" header="0.3" footer="0.3"/>
  <x:tableParts count="1">
    <x:tablePart xmlns:r="http://schemas.openxmlformats.org/officeDocument/2006/relationships" r:id="R651bbe6295724314"/>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R-UIX-01</x:v>
      </x:c>
      <x:c r="B2" s="36" t="str">
        <x:v>UI·UX</x:v>
      </x:c>
      <x:c r="C2" s="36" t="str">
        <x:v>판독성</x:v>
      </x:c>
      <x:c r="D2" s="36" t="str">
        <x:v>해상도, FOV, 외형 조합에 따라 등 메모를 읽기 어려울 수 있다.</x:v>
      </x:c>
      <x:c r="E2" s="36" t="str">
        <x:v>표시 거리, LOD, 겹침 조정 부족</x:v>
      </x:c>
      <x:c r="F2" s="36" t="str">
        <x:v>추리 진행 불가</x:v>
      </x:c>
      <x:c r="G2" s="36" t="str">
        <x:v>중간</x:v>
      </x:c>
      <x:c r="H2" s="36" t="str">
        <x:v>높음</x:v>
      </x:c>
      <x:c r="I2" s="36" t="n">
        <x:f>IF(G2="높음",3,IF(G2="중간",2,1))*IF(H2="높음",3,IF(H2="중간",2,1))</x:f>
        <x:v>6</x:v>
      </x:c>
      <x:c r="J2" s="36" t="str">
        <x:v>UX 리드</x:v>
      </x:c>
      <x:c r="K2" s="36" t="str">
        <x:v>화면 조합표와 실제 기기 판독성 시험을 수행한다.</x:v>
      </x:c>
      <x:c r="L2" s="36" t="str">
        <x:v>문제 외형을 비활성화하고 표시 거리를 조정한다.</x:v>
      </x:c>
      <x:c r="M2" s="36" t="str">
        <x:v>미대응</x:v>
      </x:c>
      <x:c r="N2" s="36" t="str">
        <x:v>UIX-014,CHR-012</x:v>
      </x:c>
      <x:c r="O2" s="44" t="str">
        <x:v>미정</x:v>
      </x:c>
      <x:c r="P2" s="36"/>
    </x:row>
    <x:row r="3" ht="42" customHeight="1">
      <x:c r="A3" s="36" t="str">
        <x:v>R-UIX-02</x:v>
      </x:c>
      <x:c r="B3" s="36" t="str">
        <x:v>UI·UX</x:v>
      </x:c>
      <x:c r="C3" s="36" t="str">
        <x:v>정보 비공개</x:v>
      </x:c>
      <x:c r="D3" s="36" t="str">
        <x:v>HUD나 툴팁이 본인 등 메모 정보를 암시할 수 있다.</x:v>
      </x:c>
      <x:c r="E3" s="36" t="str">
        <x:v>공통 데이터 모델의 잘못된 사용</x:v>
      </x:c>
      <x:c r="F3" s="36" t="str">
        <x:v>핵심 규칙 훼손</x:v>
      </x:c>
      <x:c r="G3" s="36" t="str">
        <x:v>낮음</x:v>
      </x:c>
      <x:c r="H3" s="36" t="str">
        <x:v>높음</x:v>
      </x:c>
      <x:c r="I3" s="36" t="n">
        <x:f>IF(G3="높음",3,IF(G3="중간",2,1))*IF(H3="높음",3,IF(H3="중간",2,1))</x:f>
        <x:v>3</x:v>
      </x:c>
      <x:c r="J3" s="36" t="str">
        <x:v>UI 엔지니어링</x:v>
      </x:c>
      <x:c r="K3" s="36" t="str">
        <x:v>공개 DTO만 UI에 연결하고 정보 유출 QA를 수행한다.</x:v>
      </x:c>
      <x:c r="L3" s="36" t="str">
        <x:v>문제 UI를 원격으로 비활성화한다.</x:v>
      </x:c>
      <x:c r="M3" s="36" t="str">
        <x:v>미대응</x:v>
      </x:c>
      <x:c r="N3" s="36" t="str">
        <x:v>UIX-011,UIX-018,UIX-021</x:v>
      </x:c>
      <x:c r="O3" s="44" t="str">
        <x:v>미정</x:v>
      </x:c>
      <x:c r="P3" s="36"/>
    </x:row>
    <x:row r="4" ht="42" customHeight="1">
      <x:c r="A4" s="36" t="str">
        <x:v>R-UIX-03</x:v>
      </x:c>
      <x:c r="B4" s="36" t="str">
        <x:v>UI·UX</x:v>
      </x:c>
      <x:c r="C4" s="36" t="str">
        <x:v>사용성</x:v>
      </x:c>
      <x:c r="D4" s="36" t="str">
        <x:v>일반 투표와 최종 재판의 차이가 명확히 이해되지 않을 수 있다.</x:v>
      </x:c>
      <x:c r="E4" s="36" t="str">
        <x:v>유사한 표시 계층과 문구</x:v>
      </x:c>
      <x:c r="F4" s="36" t="str">
        <x:v>오투표·이탈 증가</x:v>
      </x:c>
      <x:c r="G4" s="36" t="str">
        <x:v>중간</x:v>
      </x:c>
      <x:c r="H4" s="36" t="str">
        <x:v>중간</x:v>
      </x:c>
      <x:c r="I4" s="36" t="n">
        <x:f>IF(G4="높음",3,IF(G4="중간",2,1))*IF(H4="높음",3,IF(H4="중간",2,1))</x:f>
        <x:v>4</x:v>
      </x:c>
      <x:c r="J4" s="36" t="str">
        <x:v>UX 리드</x:v>
      </x:c>
      <x:c r="K4" s="36" t="str">
        <x:v>사용성 시험과 색상 외 구분 요소를 적용한다.</x:v>
      </x:c>
      <x:c r="L4" s="36" t="str">
        <x:v>문구와 레이아웃을 즉시 조정한다.</x:v>
      </x:c>
      <x:c r="M4" s="36" t="str">
        <x:v>미대응</x:v>
      </x:c>
      <x:c r="N4" s="36" t="str">
        <x:v>UIX-019,UIX-023</x:v>
      </x:c>
      <x:c r="O4" s="44" t="str">
        <x:v>미정</x:v>
      </x:c>
      <x:c r="P4" s="36"/>
    </x:row>
    <x:row r="5" ht="42" customHeight="1">
      <x:c r="A5" s="36" t="str">
        <x:v>R-UIX-04</x:v>
      </x:c>
      <x:c r="B5" s="36" t="str">
        <x:v>UI·UX</x:v>
      </x:c>
      <x:c r="C5" s="36" t="str">
        <x:v>호환성</x:v>
      </x:c>
      <x:c r="D5" s="36" t="str">
        <x:v>가변 문자열, 세이프 영역, 입력 방식 때문에 조작할 수 없는 화면이 생길 수 있다.</x:v>
      </x:c>
      <x:c r="E5" s="36" t="str">
        <x:v>대상 기기 검증이 후반으로 지연됨</x:v>
      </x:c>
      <x:c r="F5" s="36" t="str">
        <x:v>플랫폼 인증 실패·중대 결함</x:v>
      </x:c>
      <x:c r="G5" s="36" t="str">
        <x:v>중간</x:v>
      </x:c>
      <x:c r="H5" s="36" t="str">
        <x:v>높음</x:v>
      </x:c>
      <x:c r="I5" s="36" t="n">
        <x:f>IF(G5="높음",3,IF(G5="중간",2,1))*IF(H5="높음",3,IF(H5="중간",2,1))</x:f>
        <x:v>6</x:v>
      </x:c>
      <x:c r="J5" s="36" t="str">
        <x:v>UI 엔지니어링</x:v>
      </x:c>
      <x:c r="K5" s="36" t="str">
        <x:v>초기부터 의사 현지화와 실제 기기 조합 시험을 수행한다.</x:v>
      </x:c>
      <x:c r="L5" s="36" t="str">
        <x:v>문제 해상도 또는 플랫폼 지원 범위를 임시 제한한다.</x:v>
      </x:c>
      <x:c r="M5" s="36" t="str">
        <x:v>미대응</x:v>
      </x:c>
      <x:c r="N5" s="36" t="str">
        <x:v>UIX-029</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7f0a91715b864a96"/>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D-UIX-01</x:v>
      </x:c>
      <x:c r="B2" s="36" t="str">
        <x:v>UI·UX</x:v>
      </x:c>
      <x:c r="C2" s="36" t="str">
        <x:v>본인 정보 표시</x:v>
      </x:c>
      <x:c r="D2" s="36" t="str">
        <x:v>보유 수량 외에 본인에게 어떤 정보를 표시할 것인가?</x:v>
      </x:c>
      <x:c r="E2" s="36" t="str">
        <x:v>A: 보유 수량만 / B: 등 메모 수량 포함 / C: 알림만</x:v>
      </x:c>
      <x:c r="F2" s="36" t="str">
        <x:v>보유 수량과 능력 잔여 횟수만 표시하고 등 메모 관련 정보는 모두 숨긴다.</x:v>
      </x:c>
      <x:c r="G2" s="36" t="str">
        <x:v>미정</x:v>
      </x:c>
      <x:c r="H2" s="36" t="str">
        <x:v>미정</x:v>
      </x:c>
      <x:c r="I2" s="36" t="str">
        <x:v>UX 디렉터</x:v>
      </x:c>
      <x:c r="J2" s="44" t="str">
        <x:v>2026-07-24</x:v>
      </x:c>
      <x:c r="K2" s="36" t="str">
        <x:v>UIX-011,IGM-019</x:v>
      </x:c>
      <x:c r="L2" s="36" t="str">
        <x:v>핵심 규칙의 정보 비대칭을 유지한다.</x:v>
      </x:c>
      <x:c r="M2" s="44" t="str">
        <x:v>2026-07-10</x:v>
      </x:c>
    </x:row>
    <x:row r="3" ht="42" customHeight="1">
      <x:c r="A3" s="36" t="str">
        <x:v>D-UIX-02</x:v>
      </x:c>
      <x:c r="B3" s="36" t="str">
        <x:v>UI·UX</x:v>
      </x:c>
      <x:c r="C3" s="36" t="str">
        <x:v>투표 확인 단계</x:v>
      </x:c>
      <x:c r="D3" s="36" t="str">
        <x:v>투표 확정 전에 2단계 확인을 적용할 것인가?</x:v>
      </x:c>
      <x:c r="E3" s="36" t="str">
        <x:v>A: 항상 / B: 최초 1회 / C: 없음</x:v>
      </x:c>
      <x:c r="F3" s="36" t="str">
        <x:v>항상 확인하되 남은 3초에는 길게 눌러 확정하도록 단축한다.</x:v>
      </x:c>
      <x:c r="G3" s="36" t="str">
        <x:v>미정</x:v>
      </x:c>
      <x:c r="H3" s="36" t="str">
        <x:v>미정</x:v>
      </x:c>
      <x:c r="I3" s="36" t="str">
        <x:v>UX 디렉터</x:v>
      </x:c>
      <x:c r="J3" s="44" t="str">
        <x:v>2026-07-31</x:v>
      </x:c>
      <x:c r="K3" s="36" t="str">
        <x:v>UIX-019,UIX-023</x:v>
      </x:c>
      <x:c r="L3" s="36" t="str">
        <x:v>오투표 방지와 진행 속도의 균형을 맞춘다.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a2197383cd91454e"/>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