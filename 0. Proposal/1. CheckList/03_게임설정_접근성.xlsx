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3562be620f49b6" /></Relationships>
</file>

<file path=xl/workbook.xml><?xml version="1.0" encoding="utf-8"?>
<x:workbook xmlns:x="http://schemas.openxmlformats.org/spreadsheetml/2006/main">
  <x:sheets>
    <x:sheet xmlns:r="http://schemas.openxmlformats.org/officeDocument/2006/relationships" name="00_개요" sheetId="1" r:id="Rb9a75b7fbc5d4023"/>
    <x:sheet xmlns:r="http://schemas.openxmlformats.org/officeDocument/2006/relationships" name="01_백로그" sheetId="2" r:id="R11498582d6484903"/>
    <x:sheet xmlns:r="http://schemas.openxmlformats.org/officeDocument/2006/relationships" name="02_설정_카탈로그" sheetId="3" r:id="Rf30eb28223c342a3"/>
    <x:sheet xmlns:r="http://schemas.openxmlformats.org/officeDocument/2006/relationships" name="03_프리셋" sheetId="4" r:id="R9e1aafb15cd84f9a"/>
    <x:sheet xmlns:r="http://schemas.openxmlformats.org/officeDocument/2006/relationships" name="04_마이그레이션_규칙" sheetId="5" r:id="R5d15b6b737f6446d"/>
    <x:sheet xmlns:r="http://schemas.openxmlformats.org/officeDocument/2006/relationships" name="80_QA_케이스" sheetId="6" r:id="R2af1fe3b102b4bde"/>
    <x:sheet xmlns:r="http://schemas.openxmlformats.org/officeDocument/2006/relationships" name="90_리스크" sheetId="7" r:id="Rd15b0f0c10b44aab"/>
    <x:sheet xmlns:r="http://schemas.openxmlformats.org/officeDocument/2006/relationships" name="91_의사결정" sheetId="8" r:id="R215239709f9c4d73"/>
    <x:sheet xmlns:r="http://schemas.openxmlformats.org/officeDocument/2006/relationships" name="99_목록" sheetId="9" r:id="R01111f131344462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70AD47"/>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3" fillId="2" borderId="0" xfId="0" applyNumberFormat="1" applyFont="1" applyFill="1" applyBorder="1" applyAlignment="1">
      <x:alignment horizontal="center" vertical="top" wrapText="1"/>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cellXfs>
  <x:cellStyles count="1">
    <x:cellStyle name="Normal" xfId="0"/>
  </x:cellStyles>
  <x:dxfs count="36">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990000"/>
      </x:font>
      <x:fill>
        <x:patternFill>
          <x:bgColor rgb="FFF4CCCC"/>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72138adea642f2" /><Relationship Type="http://schemas.openxmlformats.org/officeDocument/2006/relationships/theme" Target="/xl/theme/theme1.xml" Id="R6e6dd6c881d3457c" /><Relationship Type="http://schemas.openxmlformats.org/officeDocument/2006/relationships/sharedStrings" Target="/xl/sharedStrings.xml" Id="R3be11279588f4113" /><Relationship Type="http://schemas.openxmlformats.org/officeDocument/2006/relationships/worksheet" Target="/xl/worksheets/sheet1.xml" Id="Rb9a75b7fbc5d4023" /><Relationship Type="http://schemas.openxmlformats.org/officeDocument/2006/relationships/worksheet" Target="/xl/worksheets/sheet2.xml" Id="R11498582d6484903" /><Relationship Type="http://schemas.openxmlformats.org/officeDocument/2006/relationships/worksheet" Target="/xl/worksheets/sheet3.xml" Id="Rf30eb28223c342a3" /><Relationship Type="http://schemas.openxmlformats.org/officeDocument/2006/relationships/worksheet" Target="/xl/worksheets/sheet4.xml" Id="R9e1aafb15cd84f9a" /><Relationship Type="http://schemas.openxmlformats.org/officeDocument/2006/relationships/worksheet" Target="/xl/worksheets/sheet5.xml" Id="R5d15b6b737f6446d" /><Relationship Type="http://schemas.openxmlformats.org/officeDocument/2006/relationships/worksheet" Target="/xl/worksheets/sheet6.xml" Id="R2af1fe3b102b4bde" /><Relationship Type="http://schemas.openxmlformats.org/officeDocument/2006/relationships/worksheet" Target="/xl/worksheets/sheet7.xml" Id="Rd15b0f0c10b44aab" /><Relationship Type="http://schemas.openxmlformats.org/officeDocument/2006/relationships/worksheet" Target="/xl/worksheets/sheet8.xml" Id="R215239709f9c4d73" /><Relationship Type="http://schemas.openxmlformats.org/officeDocument/2006/relationships/worksheet" Target="/xl/worksheets/sheet9.xml" Id="R01111f131344462d" /></Relationships>
</file>

<file path=xl/drawings/_rels/drawing1.xml.rels>&#65279;<?xml version="1.0" encoding="utf-8"?><Relationships xmlns="http://schemas.openxmlformats.org/package/2006/relationships"><Relationship Type="http://schemas.openxmlformats.org/officeDocument/2006/relationships/chart" Target="/xl/drawings/charts/chart1.xml" Id="Ra080c210aca0485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작업 상태 분포</a:t>
            </a:r>
          </a:p>
        </c:rich>
      </c:tx>
      <c:overlay val="0"/>
    </c:title>
    <c:autoTitleDeleted val="0"/>
    <c:plotArea>
      <c:layout/>
      <c:barChart>
        <c:barDir val="col"/>
        <c:varyColors val="0"/>
        <c:ser>
          <c:idx val="0"/>
          <c:order val="0"/>
          <c:tx>
            <c:v>건수</c:v>
          </c:tx>
          <c:cat>
            <c:strRef>
              <c:f>'00_개요'!$E$5:$E$12</c:f>
              <c:strCache>
                <c:ptCount val="0"/>
              </c:strCache>
            </c:strRef>
          </c:cat>
          <c:val>
            <c:numRef>
              <c:f>'00_개요'!$F$5:$F$12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080c210aca04857"/>
        </a:graphicData>
      </a:graphic>
    </xdr:graphicFrame>
    <xdr:clientData/>
  </xdr:twoCellAnchor>
</xdr:wsDr>
</file>

<file path=xl/tables/table1.xml><?xml version="1.0" encoding="utf-8"?>
<x:table xmlns:x="http://schemas.openxmlformats.org/spreadsheetml/2006/main" id="8" name="BacklogTable" displayName="BacklogTable" ref="A1:AJ29" headerRowCount="1">
  <x:tableColumns count="36">
    <x:tableColumn id="1" name="ID"/>
    <x:tableColumn id="2" name="부문"/>
    <x:tableColumn id="3" name="에픽"/>
    <x:tableColumn id="4" name="기능 그룹"/>
    <x:tableColumn id="5" name="구현 항목"/>
    <x:tableColumn id="6" name="목적·설명"/>
    <x:tableColumn id="7" name="수용 기준"/>
    <x:tableColumn id="8" name="완료 정의"/>
    <x:tableColumn id="9" name="범위"/>
    <x:tableColumn id="10" name="우선순위"/>
    <x:tableColumn id="11" name="릴리스 게이트"/>
    <x:tableColumn id="12" name="게이트 분류"/>
    <x:tableColumn id="13" name="마일스톤"/>
    <x:tableColumn id="14" name="담당 부문"/>
    <x:tableColumn id="15" name="담당자명"/>
    <x:tableColumn id="16" name="검토자"/>
    <x:tableColumn id="17" name="대상 플랫폼"/>
    <x:tableColumn id="18" name="권한·실행 주체"/>
    <x:tableColumn id="19" name="영속화"/>
    <x:tableColumn id="20" name="예상 규모"/>
    <x:tableColumn id="21" name="상태"/>
    <x:tableColumn id="22" name="진행률"/>
    <x:tableColumn id="23" name="스프린트"/>
    <x:tableColumn id="24" name="기한"/>
    <x:tableColumn id="25" name="의존 ID"/>
    <x:tableColumn id="26" name="위험도"/>
    <x:tableColumn id="27" name="QA 유형"/>
    <x:tableColumn id="28" name="테스트 케이스 ID"/>
    <x:tableColumn id="29" name="외부 추적 도구 키"/>
    <x:tableColumn id="30" name="근거"/>
    <x:tableColumn id="31" name="증빙 링크"/>
    <x:tableColumn id="32" name="최종 갱신일"/>
    <x:tableColumn id="33" name="비고"/>
    <x:tableColumn id="34" name="시작일"/>
    <x:tableColumn id="35" name="종료일"/>
    <x:tableColumn id="36" name="진행상황"/>
  </x:tableColumns>
  <x:tableStyleInfo name="TableStyleMedium2" showRowStripes="1"/>
</x:table>
</file>

<file path=xl/tables/table2.xml><?xml version="1.0" encoding="utf-8"?>
<x:table xmlns:x="http://schemas.openxmlformats.org/spreadsheetml/2006/main" id="2" name="SETSpec1" displayName="SETSpec1" ref="A1:M13" headerRowCount="1">
  <x:tableColumns count="13">
    <x:tableColumn id="1" name="설정 키"/>
    <x:tableColumn id="2" name="범주"/>
    <x:tableColumn id="3" name="표시 이름"/>
    <x:tableColumn id="4" name="형식"/>
    <x:tableColumn id="5" name="기본값"/>
    <x:tableColumn id="6" name="최솟값"/>
    <x:tableColumn id="7" name="최댓값"/>
    <x:tableColumn id="8" name="선택지"/>
    <x:tableColumn id="9" name="적용 범위"/>
    <x:tableColumn id="10" name="권한"/>
    <x:tableColumn id="11" name="저장 범위"/>
    <x:tableColumn id="12" name="적용 시점"/>
    <x:tableColumn id="13" name="관련 ID"/>
  </x:tableColumns>
  <x:tableStyleInfo name="TableStyleMedium2" showRowStripes="1"/>
</x:table>
</file>

<file path=xl/tables/table3.xml><?xml version="1.0" encoding="utf-8"?>
<x:table xmlns:x="http://schemas.openxmlformats.org/spreadsheetml/2006/main" id="3" name="SETSpec2" displayName="SETSpec2" ref="A1:J6" headerRowCount="1">
  <x:tableColumns count="10">
    <x:tableColumn id="1" name="프리셋 ID"/>
    <x:tableColumn id="2" name="대상 인원"/>
    <x:tableColumn id="3" name="낮(초)"/>
    <x:tableColumn id="4" name="밤 관찰(초)"/>
    <x:tableColumn id="5" name="투표(초)"/>
    <x:tableColumn id="6" name="일일 위조"/>
    <x:tableColumn id="7" name="필요 미니게임"/>
    <x:tableColumn id="8" name="최종 재판"/>
    <x:tableColumn id="9" name="대상"/>
    <x:tableColumn id="10" name="설명"/>
  </x:tableColumns>
  <x:tableStyleInfo name="TableStyleMedium2" showRowStripes="1"/>
</x:table>
</file>

<file path=xl/tables/table4.xml><?xml version="1.0" encoding="utf-8"?>
<x:table xmlns:x="http://schemas.openxmlformats.org/spreadsheetml/2006/main" id="4" name="SETSpec3" displayName="SETSpec3" ref="A1:G4" headerRowCount="1">
  <x:tableColumns count="7">
    <x:tableColumn id="1" name="이전 버전"/>
    <x:tableColumn id="2" name="대상 버전"/>
    <x:tableColumn id="3" name="변경 사항"/>
    <x:tableColumn id="4" name="마이그레이션 처리"/>
    <x:tableColumn id="5" name="대체값"/>
    <x:tableColumn id="6" name="시험 항목"/>
    <x:tableColumn id="7" name="담당"/>
  </x:tableColumns>
  <x:tableStyleInfo name="TableStyleMedium2" showRowStripes="1"/>
</x:table>
</file>

<file path=xl/tables/table5.xml><?xml version="1.0" encoding="utf-8"?>
<x:table xmlns:x="http://schemas.openxmlformats.org/spreadsheetml/2006/main" id="9" name="QACasesTable" displayName="QACasesTable" ref="A1:V47" headerRowCount="1">
  <x:tableColumns count="22">
    <x:tableColumn id="1" name="테스트 ID"/>
    <x:tableColumn id="2" name="관련 ID"/>
    <x:tableColumn id="3" name="부문"/>
    <x:tableColumn id="4" name="제목"/>
    <x:tableColumn id="5" name="목적"/>
    <x:tableColumn id="6" name="사전 조건"/>
    <x:tableColumn id="7" name="절차"/>
    <x:tableColumn id="8" name="예상 결과"/>
    <x:tableColumn id="9" name="QA 유형"/>
    <x:tableColumn id="10" name="우선순위"/>
    <x:tableColumn id="11" name="대상 플랫폼"/>
    <x:tableColumn id="12" name="자동화 후보"/>
    <x:tableColumn id="13" name="상태"/>
    <x:tableColumn id="14" name="담당자명"/>
    <x:tableColumn id="15" name="대상 빌드"/>
    <x:tableColumn id="16" name="증빙 링크"/>
    <x:tableColumn id="17" name="결함 키"/>
    <x:tableColumn id="18" name="최종 갱신일"/>
    <x:tableColumn id="19" name="비고"/>
    <x:tableColumn id="20" name="시작일"/>
    <x:tableColumn id="21" name="종료일"/>
    <x:tableColumn id="22" name="진행상황"/>
  </x:tableColumns>
  <x:tableStyleInfo name="TableStyleMedium2" showRowStripes="1"/>
</x:table>
</file>

<file path=xl/tables/table6.xml><?xml version="1.0" encoding="utf-8"?>
<x:table xmlns:x="http://schemas.openxmlformats.org/spreadsheetml/2006/main" id="6" name="RiskTable" displayName="RiskTable" ref="A1:P5" headerRowCount="1">
  <x:tableColumns count="16">
    <x:tableColumn id="1" name="위험 ID"/>
    <x:tableColumn id="2" name="부문"/>
    <x:tableColumn id="3" name="분류"/>
    <x:tableColumn id="4" name="위험 내용"/>
    <x:tableColumn id="5" name="발생 조건"/>
    <x:tableColumn id="6" name="영향"/>
    <x:tableColumn id="7" name="발생 확률"/>
    <x:tableColumn id="8" name="영향도"/>
    <x:tableColumn id="9" name="점수"/>
    <x:tableColumn id="10" name="담당자"/>
    <x:tableColumn id="11" name="예방 조치"/>
    <x:tableColumn id="12" name="비상 대책"/>
    <x:tableColumn id="13" name="상태"/>
    <x:tableColumn id="14" name="관련 ID"/>
    <x:tableColumn id="15" name="검토일"/>
    <x:tableColumn id="16" name="비고"/>
  </x:tableColumns>
  <x:tableStyleInfo name="TableStyleMedium2" showRowStripes="1"/>
</x:table>
</file>

<file path=xl/tables/table7.xml><?xml version="1.0" encoding="utf-8"?>
<x:table xmlns:x="http://schemas.openxmlformats.org/spreadsheetml/2006/main" id="7" name="DecisionTable" displayName="DecisionTable" ref="A1:M3" headerRowCount="1">
  <x:tableColumns count="13">
    <x:tableColumn id="1" name="의사결정 ID"/>
    <x:tableColumn id="2" name="부문"/>
    <x:tableColumn id="3" name="논점"/>
    <x:tableColumn id="4" name="결정 질문"/>
    <x:tableColumn id="5" name="선택지"/>
    <x:tableColumn id="6" name="권고안"/>
    <x:tableColumn id="7" name="최종 결정"/>
    <x:tableColumn id="8" name="상태"/>
    <x:tableColumn id="9" name="결정권자"/>
    <x:tableColumn id="10" name="기한"/>
    <x:tableColumn id="11" name="관련 ID"/>
    <x:tableColumn id="12" name="판단 근거·증빙"/>
    <x:tableColumn id="13" name="최종 갱신일"/>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4acfdc6ca9b4739" /></Relationships>
</file>

<file path=xl/worksheets/_rels/sheet2.xml.rels>&#65279;<?xml version="1.0" encoding="utf-8"?><Relationships xmlns="http://schemas.openxmlformats.org/package/2006/relationships"><Relationship Type="http://schemas.openxmlformats.org/officeDocument/2006/relationships/table" Target="/xl/tables/table1.xml" Id="R86a5ab34525f4cc3" /></Relationships>
</file>

<file path=xl/worksheets/_rels/sheet3.xml.rels>&#65279;<?xml version="1.0" encoding="utf-8"?><Relationships xmlns="http://schemas.openxmlformats.org/package/2006/relationships"><Relationship Type="http://schemas.openxmlformats.org/officeDocument/2006/relationships/table" Target="/xl/tables/table2.xml" Id="Rb7cce4cdce2e4e56" /></Relationships>
</file>

<file path=xl/worksheets/_rels/sheet4.xml.rels>&#65279;<?xml version="1.0" encoding="utf-8"?><Relationships xmlns="http://schemas.openxmlformats.org/package/2006/relationships"><Relationship Type="http://schemas.openxmlformats.org/officeDocument/2006/relationships/table" Target="/xl/tables/table3.xml" Id="R769f2b2fe620454f" /></Relationships>
</file>

<file path=xl/worksheets/_rels/sheet5.xml.rels>&#65279;<?xml version="1.0" encoding="utf-8"?><Relationships xmlns="http://schemas.openxmlformats.org/package/2006/relationships"><Relationship Type="http://schemas.openxmlformats.org/officeDocument/2006/relationships/table" Target="/xl/tables/table4.xml" Id="R9a7be2062ed74fbb" /></Relationships>
</file>

<file path=xl/worksheets/_rels/sheet6.xml.rels>&#65279;<?xml version="1.0" encoding="utf-8"?><Relationships xmlns="http://schemas.openxmlformats.org/package/2006/relationships"><Relationship Type="http://schemas.openxmlformats.org/officeDocument/2006/relationships/table" Target="/xl/tables/table5.xml" Id="R0001faa458ae4857" /></Relationships>
</file>

<file path=xl/worksheets/_rels/sheet7.xml.rels>&#65279;<?xml version="1.0" encoding="utf-8"?><Relationships xmlns="http://schemas.openxmlformats.org/package/2006/relationships"><Relationship Type="http://schemas.openxmlformats.org/officeDocument/2006/relationships/table" Target="/xl/tables/table6.xml" Id="Re5042be5c74d4e27" /></Relationships>
</file>

<file path=xl/worksheets/_rels/sheet8.xml.rels>&#65279;<?xml version="1.0" encoding="utf-8"?><Relationships xmlns="http://schemas.openxmlformats.org/package/2006/relationships"><Relationship Type="http://schemas.openxmlformats.org/officeDocument/2006/relationships/table" Target="/xl/tables/table7.xml" Id="Ra41b73713c944000" /></Relationships>
</file>

<file path=xl/worksheets/sheet1.xml><?xml version="1.0" encoding="utf-8"?>
<x:worksheet xmlns:x="http://schemas.openxmlformats.org/spreadsheetml/2006/main">
  <x:sheetFormatPr defaultRowHeight="15"/>
  <x:cols>
    <x:col min="1" max="1" width="29" hidden="0" customWidth="1"/>
    <x:col min="2" max="2" width="23" hidden="0" customWidth="1"/>
    <x:col min="3" max="3" width="34" hidden="0" customWidth="1"/>
    <x:col min="4" max="4" width="23" hidden="0" customWidth="1"/>
    <x:col min="5" max="5" width="25" hidden="0" customWidth="1"/>
    <x:col min="6" max="6" width="25" hidden="0" customWidth="1"/>
    <x:col min="7" max="7" width="25" hidden="0" customWidth="1"/>
    <x:col min="8" max="8" width="31" hidden="0" customWidth="1"/>
  </x:cols>
  <x:sheetData>
    <x:row r="1" ht="34" customHeight="1">
      <x:c r="A1" s="5" t="str">
        <x:v>게임 설정·접근성 구현 관리대장</x:v>
      </x:c>
      <x:c r="B1" s="5"/>
      <x:c r="C1" s="5"/>
      <x:c r="D1" s="5"/>
      <x:c r="E1" s="5"/>
      <x:c r="F1" s="5"/>
      <x:c r="G1" s="5"/>
      <x:c r="H1" s="5"/>
    </x:row>
    <x:row r="2" ht="28" customHeight="1">
      <x:c r="A2" s="13" t="str">
        <x:v>버전 2.0-ko / 갱신일 2026-07-10 / 담당 부문: 시스템 디자인·접근성</x:v>
      </x:c>
      <x:c r="B2" s="13"/>
      <x:c r="C2" s="13"/>
      <x:c r="D2" s="13"/>
      <x:c r="E2" s="13"/>
      <x:c r="F2" s="13"/>
      <x:c r="G2" s="13"/>
      <x:c r="H2" s="13"/>
    </x:row>
    <x:row r="3">
      <x:c r="A3"/>
      <x:c r="B3"/>
      <x:c r="C3"/>
      <x:c r="D3"/>
      <x:c r="E3"/>
      <x:c r="F3"/>
      <x:c r="G3"/>
      <x:c r="H3"/>
    </x:row>
    <x:row r="4">
      <x:c r="A4" s="26" t="str">
        <x:v>핵심 지표</x:v>
      </x:c>
      <x:c r="B4" s="26" t="str">
        <x:v>값</x:v>
      </x:c>
      <x:c r="C4" s="26" t="str">
        <x:v>판정·설명</x:v>
      </x:c>
      <x:c r="D4" s="26"/>
      <x:c r="E4" s="26" t="str">
        <x:v>상태</x:v>
      </x:c>
      <x:c r="F4" s="26" t="str">
        <x:v>건수</x:v>
      </x:c>
      <x:c r="G4" s="26" t="str">
        <x:v>비율</x:v>
      </x:c>
      <x:c r="H4" s="26"/>
    </x:row>
    <x:row r="5">
      <x:c r="A5" s="27" t="str">
        <x:v>전체 작업</x:v>
      </x:c>
      <x:c r="B5" s="27" t="n">
        <x:f>COUNTA('01_백로그'!A2:A29)</x:f>
        <x:v>28</x:v>
      </x:c>
      <x:c r="C5" s="27" t="str">
        <x:v>백로그 전체 수</x:v>
      </x:c>
      <x:c r="D5" s="27"/>
      <x:c r="E5" s="27" t="str">
        <x:v>미착수</x:v>
      </x:c>
      <x:c r="F5" s="27" t="n">
        <x:f>COUNTIF('01_백로그'!U2:U29,E5)</x:f>
        <x:v>28</x:v>
      </x:c>
      <x:c r="G5" s="28" t="n">
        <x:f>IFERROR(F5/$B$5,0)</x:f>
        <x:v>1</x:v>
      </x:c>
      <x:c r="H5" s="27"/>
    </x:row>
    <x:row r="6">
      <x:c r="A6" s="27" t="str">
        <x:v>MVP 작업</x:v>
      </x:c>
      <x:c r="B6" s="27" t="n">
        <x:f>COUNTIF('01_백로그'!I2:I29,"MVP")</x:f>
        <x:v>14</x:v>
      </x:c>
      <x:c r="C6" s="27" t="str">
        <x:v>MVP 범위</x:v>
      </x:c>
      <x:c r="D6" s="27"/>
      <x:c r="E6" s="27" t="str">
        <x:v>사양 확인 중</x:v>
      </x:c>
      <x:c r="F6" s="27" t="n">
        <x:f>COUNTIF('01_백로그'!U2:U29,E6)</x:f>
        <x:v>0</x:v>
      </x:c>
      <x:c r="G6" s="28" t="n">
        <x:f>IFERROR(F6/$B$5,0)</x:f>
        <x:v>0</x:v>
      </x:c>
      <x:c r="H6" s="27"/>
    </x:row>
    <x:row r="7">
      <x:c r="A7" s="27" t="str">
        <x:v>P0 미완료</x:v>
      </x:c>
      <x:c r="B7" s="27" t="n">
        <x:f>COUNTIFS('01_백로그'!J2:J29,"P0",'01_백로그'!U2:U29,"&lt;&gt;완료")</x:f>
        <x:v>18</x:v>
      </x:c>
      <x:c r="C7" s="27" t="str">
        <x:v>P0이며 완료되지 않은 항목</x:v>
      </x:c>
      <x:c r="D7" s="27"/>
      <x:c r="E7" s="27" t="str">
        <x:v>구현 중</x:v>
      </x:c>
      <x:c r="F7" s="27" t="n">
        <x:f>COUNTIF('01_백로그'!U2:U29,E7)</x:f>
        <x:v>0</x:v>
      </x:c>
      <x:c r="G7" s="28" t="n">
        <x:f>IFERROR(F7/$B$5,0)</x:f>
        <x:v>0</x:v>
      </x:c>
      <x:c r="H7" s="27"/>
    </x:row>
    <x:row r="8">
      <x:c r="A8" s="27" t="str">
        <x:v>차단</x:v>
      </x:c>
      <x:c r="B8" s="27" t="n">
        <x:f>COUNTIF('01_백로그'!U2:U29,"차단")</x:f>
        <x:v>0</x:v>
      </x:c>
      <x:c r="C8" s="27" t="str">
        <x:v>현재 진행을 막는 항목</x:v>
      </x:c>
      <x:c r="D8" s="27"/>
      <x:c r="E8" s="27" t="str">
        <x:v>코드 리뷰</x:v>
      </x:c>
      <x:c r="F8" s="27" t="n">
        <x:f>COUNTIF('01_백로그'!U2:U29,E8)</x:f>
        <x:v>0</x:v>
      </x:c>
      <x:c r="G8" s="28" t="n">
        <x:f>IFERROR(F8/$B$5,0)</x:f>
        <x:v>0</x:v>
      </x:c>
      <x:c r="H8" s="27"/>
    </x:row>
    <x:row r="9">
      <x:c r="A9" s="27" t="str">
        <x:v>완료</x:v>
      </x:c>
      <x:c r="B9" s="27" t="n">
        <x:f>COUNTIF('01_백로그'!U2:U29,"완료")</x:f>
        <x:v>0</x:v>
      </x:c>
      <x:c r="C9" s="27" t="str">
        <x:v>완료 정의·QA·증빙 충족</x:v>
      </x:c>
      <x:c r="D9" s="27"/>
      <x:c r="E9" s="27" t="str">
        <x:v>QA 진행 중</x:v>
      </x:c>
      <x:c r="F9" s="27" t="n">
        <x:f>COUNTIF('01_백로그'!U2:U29,E9)</x:f>
        <x:v>0</x:v>
      </x:c>
      <x:c r="G9" s="28" t="n">
        <x:f>IFERROR(F9/$B$5,0)</x:f>
        <x:v>0</x:v>
      </x:c>
      <x:c r="H9" s="27"/>
    </x:row>
    <x:row r="10">
      <x:c r="A10" s="27" t="str">
        <x:v>평균 진행률</x:v>
      </x:c>
      <x:c r="B10" s="28" t="n">
        <x:f>IFERROR(AVERAGE('01_백로그'!V2:V29),0)</x:f>
        <x:v>0</x:v>
      </x:c>
      <x:c r="C10" s="27" t="str">
        <x:v>상태별 진행률 환산 평균</x:v>
      </x:c>
      <x:c r="D10" s="27"/>
      <x:c r="E10" s="27" t="str">
        <x:v>차단</x:v>
      </x:c>
      <x:c r="F10" s="27" t="n">
        <x:f>COUNTIF('01_백로그'!U2:U29,E10)</x:f>
        <x:v>0</x:v>
      </x:c>
      <x:c r="G10" s="28" t="n">
        <x:f>IFERROR(F10/$B$5,0)</x:f>
        <x:v>0</x:v>
      </x:c>
      <x:c r="H10" s="27"/>
    </x:row>
    <x:row r="11">
      <x:c r="A11" s="27" t="str">
        <x:v>QA 합격률</x:v>
      </x:c>
      <x:c r="B11" s="28" t="n">
        <x:f>IFERROR(COUNTIF('80_QA_케이스'!M2:M47,"합격")/COUNTIF('80_QA_케이스'!M2:M47,"&lt;&gt;대상 제외"),0)</x:f>
        <x:v>0</x:v>
      </x:c>
      <x:c r="C11" s="27" t="str">
        <x:v>대상 QA 중 통과 비율</x:v>
      </x:c>
      <x:c r="D11" s="27"/>
      <x:c r="E11" s="27" t="str">
        <x:v>완료</x:v>
      </x:c>
      <x:c r="F11" s="27" t="n">
        <x:f>COUNTIF('01_백로그'!U2:U29,E11)</x:f>
        <x:v>0</x:v>
      </x:c>
      <x:c r="G11" s="28" t="n">
        <x:f>IFERROR(F11/$B$5,0)</x:f>
        <x:v>0</x:v>
      </x:c>
      <x:c r="H11" s="27"/>
    </x:row>
    <x:row r="12">
      <x:c r="A12" s="27" t="str">
        <x:v>릴리스 판정</x:v>
      </x:c>
      <x:c r="B12" s="27" t="str">
        <x:f>IF(AND(B7=0,B8=0),"준비 완료","준비 안 됨")</x:f>
        <x:v>준비 안 됨</x:v>
      </x:c>
      <x:c r="C12" s="27" t="str">
        <x:v>P0·차단·게이트 종합 판단</x:v>
      </x:c>
      <x:c r="D12" s="27"/>
      <x:c r="E12" s="27" t="str">
        <x:v>보류</x:v>
      </x:c>
      <x:c r="F12" s="27" t="n">
        <x:f>COUNTIF('01_백로그'!U2:U29,E12)</x:f>
        <x:v>0</x:v>
      </x:c>
      <x:c r="G12" s="28" t="n">
        <x:f>IFERROR(F12/$B$5,0)</x:f>
        <x:v>0</x:v>
      </x:c>
      <x:c r="H12" s="27"/>
    </x:row>
    <x:row r="13">
      <x:c r="A13"/>
      <x:c r="B13"/>
      <x:c r="C13"/>
      <x:c r="D13"/>
      <x:c r="E13"/>
      <x:c r="F13"/>
      <x:c r="G13"/>
      <x:c r="H13"/>
    </x:row>
    <x:row r="14">
      <x:c r="A14" s="49" t="str">
        <x:v>운영 규칙</x:v>
      </x:c>
      <x:c r="B14" s="49" t="str">
        <x:v>갱신 주기</x:v>
      </x:c>
      <x:c r="C14" s="49" t="str">
        <x:v>기준 원본</x:v>
      </x:c>
      <x:c r="D14" s="49" t="str">
        <x:v>완료 판정</x:v>
      </x:c>
      <x:c r="E14" s="49" t="str">
        <x:v>의존관계</x:v>
      </x:c>
      <x:c r="F14" s="49" t="str">
        <x:v>변경관리</x:v>
      </x:c>
      <x:c r="G14" s="49" t="str">
        <x:v>증빙</x:v>
      </x:c>
      <x:c r="H14" s="49" t="str">
        <x:v>보안</x:v>
      </x:c>
    </x:row>
    <x:row r="15" ht="72" customHeight="1">
      <x:c r="A15" s="36" t="str">
        <x:v>ID는 변경하지 않음</x:v>
      </x:c>
      <x:c r="B15" s="36" t="str">
        <x:v>최소 주 2회</x:v>
      </x:c>
      <x:c r="C15" s="36" t="str">
        <x:v>외부 이슈 추적 도구 이전 후 해당 도구</x:v>
      </x:c>
      <x:c r="D15" s="36" t="str">
        <x:v>완료 정의 + QA + 증빙</x:v>
      </x:c>
      <x:c r="E15" s="36" t="str">
        <x:v>관련 ID 기재</x:v>
      </x:c>
      <x:c r="F15" s="36" t="str">
        <x:v>변경 요청·의사결정 경유</x:v>
      </x:c>
      <x:c r="G15" s="36" t="str">
        <x:v>URL·빌드·실행 기록</x:v>
      </x:c>
      <x:c r="H15" s="36" t="str">
        <x:v>비공개 정보 첨부 금지</x:v>
      </x:c>
    </x:row>
    <x:row r="16" ht="72" customHeight="1">
      <x:c r="A16" s="36" t="str">
        <x:v>담당자·기한은 스프린트 계획에서 확정</x:v>
      </x:c>
      <x:c r="B16" s="36" t="str">
        <x:v>게이트 전에는 매일</x:v>
      </x:c>
      <x:c r="C16" s="36" t="str">
        <x:v>Excel은 검토용 스냅샷</x:v>
      </x:c>
      <x:c r="D16" s="36" t="str">
        <x:v>미해결 P0·P1 없음</x:v>
      </x:c>
      <x:c r="E16" s="36" t="str">
        <x:v>부문 간 의존은 통합 파일에서 관리</x:v>
      </x:c>
      <x:c r="F16" s="36" t="str">
        <x:v>예외는 담당자·기한 필수</x:v>
      </x:c>
      <x:c r="G16" s="36" t="str">
        <x:v>로그는 상관관계 ID 포함</x:v>
      </x:c>
      <x:c r="H16" s="36" t="str">
        <x:v>역할·음성·개인정보 마스킹</x:v>
      </x:c>
    </x:row>
  </x:sheetData>
  <x:mergeCells>
    <x:mergeCell ref="A1:H1"/>
    <x:mergeCell ref="A2:H2"/>
  </x:mergeCells>
  <x:pageMargins left="0.7" right="0.7" top="0.75" bottom="0.75" header="0.3" footer="0.3"/>
  <x:drawing xmlns:r="http://schemas.openxmlformats.org/officeDocument/2006/relationships" r:id="Rf4acfdc6ca9b4739"/>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2" hidden="0" customWidth="1"/>
    <x:col min="4" max="4" width="22" hidden="0" customWidth="1"/>
    <x:col min="5" max="5" width="34" hidden="0" customWidth="1"/>
    <x:col min="6" max="6" width="44" hidden="0" customWidth="1"/>
    <x:col min="7" max="7" width="54" hidden="0" customWidth="1"/>
    <x:col min="8" max="8" width="48" hidden="0" customWidth="1"/>
    <x:col min="9" max="9" width="13" hidden="0" customWidth="1"/>
    <x:col min="10" max="10" width="10" hidden="0" customWidth="1"/>
    <x:col min="11" max="11" width="13" hidden="0" customWidth="1"/>
    <x:col min="12" max="12" width="18" hidden="0" customWidth="1"/>
    <x:col min="13" max="13" width="16" hidden="0" customWidth="1"/>
    <x:col min="14" max="14" width="22" hidden="0" customWidth="1"/>
    <x:col min="15" max="15" width="16" hidden="0" customWidth="1"/>
    <x:col min="16" max="16" width="16" hidden="0" customWidth="1"/>
    <x:col min="17" max="17" width="20" hidden="0" customWidth="1"/>
    <x:col min="18" max="18" width="20" hidden="0" customWidth="1"/>
    <x:col min="19" max="19" width="14" hidden="0" customWidth="1"/>
    <x:col min="20" max="20" width="10" hidden="0" customWidth="1"/>
    <x:col min="21" max="21" width="14" hidden="0" customWidth="1"/>
    <x:col min="22" max="22" width="10" hidden="0" customWidth="1"/>
    <x:col min="23" max="23" width="12" hidden="0" customWidth="1"/>
    <x:col min="24" max="24" width="13" hidden="0" customWidth="1"/>
    <x:col min="25" max="25" width="24" hidden="0" customWidth="1"/>
    <x:col min="26" max="26" width="12" hidden="0" customWidth="1"/>
    <x:col min="27" max="27" width="15" hidden="0" customWidth="1"/>
    <x:col min="28" max="28" width="24" hidden="0" customWidth="1"/>
    <x:col min="29" max="29" width="18" hidden="0" customWidth="1"/>
    <x:col min="30" max="30" width="30" hidden="0" customWidth="1"/>
    <x:col min="31" max="31" width="28" hidden="0" customWidth="1"/>
    <x:col min="32" max="32" width="13" hidden="0" customWidth="1"/>
    <x:col min="33" max="33" width="28" hidden="0" customWidth="1"/>
    <x:col min="34" max="34" width="12" hidden="0" customWidth="1"/>
    <x:col min="35" max="35" width="12" hidden="0" customWidth="1"/>
    <x:col min="36" max="36" width="12" hidden="0" customWidth="1"/>
  </x:cols>
  <x:sheetData>
    <x:row r="1" ht="30" customHeight="1">
      <x:c r="A1" s="40" t="str">
        <x:v>ID</x:v>
      </x:c>
      <x:c r="B1" s="40" t="str">
        <x:v>부문</x:v>
      </x:c>
      <x:c r="C1" s="40" t="str">
        <x:v>에픽</x:v>
      </x:c>
      <x:c r="D1" s="40" t="str">
        <x:v>기능 그룹</x:v>
      </x:c>
      <x:c r="E1" s="40" t="str">
        <x:v>구현 항목</x:v>
      </x:c>
      <x:c r="F1" s="40" t="str">
        <x:v>목적·설명</x:v>
      </x:c>
      <x:c r="G1" s="40" t="str">
        <x:v>수용 기준</x:v>
      </x:c>
      <x:c r="H1" s="40" t="str">
        <x:v>완료 정의</x:v>
      </x:c>
      <x:c r="I1" s="40" t="str">
        <x:v>범위</x:v>
      </x:c>
      <x:c r="J1" s="40" t="str">
        <x:v>우선순위</x:v>
      </x:c>
      <x:c r="K1" s="40" t="str">
        <x:v>릴리스 게이트</x:v>
      </x:c>
      <x:c r="L1" s="40" t="str">
        <x:v>게이트 분류</x:v>
      </x:c>
      <x:c r="M1" s="40" t="str">
        <x:v>마일스톤</x:v>
      </x:c>
      <x:c r="N1" s="40" t="str">
        <x:v>담당 부문</x:v>
      </x:c>
      <x:c r="O1" s="40" t="str">
        <x:v>담당자명</x:v>
      </x:c>
      <x:c r="P1" s="40" t="str">
        <x:v>검토자</x:v>
      </x:c>
      <x:c r="Q1" s="40" t="str">
        <x:v>대상 플랫폼</x:v>
      </x:c>
      <x:c r="R1" s="40" t="str">
        <x:v>권한·실행 주체</x:v>
      </x:c>
      <x:c r="S1" s="40" t="str">
        <x:v>영속화</x:v>
      </x:c>
      <x:c r="T1" s="40" t="str">
        <x:v>예상 규모</x:v>
      </x:c>
      <x:c r="U1" s="40" t="str">
        <x:v>상태</x:v>
      </x:c>
      <x:c r="V1" s="40" t="str">
        <x:v>진행률</x:v>
      </x:c>
      <x:c r="W1" s="40" t="str">
        <x:v>스프린트</x:v>
      </x:c>
      <x:c r="X1" s="40" t="str">
        <x:v>기한</x:v>
      </x:c>
      <x:c r="Y1" s="40" t="str">
        <x:v>의존 ID</x:v>
      </x:c>
      <x:c r="Z1" s="40" t="str">
        <x:v>위험도</x:v>
      </x:c>
      <x:c r="AA1" s="40" t="str">
        <x:v>QA 유형</x:v>
      </x:c>
      <x:c r="AB1" s="40" t="str">
        <x:v>테스트 케이스 ID</x:v>
      </x:c>
      <x:c r="AC1" s="40" t="str">
        <x:v>외부 추적 도구 키</x:v>
      </x:c>
      <x:c r="AD1" s="40" t="str">
        <x:v>근거</x:v>
      </x:c>
      <x:c r="AE1" s="40" t="str">
        <x:v>증빙 링크</x:v>
      </x:c>
      <x:c r="AF1" s="40" t="str">
        <x:v>최종 갱신일</x:v>
      </x:c>
      <x:c r="AG1" s="40" t="str">
        <x:v>비고</x:v>
      </x:c>
      <x:c r="AH1" s="53" t="str">
        <x:v>시작일</x:v>
      </x:c>
      <x:c r="AI1" s="53" t="str">
        <x:v>종료일</x:v>
      </x:c>
      <x:c r="AJ1" s="53" t="str">
        <x:v>진행상황</x:v>
      </x:c>
    </x:row>
    <x:row r="2" ht="42" customHeight="1">
      <x:c r="A2" s="36" t="str">
        <x:v>SET-001</x:v>
      </x:c>
      <x:c r="B2" s="36" t="str">
        <x:v>게임 설정·접근성</x:v>
      </x:c>
      <x:c r="C2" s="36" t="str">
        <x:v>설정 프레임워크</x:v>
      </x:c>
      <x:c r="D2" s="36" t="str">
        <x:v>스키마</x:v>
      </x:c>
      <x:c r="E2" s="36" t="str">
        <x:v>설정 키·형식·기본값·적용 범위 공통 스키마</x:v>
      </x:c>
      <x:c r="F2" s="36" t="str">
        <x:v>게임 규칙, 운영 요구사항과 대상 플랫폼 제약을 충족하도록 설정 키·형식·기본값·적용 범위 공통 스키마 기능을 구현하고 검증한다.</x:v>
      </x:c>
      <x:c r="G2" s="36" t="str">
        <x:v>각 설정에 고유 키, 데이터 형식, 기본값, 최솟값·최댓값, 적용 시점, 권한, 저장 범위, 버전을 정의하고 알 수 없는 키는 안전하게 무시한다.</x:v>
      </x:c>
      <x:c r="H2" s="36" t="str">
        <x:v>구현, 코드 리뷰, 사양 갱신, 대상 QA 케이스 실행, 로그·텔레메트리 확인과 관련 플랫폼 검증을 완료하고 미해결 P0·P1 결함이 없다.</x:v>
      </x:c>
      <x:c r="I2" s="36" t="str">
        <x:v>MVP</x:v>
      </x:c>
      <x:c r="J2" s="36" t="str">
        <x:v>P0</x:v>
      </x:c>
      <x:c r="K2" s="36" t="str">
        <x:v>필수</x:v>
      </x:c>
      <x:c r="L2" s="36" t="str">
        <x:v>설정 기반</x:v>
      </x:c>
      <x:c r="M2" s="36" t="str">
        <x:v>MVP</x:v>
      </x:c>
      <x:c r="N2" s="36" t="str">
        <x:v>UX·클라이언트 엔지니어링</x:v>
      </x:c>
      <x:c r="O2" s="36" t="str">
        <x:v>미정</x:v>
      </x:c>
      <x:c r="P2" s="36" t="str">
        <x:v>미정</x:v>
      </x:c>
      <x:c r="Q2" s="36" t="str">
        <x:v>전체</x:v>
      </x:c>
      <x:c r="R2" s="36" t="str">
        <x:v>콘텐츠 데이터</x:v>
      </x:c>
      <x:c r="S2" s="36" t="str">
        <x:v>백엔드</x:v>
      </x:c>
      <x:c r="T2" s="36" t="str">
        <x:v>L</x:v>
      </x:c>
      <x:c r="U2" s="36" t="str">
        <x:v>미착수</x:v>
      </x:c>
      <x:c r="V2" s="46" t="n">
        <x:f>IF(U2="완료",1,IF(U2="QA 진행 중",0.8,IF(U2="코드 리뷰",0.65,IF(U2="구현 중",0.4,IF(U2="사양 확인 중",0.1,IF(U2="차단",0.4,0))))))</x:f>
        <x:v>0</x:v>
      </x:c>
      <x:c r="W2" s="36" t="str">
        <x:v>미정</x:v>
      </x:c>
      <x:c r="X2" s="44"/>
      <x:c r="Y2" s="36"/>
      <x:c r="Z2" s="36" t="str">
        <x:v>중간</x:v>
      </x:c>
      <x:c r="AA2" s="36" t="str">
        <x:v>기능</x:v>
      </x:c>
      <x:c r="AB2" s="36" t="str">
        <x:v>TC-SET-001-01, TC-SET-001-02</x:v>
      </x:c>
      <x:c r="AC2" s="36"/>
      <x:c r="AD2" s="36" t="str">
        <x:v>게임 기획서</x:v>
      </x:c>
      <x:c r="AE2" s="36"/>
      <x:c r="AF2" s="44" t="str">
        <x:v>2026-07-10</x:v>
      </x:c>
      <x:c r="AG2" s="36"/>
      <x:c r="AH2" s="54"/>
      <x:c r="AI2" s="54"/>
      <x:c r="AJ2" s="53" t="str">
        <x:v>착수 전</x:v>
      </x:c>
    </x:row>
    <x:row r="3" ht="42" customHeight="1">
      <x:c r="A3" s="36" t="str">
        <x:v>SET-002</x:v>
      </x:c>
      <x:c r="B3" s="36" t="str">
        <x:v>게임 설정·접근성</x:v>
      </x:c>
      <x:c r="C3" s="36" t="str">
        <x:v>설정 프레임워크</x:v>
      </x:c>
      <x:c r="D3" s="36" t="str">
        <x:v>영속성</x:v>
      </x:c>
      <x:c r="E3" s="36" t="str">
        <x:v>설정 저장·버전 마이그레이션</x:v>
      </x:c>
      <x:c r="F3" s="36" t="str">
        <x:v>게임 규칙, 운영 요구사항과 대상 플랫폼 제약을 충족하도록 설정 저장·버전 마이그레이션 기능을 구현하고 검증한다.</x:v>
      </x:c>
      <x:c r="G3" s="36" t="str">
        <x:v>기기, 계정, 룸 설정을 올바른 저장 영역에 보관하고 이전 버전 설정의 마이그레이션이 실패하면 기본값으로 안전하게 복구한다.</x:v>
      </x:c>
      <x:c r="H3" s="36" t="str">
        <x:v>구현, 코드 리뷰, 사양 갱신, 대상 QA 케이스 실행, 로그·텔레메트리 확인과 관련 플랫폼 검증을 완료하고 미해결 P0·P1 결함이 없다.</x:v>
      </x:c>
      <x:c r="I3" s="36" t="str">
        <x:v>MVP</x:v>
      </x:c>
      <x:c r="J3" s="36" t="str">
        <x:v>P0</x:v>
      </x:c>
      <x:c r="K3" s="36" t="str">
        <x:v>필수</x:v>
      </x:c>
      <x:c r="L3" s="36" t="str">
        <x:v>설정 기반</x:v>
      </x:c>
      <x:c r="M3" s="36" t="str">
        <x:v>MVP</x:v>
      </x:c>
      <x:c r="N3" s="36" t="str">
        <x:v>UX·클라이언트 엔지니어링</x:v>
      </x:c>
      <x:c r="O3" s="36" t="str">
        <x:v>미정</x:v>
      </x:c>
      <x:c r="P3" s="36" t="str">
        <x:v>미정</x:v>
      </x:c>
      <x:c r="Q3" s="36" t="str">
        <x:v>전체</x:v>
      </x:c>
      <x:c r="R3" s="36" t="str">
        <x:v>클라이언트 로컬</x:v>
      </x:c>
      <x:c r="S3" s="36" t="str">
        <x:v>단말 로컬</x:v>
      </x:c>
      <x:c r="T3" s="36" t="str">
        <x:v>L</x:v>
      </x:c>
      <x:c r="U3" s="36" t="str">
        <x:v>미착수</x:v>
      </x:c>
      <x:c r="V3" s="46" t="n">
        <x:f>IF(U3="완료",1,IF(U3="QA 진행 중",0.8,IF(U3="코드 리뷰",0.65,IF(U3="구현 중",0.4,IF(U3="사양 확인 중",0.1,IF(U3="차단",0.4,0))))))</x:f>
        <x:v>0</x:v>
      </x:c>
      <x:c r="W3" s="36" t="str">
        <x:v>미정</x:v>
      </x:c>
      <x:c r="X3" s="44"/>
      <x:c r="Y3" s="36" t="str">
        <x:v>SET-001,BED-003</x:v>
      </x:c>
      <x:c r="Z3" s="36" t="str">
        <x:v>중간</x:v>
      </x:c>
      <x:c r="AA3" s="36" t="str">
        <x:v>호환성</x:v>
      </x:c>
      <x:c r="AB3" s="36" t="str">
        <x:v>TC-SET-002-01, TC-SET-002-02</x:v>
      </x:c>
      <x:c r="AC3" s="36"/>
      <x:c r="AD3" s="36" t="str">
        <x:v>게임 기획서</x:v>
      </x:c>
      <x:c r="AE3" s="36"/>
      <x:c r="AF3" s="44" t="str">
        <x:v>2026-07-10</x:v>
      </x:c>
      <x:c r="AG3" s="36"/>
      <x:c r="AH3" s="54"/>
      <x:c r="AI3" s="54"/>
      <x:c r="AJ3" s="53" t="str">
        <x:v>착수 전</x:v>
      </x:c>
    </x:row>
    <x:row r="4" ht="42" customHeight="1">
      <x:c r="A4" s="36" t="str">
        <x:v>SET-003</x:v>
      </x:c>
      <x:c r="B4" s="36" t="str">
        <x:v>게임 설정·접근성</x:v>
      </x:c>
      <x:c r="C4" s="36" t="str">
        <x:v>설정 프레임워크</x:v>
      </x:c>
      <x:c r="D4" s="36" t="str">
        <x:v>초기화</x:v>
      </x:c>
      <x:c r="E4" s="36" t="str">
        <x:v>범주별·전체 설정 초기화</x:v>
      </x:c>
      <x:c r="F4" s="36" t="str">
        <x:v>게임 규칙, 운영 요구사항과 대상 플랫폼 제약을 충족하도록 범주별·전체 설정 초기화 기능을 구현하고 검증한다.</x:v>
      </x:c>
      <x:c r="G4" s="36" t="str">
        <x:v>그래픽, 오디오, 조작, 접근성, 온라인 설정을 범주별 또는 전체로 초기화할 수 있으며 확인 절차를 거친다.</x:v>
      </x:c>
      <x:c r="H4" s="36" t="str">
        <x:v>구현, 코드 리뷰, 사양 갱신, 대상 QA 케이스 실행, 로그·텔레메트리 확인과 관련 플랫폼 검증을 완료하고 미해결 P0·P1 결함이 없다.</x:v>
      </x:c>
      <x:c r="I4" s="36" t="str">
        <x:v>MVP</x:v>
      </x:c>
      <x:c r="J4" s="36" t="str">
        <x:v>P1</x:v>
      </x:c>
      <x:c r="K4" s="36" t="str">
        <x:v>필수</x:v>
      </x:c>
      <x:c r="L4" s="36" t="str">
        <x:v>설정 기반</x:v>
      </x:c>
      <x:c r="M4" s="36" t="str">
        <x:v>MVP</x:v>
      </x:c>
      <x:c r="N4" s="36" t="str">
        <x:v>UX·클라이언트 엔지니어링</x:v>
      </x:c>
      <x:c r="O4" s="36" t="str">
        <x:v>미정</x:v>
      </x:c>
      <x:c r="P4" s="36" t="str">
        <x:v>미정</x:v>
      </x:c>
      <x:c r="Q4" s="36" t="str">
        <x:v>전체</x:v>
      </x:c>
      <x:c r="R4" s="36" t="str">
        <x:v>클라이언트 로컬</x:v>
      </x:c>
      <x:c r="S4" s="36" t="str">
        <x:v>단말 로컬</x:v>
      </x:c>
      <x:c r="T4" s="36" t="str">
        <x:v>S</x:v>
      </x:c>
      <x:c r="U4" s="36" t="str">
        <x:v>미착수</x:v>
      </x:c>
      <x:c r="V4" s="46" t="n">
        <x:f>IF(U4="완료",1,IF(U4="QA 진행 중",0.8,IF(U4="코드 리뷰",0.65,IF(U4="구현 중",0.4,IF(U4="사양 확인 중",0.1,IF(U4="차단",0.4,0))))))</x:f>
        <x:v>0</x:v>
      </x:c>
      <x:c r="W4" s="36" t="str">
        <x:v>미정</x:v>
      </x:c>
      <x:c r="X4" s="44"/>
      <x:c r="Y4" s="36" t="str">
        <x:v>SET-001</x:v>
      </x:c>
      <x:c r="Z4" s="36" t="str">
        <x:v>중간</x:v>
      </x:c>
      <x:c r="AA4" s="36" t="str">
        <x:v>기능</x:v>
      </x:c>
      <x:c r="AB4" s="36" t="str">
        <x:v>TC-SET-003-01</x:v>
      </x:c>
      <x:c r="AC4" s="36"/>
      <x:c r="AD4" s="36" t="str">
        <x:v>게임 기획서</x:v>
      </x:c>
      <x:c r="AE4" s="36"/>
      <x:c r="AF4" s="44" t="str">
        <x:v>2026-07-10</x:v>
      </x:c>
      <x:c r="AG4" s="36"/>
      <x:c r="AH4" s="54"/>
      <x:c r="AI4" s="54"/>
      <x:c r="AJ4" s="53" t="str">
        <x:v>착수 전</x:v>
      </x:c>
    </x:row>
    <x:row r="5" ht="42" customHeight="1">
      <x:c r="A5" s="36" t="str">
        <x:v>SET-004</x:v>
      </x:c>
      <x:c r="B5" s="36" t="str">
        <x:v>게임 설정·접근성</x:v>
      </x:c>
      <x:c r="C5" s="36" t="str">
        <x:v>일반</x:v>
      </x:c>
      <x:c r="D5" s="36" t="str">
        <x:v>언어</x:v>
      </x:c>
      <x:c r="E5" s="36" t="str">
        <x:v>표시 언어·현지화 선택</x:v>
      </x:c>
      <x:c r="F5" s="36" t="str">
        <x:v>게임 규칙, 운영 요구사항과 대상 플랫폼 제약을 충족하도록 표시 언어·현지화 선택 기능을 구현하고 검증한다.</x:v>
      </x:c>
      <x:c r="G5" s="36" t="str">
        <x:v>최초 실행 시 OS 또는 플랫폼 언어를 참조하고 설정 화면에서 즉시 변경할 수 있으며 개발 빌드에서 미번역 키를 탐지한다.</x:v>
      </x:c>
      <x:c r="H5" s="36" t="str">
        <x:v>구현, 코드 리뷰, 사양 갱신, 대상 QA 케이스 실행, 로그·텔레메트리 확인과 관련 플랫폼 검증을 완료하고 미해결 P0·P1 결함이 없다.</x:v>
      </x:c>
      <x:c r="I5" s="36" t="str">
        <x:v>베타</x:v>
      </x:c>
      <x:c r="J5" s="36" t="str">
        <x:v>P1</x:v>
      </x:c>
      <x:c r="K5" s="36" t="str">
        <x:v>필수</x:v>
      </x:c>
      <x:c r="L5" s="36" t="str">
        <x:v>현지화</x:v>
      </x:c>
      <x:c r="M5" s="36" t="str">
        <x:v>베타</x:v>
      </x:c>
      <x:c r="N5" s="36" t="str">
        <x:v>UX·클라이언트 엔지니어링</x:v>
      </x:c>
      <x:c r="O5" s="36" t="str">
        <x:v>미정</x:v>
      </x:c>
      <x:c r="P5" s="36" t="str">
        <x:v>미정</x:v>
      </x:c>
      <x:c r="Q5" s="36" t="str">
        <x:v>전체</x:v>
      </x:c>
      <x:c r="R5" s="36" t="str">
        <x:v>클라이언트 로컬</x:v>
      </x:c>
      <x:c r="S5" s="36" t="str">
        <x:v>단말 로컬</x:v>
      </x:c>
      <x:c r="T5" s="36" t="str">
        <x:v>M</x:v>
      </x:c>
      <x:c r="U5" s="36" t="str">
        <x:v>미착수</x:v>
      </x:c>
      <x:c r="V5" s="46" t="n">
        <x:f>IF(U5="완료",1,IF(U5="QA 진행 중",0.8,IF(U5="코드 리뷰",0.65,IF(U5="구현 중",0.4,IF(U5="사양 확인 중",0.1,IF(U5="차단",0.4,0))))))</x:f>
        <x:v>0</x:v>
      </x:c>
      <x:c r="W5" s="36" t="str">
        <x:v>미정</x:v>
      </x:c>
      <x:c r="X5" s="44"/>
      <x:c r="Y5" s="36" t="str">
        <x:v>SET-001</x:v>
      </x:c>
      <x:c r="Z5" s="36" t="str">
        <x:v>중간</x:v>
      </x:c>
      <x:c r="AA5" s="36" t="str">
        <x:v>현지화</x:v>
      </x:c>
      <x:c r="AB5" s="36" t="str">
        <x:v>TC-SET-004-01</x:v>
      </x:c>
      <x:c r="AC5" s="36"/>
      <x:c r="AD5" s="36" t="str">
        <x:v>게임 기획서</x:v>
      </x:c>
      <x:c r="AE5" s="36"/>
      <x:c r="AF5" s="44" t="str">
        <x:v>2026-07-10</x:v>
      </x:c>
      <x:c r="AG5" s="36"/>
      <x:c r="AH5" s="54"/>
      <x:c r="AI5" s="54"/>
      <x:c r="AJ5" s="53" t="str">
        <x:v>착수 전</x:v>
      </x:c>
    </x:row>
    <x:row r="6" ht="42" customHeight="1">
      <x:c r="A6" s="36" t="str">
        <x:v>SET-005</x:v>
      </x:c>
      <x:c r="B6" s="36" t="str">
        <x:v>게임 설정·접근성</x:v>
      </x:c>
      <x:c r="C6" s="36" t="str">
        <x:v>클라이언트 설정</x:v>
      </x:c>
      <x:c r="D6" s="36" t="str">
        <x:v>그래픽</x:v>
      </x:c>
      <x:c r="E6" s="36" t="str">
        <x:v>화면·품질·FOV 설정</x:v>
      </x:c>
      <x:c r="F6" s="36" t="str">
        <x:v>게임 규칙, 운영 요구사항과 대상 플랫폼 제약을 충족하도록 화면·품질·FOV 설정 기능을 구현하고 검증한다.</x:v>
      </x:c>
      <x:c r="G6" s="36" t="str">
        <x:v>해상도, 화면 모드, 품질 프리셋, FOV, 밝기를 변경할 수 있고 등 메모 판독성을 해칠 수 있는 범위는 제한하거나 경고한다.</x:v>
      </x:c>
      <x:c r="H6" s="36" t="str">
        <x:v>구현, 코드 리뷰, 사양 갱신, 대상 QA 케이스 실행, 로그·텔레메트리 확인과 관련 플랫폼 검증을 완료하고 미해결 P0·P1 결함이 없다.</x:v>
      </x:c>
      <x:c r="I6" s="36" t="str">
        <x:v>베타</x:v>
      </x:c>
      <x:c r="J6" s="36" t="str">
        <x:v>P1</x:v>
      </x:c>
      <x:c r="K6" s="36" t="str">
        <x:v>필수</x:v>
      </x:c>
      <x:c r="L6" s="36" t="str">
        <x:v>호환성</x:v>
      </x:c>
      <x:c r="M6" s="36" t="str">
        <x:v>베타</x:v>
      </x:c>
      <x:c r="N6" s="36" t="str">
        <x:v>UX·클라이언트 엔지니어링</x:v>
      </x:c>
      <x:c r="O6" s="36" t="str">
        <x:v>미정</x:v>
      </x:c>
      <x:c r="P6" s="36" t="str">
        <x:v>미정</x:v>
      </x:c>
      <x:c r="Q6" s="36" t="str">
        <x:v>PC</x:v>
      </x:c>
      <x:c r="R6" s="36" t="str">
        <x:v>클라이언트 로컬</x:v>
      </x:c>
      <x:c r="S6" s="36" t="str">
        <x:v>단말 로컬</x:v>
      </x:c>
      <x:c r="T6" s="36" t="str">
        <x:v>L</x:v>
      </x:c>
      <x:c r="U6" s="36" t="str">
        <x:v>미착수</x:v>
      </x:c>
      <x:c r="V6" s="46" t="n">
        <x:f>IF(U6="완료",1,IF(U6="QA 진행 중",0.8,IF(U6="코드 리뷰",0.65,IF(U6="구현 중",0.4,IF(U6="사양 확인 중",0.1,IF(U6="차단",0.4,0))))))</x:f>
        <x:v>0</x:v>
      </x:c>
      <x:c r="W6" s="36" t="str">
        <x:v>미정</x:v>
      </x:c>
      <x:c r="X6" s="44"/>
      <x:c r="Y6" s="36" t="str">
        <x:v>SET-001,CHR-012</x:v>
      </x:c>
      <x:c r="Z6" s="36" t="str">
        <x:v>중간</x:v>
      </x:c>
      <x:c r="AA6" s="36" t="str">
        <x:v>호환성</x:v>
      </x:c>
      <x:c r="AB6" s="36" t="str">
        <x:v>TC-SET-005-01</x:v>
      </x:c>
      <x:c r="AC6" s="36"/>
      <x:c r="AD6" s="36" t="str">
        <x:v>게임 기획서</x:v>
      </x:c>
      <x:c r="AE6" s="36"/>
      <x:c r="AF6" s="44" t="str">
        <x:v>2026-07-10</x:v>
      </x:c>
      <x:c r="AG6" s="36"/>
      <x:c r="AH6" s="54"/>
      <x:c r="AI6" s="54"/>
      <x:c r="AJ6" s="53" t="str">
        <x:v>착수 전</x:v>
      </x:c>
    </x:row>
    <x:row r="7" ht="42" customHeight="1">
      <x:c r="A7" s="36" t="str">
        <x:v>SET-006</x:v>
      </x:c>
      <x:c r="B7" s="36" t="str">
        <x:v>게임 설정·접근성</x:v>
      </x:c>
      <x:c r="C7" s="36" t="str">
        <x:v>클라이언트 설정</x:v>
      </x:c>
      <x:c r="D7" s="36" t="str">
        <x:v>조작</x:v>
      </x:c>
      <x:c r="E7" s="36" t="str">
        <x:v>입력 바인딩·감도·데드존 설정</x:v>
      </x:c>
      <x:c r="F7" s="36" t="str">
        <x:v>게임 규칙, 운영 요구사항과 대상 플랫폼 제약을 충족하도록 입력 바인딩·감도·데드존 설정 기능을 구현하고 검증한다.</x:v>
      </x:c>
      <x:c r="G7" s="36" t="str">
        <x:v>키보드·마우스와 게임패드 재지정, 축 반전, 감도, 데드존을 설정할 수 있고 필수 조작의 중복 지정과 미지정을 방지한다.</x:v>
      </x:c>
      <x:c r="H7" s="36" t="str">
        <x:v>구현, 코드 리뷰, 사양 갱신, 대상 QA 케이스 실행, 로그·텔레메트리 확인과 관련 플랫폼 검증을 완료하고 미해결 P0·P1 결함이 없다.</x:v>
      </x:c>
      <x:c r="I7" s="36" t="str">
        <x:v>베타</x:v>
      </x:c>
      <x:c r="J7" s="36" t="str">
        <x:v>P1</x:v>
      </x:c>
      <x:c r="K7" s="36" t="str">
        <x:v>필수</x:v>
      </x:c>
      <x:c r="L7" s="36" t="str">
        <x:v>조작</x:v>
      </x:c>
      <x:c r="M7" s="36" t="str">
        <x:v>베타</x:v>
      </x:c>
      <x:c r="N7" s="36" t="str">
        <x:v>UX·클라이언트 엔지니어링</x:v>
      </x:c>
      <x:c r="O7" s="36" t="str">
        <x:v>미정</x:v>
      </x:c>
      <x:c r="P7" s="36" t="str">
        <x:v>미정</x:v>
      </x:c>
      <x:c r="Q7" s="36" t="str">
        <x:v>전체</x:v>
      </x:c>
      <x:c r="R7" s="36" t="str">
        <x:v>클라이언트 로컬</x:v>
      </x:c>
      <x:c r="S7" s="36" t="str">
        <x:v>단말 로컬</x:v>
      </x:c>
      <x:c r="T7" s="36" t="str">
        <x:v>XL</x:v>
      </x:c>
      <x:c r="U7" s="36" t="str">
        <x:v>미착수</x:v>
      </x:c>
      <x:c r="V7" s="46" t="n">
        <x:f>IF(U7="완료",1,IF(U7="QA 진행 중",0.8,IF(U7="코드 리뷰",0.65,IF(U7="구현 중",0.4,IF(U7="사양 확인 중",0.1,IF(U7="차단",0.4,0))))))</x:f>
        <x:v>0</x:v>
      </x:c>
      <x:c r="W7" s="36" t="str">
        <x:v>미정</x:v>
      </x:c>
      <x:c r="X7" s="44"/>
      <x:c r="Y7" s="36" t="str">
        <x:v>SET-001</x:v>
      </x:c>
      <x:c r="Z7" s="36" t="str">
        <x:v>중간</x:v>
      </x:c>
      <x:c r="AA7" s="36" t="str">
        <x:v>접근성</x:v>
      </x:c>
      <x:c r="AB7" s="36" t="str">
        <x:v>TC-SET-006-01</x:v>
      </x:c>
      <x:c r="AC7" s="36"/>
      <x:c r="AD7" s="36" t="str">
        <x:v>게임 기획서</x:v>
      </x:c>
      <x:c r="AE7" s="36"/>
      <x:c r="AF7" s="44" t="str">
        <x:v>2026-07-10</x:v>
      </x:c>
      <x:c r="AG7" s="36"/>
      <x:c r="AH7" s="54"/>
      <x:c r="AI7" s="54"/>
      <x:c r="AJ7" s="53" t="str">
        <x:v>착수 전</x:v>
      </x:c>
    </x:row>
    <x:row r="8" ht="42" customHeight="1">
      <x:c r="A8" s="36" t="str">
        <x:v>SET-007</x:v>
      </x:c>
      <x:c r="B8" s="36" t="str">
        <x:v>게임 설정·접근성</x:v>
      </x:c>
      <x:c r="C8" s="36" t="str">
        <x:v>클라이언트 설정</x:v>
      </x:c>
      <x:c r="D8" s="36" t="str">
        <x:v>오디오</x:v>
      </x:c>
      <x:c r="E8" s="36" t="str">
        <x:v>BGM·효과음·UI·음성 볼륨 분리</x:v>
      </x:c>
      <x:c r="F8" s="36" t="str">
        <x:v>게임 규칙, 운영 요구사항과 대상 플랫폼 제약을 충족하도록 BGM·효과음·UI·음성 볼륨 분리 기능을 구현하고 검증한다.</x:v>
      </x:c>
      <x:c r="G8" s="36" t="str">
        <x:v>마스터, BGM, 효과음, UI, 음성 채팅, 마이크 게인을 개별 조절할 수 있고 음소거 상태가 매치 전환 중 임의로 해제되지 않는다.</x:v>
      </x:c>
      <x:c r="H8" s="36" t="str">
        <x:v>구현, 코드 리뷰, 사양 갱신, 대상 QA 케이스 실행, 로그·텔레메트리 확인과 관련 플랫폼 검증을 완료하고 미해결 P0·P1 결함이 없다.</x:v>
      </x:c>
      <x:c r="I8" s="36" t="str">
        <x:v>알파</x:v>
      </x:c>
      <x:c r="J8" s="36" t="str">
        <x:v>P0</x:v>
      </x:c>
      <x:c r="K8" s="36" t="str">
        <x:v>필수</x:v>
      </x:c>
      <x:c r="L8" s="36" t="str">
        <x:v>오디오</x:v>
      </x:c>
      <x:c r="M8" s="36" t="str">
        <x:v>알파</x:v>
      </x:c>
      <x:c r="N8" s="36" t="str">
        <x:v>UX·클라이언트 엔지니어링</x:v>
      </x:c>
      <x:c r="O8" s="36" t="str">
        <x:v>미정</x:v>
      </x:c>
      <x:c r="P8" s="36" t="str">
        <x:v>미정</x:v>
      </x:c>
      <x:c r="Q8" s="36" t="str">
        <x:v>전체</x:v>
      </x:c>
      <x:c r="R8" s="36" t="str">
        <x:v>클라이언트 로컬</x:v>
      </x:c>
      <x:c r="S8" s="36" t="str">
        <x:v>단말 로컬</x:v>
      </x:c>
      <x:c r="T8" s="36" t="str">
        <x:v>M</x:v>
      </x:c>
      <x:c r="U8" s="36" t="str">
        <x:v>미착수</x:v>
      </x:c>
      <x:c r="V8" s="46" t="n">
        <x:f>IF(U8="완료",1,IF(U8="QA 진행 중",0.8,IF(U8="코드 리뷰",0.65,IF(U8="구현 중",0.4,IF(U8="사양 확인 중",0.1,IF(U8="차단",0.4,0))))))</x:f>
        <x:v>0</x:v>
      </x:c>
      <x:c r="W8" s="36" t="str">
        <x:v>미정</x:v>
      </x:c>
      <x:c r="X8" s="44"/>
      <x:c r="Y8" s="36" t="str">
        <x:v>SET-001,AUD-001</x:v>
      </x:c>
      <x:c r="Z8" s="36" t="str">
        <x:v>중간</x:v>
      </x:c>
      <x:c r="AA8" s="36" t="str">
        <x:v>기능</x:v>
      </x:c>
      <x:c r="AB8" s="36" t="str">
        <x:v>TC-SET-007-01, TC-SET-007-02</x:v>
      </x:c>
      <x:c r="AC8" s="36"/>
      <x:c r="AD8" s="36" t="str">
        <x:v>게임 기획서</x:v>
      </x:c>
      <x:c r="AE8" s="36"/>
      <x:c r="AF8" s="44" t="str">
        <x:v>2026-07-10</x:v>
      </x:c>
      <x:c r="AG8" s="36"/>
      <x:c r="AH8" s="54"/>
      <x:c r="AI8" s="54"/>
      <x:c r="AJ8" s="53" t="str">
        <x:v>착수 전</x:v>
      </x:c>
    </x:row>
    <x:row r="9" ht="42" customHeight="1">
      <x:c r="A9" s="36" t="str">
        <x:v>SET-008</x:v>
      </x:c>
      <x:c r="B9" s="36" t="str">
        <x:v>게임 설정·접근성</x:v>
      </x:c>
      <x:c r="C9" s="36" t="str">
        <x:v>클라이언트 설정</x:v>
      </x:c>
      <x:c r="D9" s="36" t="str">
        <x:v>음성·개인정보</x:v>
      </x:c>
      <x:c r="E9" s="36" t="str">
        <x:v>음성 방식·입출력 장치·동의 설정</x:v>
      </x:c>
      <x:c r="F9" s="36" t="str">
        <x:v>게임 규칙, 운영 요구사항과 대상 플랫폼 제약을 충족하도록 음성 방식·입출력 장치·동의 설정 기능을 구현하고 검증한다.</x:v>
      </x:c>
      <x:c r="G9" s="36" t="str">
        <x:v>PTT·오픈 마이크, 입력·출력 장치, 음성 활성화, 최초 동의, 지역·연령 제한을 설정할 수 있다.</x:v>
      </x:c>
      <x:c r="H9" s="36" t="str">
        <x:v>구현, 코드 리뷰, 사양 갱신, 대상 QA 케이스 실행, 로그·텔레메트리 확인과 관련 플랫폼 검증을 완료하고 미해결 P0·P1 결함이 없다.</x:v>
      </x:c>
      <x:c r="I9" s="36" t="str">
        <x:v>알파</x:v>
      </x:c>
      <x:c r="J9" s="36" t="str">
        <x:v>P0</x:v>
      </x:c>
      <x:c r="K9" s="36" t="str">
        <x:v>필수</x:v>
      </x:c>
      <x:c r="L9" s="36" t="str">
        <x:v>개인정보</x:v>
      </x:c>
      <x:c r="M9" s="36" t="str">
        <x:v>알파</x:v>
      </x:c>
      <x:c r="N9" s="36" t="str">
        <x:v>UX·클라이언트 엔지니어링</x:v>
      </x:c>
      <x:c r="O9" s="36" t="str">
        <x:v>미정</x:v>
      </x:c>
      <x:c r="P9" s="36" t="str">
        <x:v>미정</x:v>
      </x:c>
      <x:c r="Q9" s="36" t="str">
        <x:v>전체</x:v>
      </x:c>
      <x:c r="R9" s="36" t="str">
        <x:v>클라이언트 로컬</x:v>
      </x:c>
      <x:c r="S9" s="36" t="str">
        <x:v>계정</x:v>
      </x:c>
      <x:c r="T9" s="36" t="str">
        <x:v>L</x:v>
      </x:c>
      <x:c r="U9" s="36" t="str">
        <x:v>미착수</x:v>
      </x:c>
      <x:c r="V9" s="46" t="n">
        <x:f>IF(U9="완료",1,IF(U9="QA 진행 중",0.8,IF(U9="코드 리뷰",0.65,IF(U9="구현 중",0.4,IF(U9="사양 확인 중",0.1,IF(U9="차단",0.4,0))))))</x:f>
        <x:v>0</x:v>
      </x:c>
      <x:c r="W9" s="36" t="str">
        <x:v>미정</x:v>
      </x:c>
      <x:c r="X9" s="44"/>
      <x:c r="Y9" s="36" t="str">
        <x:v>SET-001,AUD-002,BED-012</x:v>
      </x:c>
      <x:c r="Z9" s="36" t="str">
        <x:v>중간</x:v>
      </x:c>
      <x:c r="AA9" s="36" t="str">
        <x:v>운영</x:v>
      </x:c>
      <x:c r="AB9" s="36" t="str">
        <x:v>TC-SET-008-01, TC-SET-008-02</x:v>
      </x:c>
      <x:c r="AC9" s="36"/>
      <x:c r="AD9" s="36" t="str">
        <x:v>게임 기획서</x:v>
      </x:c>
      <x:c r="AE9" s="36"/>
      <x:c r="AF9" s="44" t="str">
        <x:v>2026-07-10</x:v>
      </x:c>
      <x:c r="AG9" s="36"/>
      <x:c r="AH9" s="54"/>
      <x:c r="AI9" s="54"/>
      <x:c r="AJ9" s="53" t="str">
        <x:v>착수 전</x:v>
      </x:c>
    </x:row>
    <x:row r="10" ht="42" customHeight="1">
      <x:c r="A10" s="36" t="str">
        <x:v>SET-009</x:v>
      </x:c>
      <x:c r="B10" s="36" t="str">
        <x:v>게임 설정·접근성</x:v>
      </x:c>
      <x:c r="C10" s="36" t="str">
        <x:v>룸 규칙</x:v>
      </x:c>
      <x:c r="D10" s="36" t="str">
        <x:v>프리셋</x:v>
      </x:c>
      <x:c r="E10" s="36" t="str">
        <x:v>권장 룸 프리셋</x:v>
      </x:c>
      <x:c r="F10" s="36" t="str">
        <x:v>게임 규칙, 운영 요구사항과 대상 플랫폼 제약을 충족하도록 권장 룸 프리셋 기능을 구현하고 검증한다.</x:v>
      </x:c>
      <x:c r="G10" s="36" t="str">
        <x:v>5~6명, 마피아 1명, 낮 180초, 밤 관찰 25초, 투표 15초, 위조 1회, 5일째 최종 재판의 권장값을 한 번에 적용한다.</x:v>
      </x:c>
      <x:c r="H10" s="36" t="str">
        <x:v>구현, 코드 리뷰, 사양 갱신, 대상 QA 케이스 실행, 로그·텔레메트리 확인과 관련 플랫폼 검증을 완료하고 미해결 P0·P1 결함이 없다.</x:v>
      </x:c>
      <x:c r="I10" s="36" t="str">
        <x:v>MVP</x:v>
      </x:c>
      <x:c r="J10" s="36" t="str">
        <x:v>P0</x:v>
      </x:c>
      <x:c r="K10" s="36" t="str">
        <x:v>필수</x:v>
      </x:c>
      <x:c r="L10" s="36" t="str">
        <x:v>규칙</x:v>
      </x:c>
      <x:c r="M10" s="36" t="str">
        <x:v>MVP</x:v>
      </x:c>
      <x:c r="N10" s="36" t="str">
        <x:v>UX·클라이언트 엔지니어링</x:v>
      </x:c>
      <x:c r="O10" s="36" t="str">
        <x:v>미정</x:v>
      </x:c>
      <x:c r="P10" s="36" t="str">
        <x:v>미정</x:v>
      </x:c>
      <x:c r="Q10" s="36" t="str">
        <x:v>전체</x:v>
      </x:c>
      <x:c r="R10" s="36" t="str">
        <x:v>호스트 권한</x:v>
      </x:c>
      <x:c r="S10" s="36" t="str">
        <x:v>단말 로컬</x:v>
      </x:c>
      <x:c r="T10" s="36" t="str">
        <x:v>M</x:v>
      </x:c>
      <x:c r="U10" s="36" t="str">
        <x:v>미착수</x:v>
      </x:c>
      <x:c r="V10" s="46" t="n">
        <x:f>IF(U10="완료",1,IF(U10="QA 진행 중",0.8,IF(U10="코드 리뷰",0.65,IF(U10="구현 중",0.4,IF(U10="사양 확인 중",0.1,IF(U10="차단",0.4,0))))))</x:f>
        <x:v>0</x:v>
      </x:c>
      <x:c r="W10" s="36" t="str">
        <x:v>미정</x:v>
      </x:c>
      <x:c r="X10" s="44"/>
      <x:c r="Y10" s="36" t="str">
        <x:v>SET-001</x:v>
      </x:c>
      <x:c r="Z10" s="36" t="str">
        <x:v>중간</x:v>
      </x:c>
      <x:c r="AA10" s="36" t="str">
        <x:v>기능</x:v>
      </x:c>
      <x:c r="AB10" s="36" t="str">
        <x:v>TC-SET-009-01, TC-SET-009-02</x:v>
      </x:c>
      <x:c r="AC10" s="36"/>
      <x:c r="AD10" s="36" t="str">
        <x:v>게임 기획서</x:v>
      </x:c>
      <x:c r="AE10" s="36"/>
      <x:c r="AF10" s="44" t="str">
        <x:v>2026-07-10</x:v>
      </x:c>
      <x:c r="AG10" s="36"/>
      <x:c r="AH10" s="54"/>
      <x:c r="AI10" s="54"/>
      <x:c r="AJ10" s="53" t="str">
        <x:v>착수 전</x:v>
      </x:c>
    </x:row>
    <x:row r="11" ht="42" customHeight="1">
      <x:c r="A11" s="36" t="str">
        <x:v>SET-010</x:v>
      </x:c>
      <x:c r="B11" s="36" t="str">
        <x:v>게임 설정·접근성</x:v>
      </x:c>
      <x:c r="C11" s="36" t="str">
        <x:v>룸 규칙</x:v>
      </x:c>
      <x:c r="D11" s="36" t="str">
        <x:v>인원 구성</x:v>
      </x:c>
      <x:c r="E11" s="36" t="str">
        <x:v>인원·마피아 수 조합 제한</x:v>
      </x:c>
      <x:c r="F11" s="36" t="str">
        <x:v>게임 규칙, 운영 요구사항과 대상 플랫폼 제약을 충족하도록 인원·마피아 수 조합 제한 기능을 구현하고 검증한다.</x:v>
      </x:c>
      <x:c r="G11" s="36" t="str">
        <x:v>MVP는 4~6명·마피아 1명으로 제한하고 출시 후 7~8명·마피아 2명은 기능 플래그로 분리하며 모순된 조합은 만들 수 없다.</x:v>
      </x:c>
      <x:c r="H11" s="36" t="str">
        <x:v>구현, 코드 리뷰, 사양 갱신, 대상 QA 케이스 실행, 로그·텔레메트리 확인과 관련 플랫폼 검증을 완료하고 미해결 P0·P1 결함이 없다.</x:v>
      </x:c>
      <x:c r="I11" s="36" t="str">
        <x:v>MVP</x:v>
      </x:c>
      <x:c r="J11" s="36" t="str">
        <x:v>P0</x:v>
      </x:c>
      <x:c r="K11" s="36" t="str">
        <x:v>필수</x:v>
      </x:c>
      <x:c r="L11" s="36" t="str">
        <x:v>규칙</x:v>
      </x:c>
      <x:c r="M11" s="36" t="str">
        <x:v>MVP</x:v>
      </x:c>
      <x:c r="N11" s="36" t="str">
        <x:v>UX·클라이언트 엔지니어링</x:v>
      </x:c>
      <x:c r="O11" s="36" t="str">
        <x:v>미정</x:v>
      </x:c>
      <x:c r="P11" s="36" t="str">
        <x:v>미정</x:v>
      </x:c>
      <x:c r="Q11" s="36" t="str">
        <x:v>전체</x:v>
      </x:c>
      <x:c r="R11" s="36" t="str">
        <x:v>호스트 권한</x:v>
      </x:c>
      <x:c r="S11" s="36" t="str">
        <x:v>세션</x:v>
      </x:c>
      <x:c r="T11" s="36" t="str">
        <x:v>M</x:v>
      </x:c>
      <x:c r="U11" s="36" t="str">
        <x:v>미착수</x:v>
      </x:c>
      <x:c r="V11" s="46" t="n">
        <x:f>IF(U11="완료",1,IF(U11="QA 진행 중",0.8,IF(U11="코드 리뷰",0.65,IF(U11="구현 중",0.4,IF(U11="사양 확인 중",0.1,IF(U11="차단",0.4,0))))))</x:f>
        <x:v>0</x:v>
      </x:c>
      <x:c r="W11" s="36" t="str">
        <x:v>미정</x:v>
      </x:c>
      <x:c r="X11" s="44"/>
      <x:c r="Y11" s="36" t="str">
        <x:v>SET-009,ONL-007</x:v>
      </x:c>
      <x:c r="Z11" s="36" t="str">
        <x:v>중간</x:v>
      </x:c>
      <x:c r="AA11" s="36" t="str">
        <x:v>경계값</x:v>
      </x:c>
      <x:c r="AB11" s="36" t="str">
        <x:v>TC-SET-010-01, TC-SET-010-02</x:v>
      </x:c>
      <x:c r="AC11" s="36"/>
      <x:c r="AD11" s="36" t="str">
        <x:v>게임 기획서</x:v>
      </x:c>
      <x:c r="AE11" s="36"/>
      <x:c r="AF11" s="44" t="str">
        <x:v>2026-07-10</x:v>
      </x:c>
      <x:c r="AG11" s="36"/>
      <x:c r="AH11" s="54"/>
      <x:c r="AI11" s="54"/>
      <x:c r="AJ11" s="53" t="str">
        <x:v>착수 전</x:v>
      </x:c>
    </x:row>
    <x:row r="12" ht="42" customHeight="1">
      <x:c r="A12" s="36" t="str">
        <x:v>SET-011</x:v>
      </x:c>
      <x:c r="B12" s="36" t="str">
        <x:v>게임 설정·접근성</x:v>
      </x:c>
      <x:c r="C12" s="36" t="str">
        <x:v>룸 규칙</x:v>
      </x:c>
      <x:c r="D12" s="36" t="str">
        <x:v>투표 동률</x:v>
      </x:c>
      <x:c r="E12" s="36" t="str">
        <x:v>밤·최종 투표 동률 정책</x:v>
      </x:c>
      <x:c r="F12" s="36" t="str">
        <x:v>게임 규칙, 운영 요구사항과 대상 플랫폼 제약을 충족하도록 밤·최종 투표 동률 정책 기능을 구현하고 검증한다.</x:v>
      </x:c>
      <x:c r="G12" s="36" t="str">
        <x:v>재투표, 동률자 무작위 선택, 추방 없음 등의 후보 중 제품 정책 하나를 확정하고 설정 가능 여부와 설명 문구를 일치시킨다.</x:v>
      </x:c>
      <x:c r="H12" s="36" t="str">
        <x:v>구현, 코드 리뷰, 사양 갱신, 대상 QA 케이스 실행, 로그·텔레메트리 확인과 관련 플랫폼 검증을 완료하고 미해결 P0·P1 결함이 없다.</x:v>
      </x:c>
      <x:c r="I12" s="36" t="str">
        <x:v>MVP</x:v>
      </x:c>
      <x:c r="J12" s="36" t="str">
        <x:v>P0</x:v>
      </x:c>
      <x:c r="K12" s="36" t="str">
        <x:v>필수</x:v>
      </x:c>
      <x:c r="L12" s="36" t="str">
        <x:v>규칙 결정</x:v>
      </x:c>
      <x:c r="M12" s="36" t="str">
        <x:v>MVP</x:v>
      </x:c>
      <x:c r="N12" s="36" t="str">
        <x:v>UX·클라이언트 엔지니어링</x:v>
      </x:c>
      <x:c r="O12" s="36" t="str">
        <x:v>미정</x:v>
      </x:c>
      <x:c r="P12" s="36" t="str">
        <x:v>미정</x:v>
      </x:c>
      <x:c r="Q12" s="36" t="str">
        <x:v>전체</x:v>
      </x:c>
      <x:c r="R12" s="36" t="str">
        <x:v>콘텐츠 데이터</x:v>
      </x:c>
      <x:c r="S12" s="36" t="str">
        <x:v>세션</x:v>
      </x:c>
      <x:c r="T12" s="36" t="str">
        <x:v>M</x:v>
      </x:c>
      <x:c r="U12" s="36" t="str">
        <x:v>미착수</x:v>
      </x:c>
      <x:c r="V12" s="46" t="n">
        <x:f>IF(U12="완료",1,IF(U12="QA 진행 중",0.8,IF(U12="코드 리뷰",0.65,IF(U12="구현 중",0.4,IF(U12="사양 확인 중",0.1,IF(U12="차단",0.4,0))))))</x:f>
        <x:v>0</x:v>
      </x:c>
      <x:c r="W12" s="36" t="str">
        <x:v>미정</x:v>
      </x:c>
      <x:c r="X12" s="44"/>
      <x:c r="Y12" s="36" t="str">
        <x:v>SET-001,IGM-024</x:v>
      </x:c>
      <x:c r="Z12" s="36" t="str">
        <x:v>중간</x:v>
      </x:c>
      <x:c r="AA12" s="36" t="str">
        <x:v>경계값</x:v>
      </x:c>
      <x:c r="AB12" s="36" t="str">
        <x:v>TC-SET-011-01, TC-SET-011-02</x:v>
      </x:c>
      <x:c r="AC12" s="36"/>
      <x:c r="AD12" s="36" t="str">
        <x:v>게임 기획서</x:v>
      </x:c>
      <x:c r="AE12" s="36"/>
      <x:c r="AF12" s="44" t="str">
        <x:v>2026-07-10</x:v>
      </x:c>
      <x:c r="AG12" s="36" t="str">
        <x:v>MVP 전에 게임 디렉터 승인이 필요하다.</x:v>
      </x:c>
      <x:c r="AH12" s="54"/>
      <x:c r="AI12" s="54"/>
      <x:c r="AJ12" s="53" t="str">
        <x:v>착수 전</x:v>
      </x:c>
    </x:row>
    <x:row r="13" ht="42" customHeight="1">
      <x:c r="A13" s="36" t="str">
        <x:v>SET-012</x:v>
      </x:c>
      <x:c r="B13" s="36" t="str">
        <x:v>게임 설정·접근성</x:v>
      </x:c>
      <x:c r="C13" s="36" t="str">
        <x:v>룸 규칙</x:v>
      </x:c>
      <x:c r="D13" s="36" t="str">
        <x:v>페이즈 타이머</x:v>
      </x:c>
      <x:c r="E13" s="36" t="str">
        <x:v>낮·밤 관찰·투표·최종 발언 타이머</x:v>
      </x:c>
      <x:c r="F13" s="36" t="str">
        <x:v>게임 규칙, 운영 요구사항과 대상 플랫폼 제약을 충족하도록 낮·밤 관찰·투표·최종 발언 타이머 기능을 구현하고 검증한다.</x:v>
      </x:c>
      <x:c r="G13" s="36" t="str">
        <x:v>각 타이머를 허용 범위 안에서 조정할 수 있고 0초, 극단값, 상호 모순 조합을 거부하며 모든 클라이언트에 확정값을 표시한다.</x:v>
      </x:c>
      <x:c r="H13" s="36" t="str">
        <x:v>구현, 코드 리뷰, 사양 갱신, 대상 QA 케이스 실행, 로그·텔레메트리 확인과 관련 플랫폼 검증을 완료하고 미해결 P0·P1 결함이 없다.</x:v>
      </x:c>
      <x:c r="I13" s="36" t="str">
        <x:v>MVP</x:v>
      </x:c>
      <x:c r="J13" s="36" t="str">
        <x:v>P0</x:v>
      </x:c>
      <x:c r="K13" s="36" t="str">
        <x:v>필수</x:v>
      </x:c>
      <x:c r="L13" s="36" t="str">
        <x:v>규칙</x:v>
      </x:c>
      <x:c r="M13" s="36" t="str">
        <x:v>MVP</x:v>
      </x:c>
      <x:c r="N13" s="36" t="str">
        <x:v>UX·클라이언트 엔지니어링</x:v>
      </x:c>
      <x:c r="O13" s="36" t="str">
        <x:v>미정</x:v>
      </x:c>
      <x:c r="P13" s="36" t="str">
        <x:v>미정</x:v>
      </x:c>
      <x:c r="Q13" s="36" t="str">
        <x:v>전체</x:v>
      </x:c>
      <x:c r="R13" s="36" t="str">
        <x:v>호스트 권한</x:v>
      </x:c>
      <x:c r="S13" s="36" t="str">
        <x:v>세션</x:v>
      </x:c>
      <x:c r="T13" s="36" t="str">
        <x:v>M</x:v>
      </x:c>
      <x:c r="U13" s="36" t="str">
        <x:v>미착수</x:v>
      </x:c>
      <x:c r="V13" s="46" t="n">
        <x:f>IF(U13="완료",1,IF(U13="QA 진행 중",0.8,IF(U13="코드 리뷰",0.65,IF(U13="구현 중",0.4,IF(U13="사양 확인 중",0.1,IF(U13="차단",0.4,0))))))</x:f>
        <x:v>0</x:v>
      </x:c>
      <x:c r="W13" s="36" t="str">
        <x:v>미정</x:v>
      </x:c>
      <x:c r="X13" s="44"/>
      <x:c r="Y13" s="36" t="str">
        <x:v>SET-001,IGM-004,IGM-008</x:v>
      </x:c>
      <x:c r="Z13" s="36" t="str">
        <x:v>중간</x:v>
      </x:c>
      <x:c r="AA13" s="36" t="str">
        <x:v>경계값</x:v>
      </x:c>
      <x:c r="AB13" s="36" t="str">
        <x:v>TC-SET-012-01, TC-SET-012-02</x:v>
      </x:c>
      <x:c r="AC13" s="36"/>
      <x:c r="AD13" s="36" t="str">
        <x:v>게임 기획서</x:v>
      </x:c>
      <x:c r="AE13" s="36"/>
      <x:c r="AF13" s="44" t="str">
        <x:v>2026-07-10</x:v>
      </x:c>
      <x:c r="AG13" s="36"/>
      <x:c r="AH13" s="54"/>
      <x:c r="AI13" s="54"/>
      <x:c r="AJ13" s="53" t="str">
        <x:v>착수 전</x:v>
      </x:c>
    </x:row>
    <x:row r="14" ht="42" customHeight="1">
      <x:c r="A14" s="36" t="str">
        <x:v>SET-013</x:v>
      </x:c>
      <x:c r="B14" s="36" t="str">
        <x:v>게임 설정·접근성</x:v>
      </x:c>
      <x:c r="C14" s="36" t="str">
        <x:v>룸 규칙</x:v>
      </x:c>
      <x:c r="D14" s="36" t="str">
        <x:v>최종 재판</x:v>
      </x:c>
      <x:c r="E14" s="36" t="str">
        <x:v>최종 재판 발동 조건 설정</x:v>
      </x:c>
      <x:c r="F14" s="36" t="str">
        <x:v>게임 규칙, 운영 요구사항과 대상 플랫폼 제약을 충족하도록 최종 재판 발동 조건 설정 기능을 구현하고 검증한다.</x:v>
      </x:c>
      <x:c r="G14" s="36" t="str">
        <x:v>모든 미니게임 완료, 생존자 임계값, 지정 밤의 활성 여부와 값을 검증하고 최소 하나의 발동 조건 또는 안전 상한을 필수로 둔다.</x:v>
      </x:c>
      <x:c r="H14" s="36" t="str">
        <x:v>구현, 코드 리뷰, 사양 갱신, 대상 QA 케이스 실행, 로그·텔레메트리 확인과 관련 플랫폼 검증을 완료하고 미해결 P0·P1 결함이 없다.</x:v>
      </x:c>
      <x:c r="I14" s="36" t="str">
        <x:v>MVP</x:v>
      </x:c>
      <x:c r="J14" s="36" t="str">
        <x:v>P0</x:v>
      </x:c>
      <x:c r="K14" s="36" t="str">
        <x:v>필수</x:v>
      </x:c>
      <x:c r="L14" s="36" t="str">
        <x:v>승패</x:v>
      </x:c>
      <x:c r="M14" s="36" t="str">
        <x:v>MVP</x:v>
      </x:c>
      <x:c r="N14" s="36" t="str">
        <x:v>UX·클라이언트 엔지니어링</x:v>
      </x:c>
      <x:c r="O14" s="36" t="str">
        <x:v>미정</x:v>
      </x:c>
      <x:c r="P14" s="36" t="str">
        <x:v>미정</x:v>
      </x:c>
      <x:c r="Q14" s="36" t="str">
        <x:v>전체</x:v>
      </x:c>
      <x:c r="R14" s="36" t="str">
        <x:v>호스트 권한</x:v>
      </x:c>
      <x:c r="S14" s="36" t="str">
        <x:v>세션</x:v>
      </x:c>
      <x:c r="T14" s="36" t="str">
        <x:v>L</x:v>
      </x:c>
      <x:c r="U14" s="36" t="str">
        <x:v>미착수</x:v>
      </x:c>
      <x:c r="V14" s="46" t="n">
        <x:f>IF(U14="완료",1,IF(U14="QA 진행 중",0.8,IF(U14="코드 리뷰",0.65,IF(U14="구현 중",0.4,IF(U14="사양 확인 중",0.1,IF(U14="차단",0.4,0))))))</x:f>
        <x:v>0</x:v>
      </x:c>
      <x:c r="W14" s="36" t="str">
        <x:v>미정</x:v>
      </x:c>
      <x:c r="X14" s="44"/>
      <x:c r="Y14" s="36" t="str">
        <x:v>SET-001,IGM-028</x:v>
      </x:c>
      <x:c r="Z14" s="36" t="str">
        <x:v>중간</x:v>
      </x:c>
      <x:c r="AA14" s="36" t="str">
        <x:v>경계값</x:v>
      </x:c>
      <x:c r="AB14" s="36" t="str">
        <x:v>TC-SET-013-01, TC-SET-013-02</x:v>
      </x:c>
      <x:c r="AC14" s="36"/>
      <x:c r="AD14" s="36" t="str">
        <x:v>게임 기획서</x:v>
      </x:c>
      <x:c r="AE14" s="36"/>
      <x:c r="AF14" s="44" t="str">
        <x:v>2026-07-10</x:v>
      </x:c>
      <x:c r="AG14" s="36"/>
      <x:c r="AH14" s="54"/>
      <x:c r="AI14" s="54"/>
      <x:c r="AJ14" s="53" t="str">
        <x:v>착수 전</x:v>
      </x:c>
    </x:row>
    <x:row r="15" ht="42" customHeight="1">
      <x:c r="A15" s="36" t="str">
        <x:v>SET-014</x:v>
      </x:c>
      <x:c r="B15" s="36" t="str">
        <x:v>게임 설정·접근성</x:v>
      </x:c>
      <x:c r="C15" s="36" t="str">
        <x:v>룸 규칙</x:v>
      </x:c>
      <x:c r="D15" s="36" t="str">
        <x:v>메모 제한</x:v>
      </x:c>
      <x:c r="E15" s="36" t="str">
        <x:v>메모 보유·등 표시 상한·부착 시간 설정</x:v>
      </x:c>
      <x:c r="F15" s="36" t="str">
        <x:v>게임 규칙, 운영 요구사항과 대상 플랫폼 제약을 충족하도록 메모 보유·등 표시 상한·부착 시간 설정 기능을 구현하고 검증한다.</x:v>
      </x:c>
      <x:c r="G15" s="36" t="str">
        <x:v>메모 보유 수, 등 최대 표시 수, 부착 시간을 안전 범위에서 설정하고 UI, 서버, 콘텐츠 설명이 같은 확정값을 사용한다.</x:v>
      </x:c>
      <x:c r="H15" s="36" t="str">
        <x:v>구현, 코드 리뷰, 사양 갱신, 대상 QA 케이스 실행, 로그·텔레메트리 확인과 관련 플랫폼 검증을 완료하고 미해결 P0·P1 결함이 없다.</x:v>
      </x:c>
      <x:c r="I15" s="36" t="str">
        <x:v>MVP</x:v>
      </x:c>
      <x:c r="J15" s="36" t="str">
        <x:v>P1</x:v>
      </x:c>
      <x:c r="K15" s="36" t="str">
        <x:v>필수</x:v>
      </x:c>
      <x:c r="L15" s="36" t="str">
        <x:v>메모</x:v>
      </x:c>
      <x:c r="M15" s="36" t="str">
        <x:v>MVP</x:v>
      </x:c>
      <x:c r="N15" s="36" t="str">
        <x:v>UX·클라이언트 엔지니어링</x:v>
      </x:c>
      <x:c r="O15" s="36" t="str">
        <x:v>미정</x:v>
      </x:c>
      <x:c r="P15" s="36" t="str">
        <x:v>미정</x:v>
      </x:c>
      <x:c r="Q15" s="36" t="str">
        <x:v>전체</x:v>
      </x:c>
      <x:c r="R15" s="36" t="str">
        <x:v>호스트 권한</x:v>
      </x:c>
      <x:c r="S15" s="36" t="str">
        <x:v>세션</x:v>
      </x:c>
      <x:c r="T15" s="36" t="str">
        <x:v>M</x:v>
      </x:c>
      <x:c r="U15" s="36" t="str">
        <x:v>미착수</x:v>
      </x:c>
      <x:c r="V15" s="46" t="n">
        <x:f>IF(U15="완료",1,IF(U15="QA 진행 중",0.8,IF(U15="코드 리뷰",0.65,IF(U15="구현 중",0.4,IF(U15="사양 확인 중",0.1,IF(U15="차단",0.4,0))))))</x:f>
        <x:v>0</x:v>
      </x:c>
      <x:c r="W15" s="36" t="str">
        <x:v>미정</x:v>
      </x:c>
      <x:c r="X15" s="44"/>
      <x:c r="Y15" s="36" t="str">
        <x:v>SET-001,IGM-009,IGM-022</x:v>
      </x:c>
      <x:c r="Z15" s="36" t="str">
        <x:v>중간</x:v>
      </x:c>
      <x:c r="AA15" s="36" t="str">
        <x:v>경계값</x:v>
      </x:c>
      <x:c r="AB15" s="36" t="str">
        <x:v>TC-SET-014-01</x:v>
      </x:c>
      <x:c r="AC15" s="36"/>
      <x:c r="AD15" s="36" t="str">
        <x:v>게임 기획서</x:v>
      </x:c>
      <x:c r="AE15" s="36"/>
      <x:c r="AF15" s="44" t="str">
        <x:v>2026-07-10</x:v>
      </x:c>
      <x:c r="AG15" s="36"/>
      <x:c r="AH15" s="54"/>
      <x:c r="AI15" s="54"/>
      <x:c r="AJ15" s="53" t="str">
        <x:v>착수 전</x:v>
      </x:c>
    </x:row>
    <x:row r="16" ht="42" customHeight="1">
      <x:c r="A16" s="36" t="str">
        <x:v>SET-015</x:v>
      </x:c>
      <x:c r="B16" s="36" t="str">
        <x:v>게임 설정·접근성</x:v>
      </x:c>
      <x:c r="C16" s="36" t="str">
        <x:v>룸 규칙</x:v>
      </x:c>
      <x:c r="D16" s="36" t="str">
        <x:v>위조</x:v>
      </x:c>
      <x:c r="E16" s="36" t="str">
        <x:v>마피아 무료 메모·위조 횟수 설정</x:v>
      </x:c>
      <x:c r="F16" s="36" t="str">
        <x:v>게임 규칙, 운영 요구사항과 대상 플랫폼 제약을 충족하도록 마피아 무료 메모·위조 횟수 설정 기능을 구현하고 검증한다.</x:v>
      </x:c>
      <x:c r="G16" s="36" t="str">
        <x:v>무료 메모 수와 위조 횟수를 설정할 수 있고 0, 1, 2, 무제한의 UI 표기와 서버 값이 일치한다. MVP 기본값은 각각 1회다.</x:v>
      </x:c>
      <x:c r="H16" s="36" t="str">
        <x:v>구현, 코드 리뷰, 사양 갱신, 대상 QA 케이스 실행, 로그·텔레메트리 확인과 관련 플랫폼 검증을 완료하고 미해결 P0·P1 결함이 없다.</x:v>
      </x:c>
      <x:c r="I16" s="36" t="str">
        <x:v>MVP</x:v>
      </x:c>
      <x:c r="J16" s="36" t="str">
        <x:v>P0</x:v>
      </x:c>
      <x:c r="K16" s="36" t="str">
        <x:v>필수</x:v>
      </x:c>
      <x:c r="L16" s="36" t="str">
        <x:v>밸런스</x:v>
      </x:c>
      <x:c r="M16" s="36" t="str">
        <x:v>MVP</x:v>
      </x:c>
      <x:c r="N16" s="36" t="str">
        <x:v>UX·클라이언트 엔지니어링</x:v>
      </x:c>
      <x:c r="O16" s="36" t="str">
        <x:v>미정</x:v>
      </x:c>
      <x:c r="P16" s="36" t="str">
        <x:v>미정</x:v>
      </x:c>
      <x:c r="Q16" s="36" t="str">
        <x:v>전체</x:v>
      </x:c>
      <x:c r="R16" s="36" t="str">
        <x:v>호스트 권한</x:v>
      </x:c>
      <x:c r="S16" s="36" t="str">
        <x:v>세션</x:v>
      </x:c>
      <x:c r="T16" s="36" t="str">
        <x:v>M</x:v>
      </x:c>
      <x:c r="U16" s="36" t="str">
        <x:v>미착수</x:v>
      </x:c>
      <x:c r="V16" s="46" t="n">
        <x:f>IF(U16="완료",1,IF(U16="QA 진행 중",0.8,IF(U16="코드 리뷰",0.65,IF(U16="구현 중",0.4,IF(U16="사양 확인 중",0.1,IF(U16="차단",0.4,0))))))</x:f>
        <x:v>0</x:v>
      </x:c>
      <x:c r="W16" s="36" t="str">
        <x:v>미정</x:v>
      </x:c>
      <x:c r="X16" s="44"/>
      <x:c r="Y16" s="36" t="str">
        <x:v>SET-001,IGM-011,IGM-015</x:v>
      </x:c>
      <x:c r="Z16" s="36" t="str">
        <x:v>중간</x:v>
      </x:c>
      <x:c r="AA16" s="36" t="str">
        <x:v>경계값</x:v>
      </x:c>
      <x:c r="AB16" s="36" t="str">
        <x:v>TC-SET-015-01, TC-SET-015-02</x:v>
      </x:c>
      <x:c r="AC16" s="36"/>
      <x:c r="AD16" s="36" t="str">
        <x:v>게임 기획서</x:v>
      </x:c>
      <x:c r="AE16" s="36"/>
      <x:c r="AF16" s="44" t="str">
        <x:v>2026-07-10</x:v>
      </x:c>
      <x:c r="AG16" s="36"/>
      <x:c r="AH16" s="54"/>
      <x:c r="AI16" s="54"/>
      <x:c r="AJ16" s="53" t="str">
        <x:v>착수 전</x:v>
      </x:c>
    </x:row>
    <x:row r="17" ht="42" customHeight="1">
      <x:c r="A17" s="36" t="str">
        <x:v>SET-016</x:v>
      </x:c>
      <x:c r="B17" s="36" t="str">
        <x:v>게임 설정·접근성</x:v>
      </x:c>
      <x:c r="C17" s="36" t="str">
        <x:v>룸 규칙</x:v>
      </x:c>
      <x:c r="D17" s="36" t="str">
        <x:v>텍스트·그림</x:v>
      </x:c>
      <x:c r="E17" s="36" t="str">
        <x:v>자유 입력·자유 그리기·프리셋 제한</x:v>
      </x:c>
      <x:c r="F17" s="36" t="str">
        <x:v>게임 규칙, 운영 요구사항과 대상 플랫폼 제약을 충족하도록 자유 입력·자유 그리기·프리셋 제한 기능을 구현하고 검증한다.</x:v>
      </x:c>
      <x:c r="G17" s="36" t="str">
        <x:v>MVP에서는 자유 입력과 자유 그리기를 빌드 또는 기능 플래그로 비활성화한다. 향후 활성화 시 글자 수, 금칙어, 신고, 저장 정책을 필수로 적용한다.</x:v>
      </x:c>
      <x:c r="H17" s="36" t="str">
        <x:v>구현, 코드 리뷰, 사양 갱신, 대상 QA 케이스 실행, 로그·텔레메트리 확인과 관련 플랫폼 검증을 완료하고 미해결 P0·P1 결함이 없다.</x:v>
      </x:c>
      <x:c r="I17" s="36" t="str">
        <x:v>MVP</x:v>
      </x:c>
      <x:c r="J17" s="36" t="str">
        <x:v>P0</x:v>
      </x:c>
      <x:c r="K17" s="36" t="str">
        <x:v>필수</x:v>
      </x:c>
      <x:c r="L17" s="36" t="str">
        <x:v>안전</x:v>
      </x:c>
      <x:c r="M17" s="36" t="str">
        <x:v>MVP</x:v>
      </x:c>
      <x:c r="N17" s="36" t="str">
        <x:v>UX·클라이언트 엔지니어링</x:v>
      </x:c>
      <x:c r="O17" s="36" t="str">
        <x:v>미정</x:v>
      </x:c>
      <x:c r="P17" s="36" t="str">
        <x:v>미정</x:v>
      </x:c>
      <x:c r="Q17" s="36" t="str">
        <x:v>전체</x:v>
      </x:c>
      <x:c r="R17" s="36" t="str">
        <x:v>호스트 권한</x:v>
      </x:c>
      <x:c r="S17" s="36" t="str">
        <x:v>세션</x:v>
      </x:c>
      <x:c r="T17" s="36" t="str">
        <x:v>M</x:v>
      </x:c>
      <x:c r="U17" s="36" t="str">
        <x:v>미착수</x:v>
      </x:c>
      <x:c r="V17" s="46" t="n">
        <x:f>IF(U17="완료",1,IF(U17="QA 진행 중",0.8,IF(U17="코드 리뷰",0.65,IF(U17="구현 중",0.4,IF(U17="사양 확인 중",0.1,IF(U17="차단",0.4,0))))))</x:f>
        <x:v>0</x:v>
      </x:c>
      <x:c r="W17" s="36" t="str">
        <x:v>미정</x:v>
      </x:c>
      <x:c r="X17" s="44"/>
      <x:c r="Y17" s="36" t="str">
        <x:v>SET-001,BED-010</x:v>
      </x:c>
      <x:c r="Z17" s="36" t="str">
        <x:v>중간</x:v>
      </x:c>
      <x:c r="AA17" s="36" t="str">
        <x:v>보안</x:v>
      </x:c>
      <x:c r="AB17" s="36" t="str">
        <x:v>TC-SET-016-01, TC-SET-016-02</x:v>
      </x:c>
      <x:c r="AC17" s="36"/>
      <x:c r="AD17" s="36" t="str">
        <x:v>게임 기획서</x:v>
      </x:c>
      <x:c r="AE17" s="36"/>
      <x:c r="AF17" s="44" t="str">
        <x:v>2026-07-10</x:v>
      </x:c>
      <x:c r="AG17" s="36"/>
      <x:c r="AH17" s="54"/>
      <x:c r="AI17" s="54"/>
      <x:c r="AJ17" s="53" t="str">
        <x:v>착수 전</x:v>
      </x:c>
    </x:row>
    <x:row r="18" ht="42" customHeight="1">
      <x:c r="A18" s="36" t="str">
        <x:v>SET-017</x:v>
      </x:c>
      <x:c r="B18" s="36" t="str">
        <x:v>게임 설정·접근성</x:v>
      </x:c>
      <x:c r="C18" s="36" t="str">
        <x:v>룸 규칙</x:v>
      </x:c>
      <x:c r="D18" s="36" t="str">
        <x:v>확장 기능 토글</x:v>
      </x:c>
      <x:c r="E18" s="36" t="str">
        <x:v>사진 메모·메모 전달 기능 켜기·끄기</x:v>
      </x:c>
      <x:c r="F18" s="36" t="str">
        <x:v>게임 규칙, 운영 요구사항과 대상 플랫폼 제약을 충족하도록 사진 메모·메모 전달 기능 켜기·끄기 기능을 구현하고 검증한다.</x:v>
      </x:c>
      <x:c r="G18" s="36" t="str">
        <x:v>미구현 빌드에서는 설정 항목을 표시하지 않고 지원 빌드에서 활성화한 경우에만 필요한 UI, 서버 기능, 설명을 함께 활성화한다.</x:v>
      </x:c>
      <x:c r="H18" s="36" t="str">
        <x:v>구현, 코드 리뷰, 사양 갱신, 대상 QA 케이스 실행, 로그·텔레메트리 확인과 관련 플랫폼 검증을 완료하고 미해결 P0·P1 결함이 없다.</x:v>
      </x:c>
      <x:c r="I18" s="36" t="str">
        <x:v>출시 후</x:v>
      </x:c>
      <x:c r="J18" s="36" t="str">
        <x:v>P2</x:v>
      </x:c>
      <x:c r="K18" s="36" t="str">
        <x:v>조건부</x:v>
      </x:c>
      <x:c r="L18" s="36" t="str">
        <x:v>확장</x:v>
      </x:c>
      <x:c r="M18" s="36" t="str">
        <x:v>출시 후</x:v>
      </x:c>
      <x:c r="N18" s="36" t="str">
        <x:v>UX·클라이언트 엔지니어링</x:v>
      </x:c>
      <x:c r="O18" s="36" t="str">
        <x:v>미정</x:v>
      </x:c>
      <x:c r="P18" s="36" t="str">
        <x:v>미정</x:v>
      </x:c>
      <x:c r="Q18" s="36" t="str">
        <x:v>전체</x:v>
      </x:c>
      <x:c r="R18" s="36" t="str">
        <x:v>호스트 권한</x:v>
      </x:c>
      <x:c r="S18" s="36" t="str">
        <x:v>세션</x:v>
      </x:c>
      <x:c r="T18" s="36" t="str">
        <x:v>M</x:v>
      </x:c>
      <x:c r="U18" s="36" t="str">
        <x:v>미착수</x:v>
      </x:c>
      <x:c r="V18" s="46" t="n">
        <x:f>IF(U18="완료",1,IF(U18="QA 진행 중",0.8,IF(U18="코드 리뷰",0.65,IF(U18="구현 중",0.4,IF(U18="사양 확인 중",0.1,IF(U18="차단",0.4,0))))))</x:f>
        <x:v>0</x:v>
      </x:c>
      <x:c r="W18" s="36" t="str">
        <x:v>미정</x:v>
      </x:c>
      <x:c r="X18" s="44"/>
      <x:c r="Y18" s="36" t="str">
        <x:v>SET-001,IGM-034,IGM-035</x:v>
      </x:c>
      <x:c r="Z18" s="36" t="str">
        <x:v>중간</x:v>
      </x:c>
      <x:c r="AA18" s="36" t="str">
        <x:v>호환성</x:v>
      </x:c>
      <x:c r="AB18" s="36" t="str">
        <x:v>TC-SET-017-01</x:v>
      </x:c>
      <x:c r="AC18" s="36"/>
      <x:c r="AD18" s="36" t="str">
        <x:v>게임 기획서</x:v>
      </x:c>
      <x:c r="AE18" s="36"/>
      <x:c r="AF18" s="44" t="str">
        <x:v>2026-07-10</x:v>
      </x:c>
      <x:c r="AG18" s="36"/>
      <x:c r="AH18" s="54"/>
      <x:c r="AI18" s="54"/>
      <x:c r="AJ18" s="53" t="str">
        <x:v>착수 전</x:v>
      </x:c>
    </x:row>
    <x:row r="19" ht="42" customHeight="1">
      <x:c r="A19" s="36" t="str">
        <x:v>SET-018</x:v>
      </x:c>
      <x:c r="B19" s="36" t="str">
        <x:v>게임 설정·접근성</x:v>
      </x:c>
      <x:c r="C19" s="36" t="str">
        <x:v>룸 규칙</x:v>
      </x:c>
      <x:c r="D19" s="36" t="str">
        <x:v>확장 역할</x:v>
      </x:c>
      <x:c r="E19" s="36" t="str">
        <x:v>복수 마피아·고독한 마피아·조수 설정</x:v>
      </x:c>
      <x:c r="F19" s="36" t="str">
        <x:v>게임 규칙, 운영 요구사항과 대상 플랫폼 제약을 충족하도록 복수 마피아·고독한 마피아·조수 설정 기능을 구현하고 검증한다.</x:v>
      </x:c>
      <x:c r="G19" s="36" t="str">
        <x:v>인원 조건을 충족할 때만 표시·선택할 수 있고 조수 규칙 활성화 시 마피아 추방 즉시 승리 무효화 등 파생 규칙을 요약 표시한다.</x:v>
      </x:c>
      <x:c r="H19" s="36" t="str">
        <x:v>구현, 코드 리뷰, 사양 갱신, 대상 QA 케이스 실행, 로그·텔레메트리 확인과 관련 플랫폼 검증을 완료하고 미해결 P0·P1 결함이 없다.</x:v>
      </x:c>
      <x:c r="I19" s="36" t="str">
        <x:v>출시 후</x:v>
      </x:c>
      <x:c r="J19" s="36" t="str">
        <x:v>P3</x:v>
      </x:c>
      <x:c r="K19" s="36" t="str">
        <x:v>조건부</x:v>
      </x:c>
      <x:c r="L19" s="36" t="str">
        <x:v>확장</x:v>
      </x:c>
      <x:c r="M19" s="36" t="str">
        <x:v>출시 후</x:v>
      </x:c>
      <x:c r="N19" s="36" t="str">
        <x:v>UX·클라이언트 엔지니어링</x:v>
      </x:c>
      <x:c r="O19" s="36" t="str">
        <x:v>미정</x:v>
      </x:c>
      <x:c r="P19" s="36" t="str">
        <x:v>미정</x:v>
      </x:c>
      <x:c r="Q19" s="36" t="str">
        <x:v>전체</x:v>
      </x:c>
      <x:c r="R19" s="36" t="str">
        <x:v>호스트 권한</x:v>
      </x:c>
      <x:c r="S19" s="36" t="str">
        <x:v>세션</x:v>
      </x:c>
      <x:c r="T19" s="36" t="str">
        <x:v>L</x:v>
      </x:c>
      <x:c r="U19" s="36" t="str">
        <x:v>미착수</x:v>
      </x:c>
      <x:c r="V19" s="46" t="n">
        <x:f>IF(U19="완료",1,IF(U19="QA 진행 중",0.8,IF(U19="코드 리뷰",0.65,IF(U19="구현 중",0.4,IF(U19="사양 확인 중",0.1,IF(U19="차단",0.4,0))))))</x:f>
        <x:v>0</x:v>
      </x:c>
      <x:c r="W19" s="36" t="str">
        <x:v>미정</x:v>
      </x:c>
      <x:c r="X19" s="44"/>
      <x:c r="Y19" s="36" t="str">
        <x:v>SET-010,IGM-037,IGM-038</x:v>
      </x:c>
      <x:c r="Z19" s="36" t="str">
        <x:v>중간</x:v>
      </x:c>
      <x:c r="AA19" s="36" t="str">
        <x:v>경계값</x:v>
      </x:c>
      <x:c r="AB19" s="36" t="str">
        <x:v>TC-SET-018-01</x:v>
      </x:c>
      <x:c r="AC19" s="36"/>
      <x:c r="AD19" s="36" t="str">
        <x:v>게임 기획서</x:v>
      </x:c>
      <x:c r="AE19" s="36"/>
      <x:c r="AF19" s="44" t="str">
        <x:v>2026-07-10</x:v>
      </x:c>
      <x:c r="AG19" s="36"/>
      <x:c r="AH19" s="54"/>
      <x:c r="AI19" s="54"/>
      <x:c r="AJ19" s="53" t="str">
        <x:v>착수 전</x:v>
      </x:c>
    </x:row>
    <x:row r="20" ht="42" customHeight="1">
      <x:c r="A20" s="36" t="str">
        <x:v>SET-019</x:v>
      </x:c>
      <x:c r="B20" s="36" t="str">
        <x:v>게임 설정·접근성</x:v>
      </x:c>
      <x:c r="C20" s="36" t="str">
        <x:v>룸 운영 정책</x:v>
      </x:c>
      <x:c r="D20" s="36" t="str">
        <x:v>잠금</x:v>
      </x:c>
      <x:c r="E20" s="36" t="str">
        <x:v>호스트 권한·매치 시작 후 설정 잠금</x:v>
      </x:c>
      <x:c r="F20" s="36" t="str">
        <x:v>게임 규칙, 운영 요구사항과 대상 플랫폼 제약을 충족하도록 호스트 권한·매치 시작 후 설정 잠금 기능을 구현하고 검증한다.</x:v>
      </x:c>
      <x:c r="G20" s="36" t="str">
        <x:v>룸 설정은 호스트 또는 권한 보유자만 변경할 수 있고 시작 준비 이후와 매치 진행 중에는 서버가 변경 요청을 거부한다.</x:v>
      </x:c>
      <x:c r="H20" s="36" t="str">
        <x:v>구현, 코드 리뷰, 사양 갱신, 대상 QA 케이스 실행, 로그·텔레메트리 확인과 관련 플랫폼 검증을 완료하고 미해결 P0·P1 결함이 없다.</x:v>
      </x:c>
      <x:c r="I20" s="36" t="str">
        <x:v>MVP</x:v>
      </x:c>
      <x:c r="J20" s="36" t="str">
        <x:v>P0</x:v>
      </x:c>
      <x:c r="K20" s="36" t="str">
        <x:v>필수</x:v>
      </x:c>
      <x:c r="L20" s="36" t="str">
        <x:v>권한</x:v>
      </x:c>
      <x:c r="M20" s="36" t="str">
        <x:v>MVP</x:v>
      </x:c>
      <x:c r="N20" s="36" t="str">
        <x:v>UX·클라이언트 엔지니어링</x:v>
      </x:c>
      <x:c r="O20" s="36" t="str">
        <x:v>미정</x:v>
      </x:c>
      <x:c r="P20" s="36" t="str">
        <x:v>미정</x:v>
      </x:c>
      <x:c r="Q20" s="36" t="str">
        <x:v>전체</x:v>
      </x:c>
      <x:c r="R20" s="36" t="str">
        <x:v>서버 권한</x:v>
      </x:c>
      <x:c r="S20" s="36" t="str">
        <x:v>세션</x:v>
      </x:c>
      <x:c r="T20" s="36" t="str">
        <x:v>M</x:v>
      </x:c>
      <x:c r="U20" s="36" t="str">
        <x:v>미착수</x:v>
      </x:c>
      <x:c r="V20" s="46" t="n">
        <x:f>IF(U20="완료",1,IF(U20="QA 진행 중",0.8,IF(U20="코드 리뷰",0.65,IF(U20="구현 중",0.4,IF(U20="사양 확인 중",0.1,IF(U20="차단",0.4,0))))))</x:f>
        <x:v>0</x:v>
      </x:c>
      <x:c r="W20" s="36" t="str">
        <x:v>미정</x:v>
      </x:c>
      <x:c r="X20" s="44"/>
      <x:c r="Y20" s="36" t="str">
        <x:v>ONL-008,NET-006</x:v>
      </x:c>
      <x:c r="Z20" s="36" t="str">
        <x:v>중간</x:v>
      </x:c>
      <x:c r="AA20" s="36" t="str">
        <x:v>보안</x:v>
      </x:c>
      <x:c r="AB20" s="36" t="str">
        <x:v>TC-SET-019-01, TC-SET-019-02</x:v>
      </x:c>
      <x:c r="AC20" s="36"/>
      <x:c r="AD20" s="36" t="str">
        <x:v>게임 기획서</x:v>
      </x:c>
      <x:c r="AE20" s="36"/>
      <x:c r="AF20" s="44" t="str">
        <x:v>2026-07-10</x:v>
      </x:c>
      <x:c r="AG20" s="36"/>
      <x:c r="AH20" s="54"/>
      <x:c r="AI20" s="54"/>
      <x:c r="AJ20" s="53" t="str">
        <x:v>착수 전</x:v>
      </x:c>
    </x:row>
    <x:row r="21" ht="42" customHeight="1">
      <x:c r="A21" s="36" t="str">
        <x:v>SET-020</x:v>
      </x:c>
      <x:c r="B21" s="36" t="str">
        <x:v>게임 설정·접근성</x:v>
      </x:c>
      <x:c r="C21" s="36" t="str">
        <x:v>룸 운영 정책</x:v>
      </x:c>
      <x:c r="D21" s="36" t="str">
        <x:v>검증</x:v>
      </x:c>
      <x:c r="E21" s="36" t="str">
        <x:v>설정 조합 검증·호환성 확인</x:v>
      </x:c>
      <x:c r="F21" s="36" t="str">
        <x:v>게임 규칙, 운영 요구사항과 대상 플랫폼 제약을 충족하도록 설정 조합 검증·호환성 확인 기능을 구현하고 검증한다.</x:v>
      </x:c>
      <x:c r="G21" s="36" t="str">
        <x:v>인원, 역할, 시간, 최종 재판, 확장 기능의 모순을 룸 생성, 설정 변경, 매치 시작의 세 단계에서 검증하고 오류 키를 반환한다.</x:v>
      </x:c>
      <x:c r="H21" s="36" t="str">
        <x:v>구현, 코드 리뷰, 사양 갱신, 대상 QA 케이스 실행, 로그·텔레메트리 확인과 관련 플랫폼 검증을 완료하고 미해결 P0·P1 결함이 없다.</x:v>
      </x:c>
      <x:c r="I21" s="36" t="str">
        <x:v>MVP</x:v>
      </x:c>
      <x:c r="J21" s="36" t="str">
        <x:v>P0</x:v>
      </x:c>
      <x:c r="K21" s="36" t="str">
        <x:v>필수</x:v>
      </x:c>
      <x:c r="L21" s="36" t="str">
        <x:v>데이터 무결성</x:v>
      </x:c>
      <x:c r="M21" s="36" t="str">
        <x:v>MVP</x:v>
      </x:c>
      <x:c r="N21" s="36" t="str">
        <x:v>UX·클라이언트 엔지니어링</x:v>
      </x:c>
      <x:c r="O21" s="36" t="str">
        <x:v>미정</x:v>
      </x:c>
      <x:c r="P21" s="36" t="str">
        <x:v>미정</x:v>
      </x:c>
      <x:c r="Q21" s="36" t="str">
        <x:v>전체</x:v>
      </x:c>
      <x:c r="R21" s="36" t="str">
        <x:v>서버 권한</x:v>
      </x:c>
      <x:c r="S21" s="36" t="str">
        <x:v>세션</x:v>
      </x:c>
      <x:c r="T21" s="36" t="str">
        <x:v>L</x:v>
      </x:c>
      <x:c r="U21" s="36" t="str">
        <x:v>미착수</x:v>
      </x:c>
      <x:c r="V21" s="46" t="n">
        <x:f>IF(U21="완료",1,IF(U21="QA 진행 중",0.8,IF(U21="코드 리뷰",0.65,IF(U21="구현 중",0.4,IF(U21="사양 확인 중",0.1,IF(U21="차단",0.4,0))))))</x:f>
        <x:v>0</x:v>
      </x:c>
      <x:c r="W21" s="36" t="str">
        <x:v>미정</x:v>
      </x:c>
      <x:c r="X21" s="44"/>
      <x:c r="Y21" s="36" t="str">
        <x:v>SET-009,SET-010,SET-013,SET-018</x:v>
      </x:c>
      <x:c r="Z21" s="36" t="str">
        <x:v>중간</x:v>
      </x:c>
      <x:c r="AA21" s="36" t="str">
        <x:v>경계값</x:v>
      </x:c>
      <x:c r="AB21" s="36" t="str">
        <x:v>TC-SET-020-01, TC-SET-020-02</x:v>
      </x:c>
      <x:c r="AC21" s="36"/>
      <x:c r="AD21" s="36" t="str">
        <x:v>게임 기획서</x:v>
      </x:c>
      <x:c r="AE21" s="36"/>
      <x:c r="AF21" s="44" t="str">
        <x:v>2026-07-10</x:v>
      </x:c>
      <x:c r="AG21" s="36"/>
      <x:c r="AH21" s="54"/>
      <x:c r="AI21" s="54"/>
      <x:c r="AJ21" s="53" t="str">
        <x:v>착수 전</x:v>
      </x:c>
    </x:row>
    <x:row r="22" ht="42" customHeight="1">
      <x:c r="A22" s="36" t="str">
        <x:v>SET-021</x:v>
      </x:c>
      <x:c r="B22" s="36" t="str">
        <x:v>게임 설정·접근성</x:v>
      </x:c>
      <x:c r="C22" s="36" t="str">
        <x:v>룸 운영 정책</x:v>
      </x:c>
      <x:c r="D22" s="36" t="str">
        <x:v>복제</x:v>
      </x:c>
      <x:c r="E22" s="36" t="str">
        <x:v>확정 룸 설정 전체 동기화</x:v>
      </x:c>
      <x:c r="F22" s="36" t="str">
        <x:v>게임 규칙, 운영 요구사항과 대상 플랫폼 제약을 충족하도록 확정 룸 설정 전체 동기화 기능을 구현하고 검증한다.</x:v>
      </x:c>
      <x:c r="G22" s="36" t="str">
        <x:v>서버가 승인한 설정값과 설정 버전을 모든 참가자에게 동기화하고 차분 갱신, 재접속, 중도 참가 시에도 동일한 값을 유지한다.</x:v>
      </x:c>
      <x:c r="H22" s="36" t="str">
        <x:v>구현, 코드 리뷰, 사양 갱신, 대상 QA 케이스 실행, 로그·텔레메트리 확인과 관련 플랫폼 검증을 완료하고 미해결 P0·P1 결함이 없다.</x:v>
      </x:c>
      <x:c r="I22" s="36" t="str">
        <x:v>MVP</x:v>
      </x:c>
      <x:c r="J22" s="36" t="str">
        <x:v>P0</x:v>
      </x:c>
      <x:c r="K22" s="36" t="str">
        <x:v>필수</x:v>
      </x:c>
      <x:c r="L22" s="36" t="str">
        <x:v>네트워크</x:v>
      </x:c>
      <x:c r="M22" s="36" t="str">
        <x:v>MVP</x:v>
      </x:c>
      <x:c r="N22" s="36" t="str">
        <x:v>UX·클라이언트 엔지니어링</x:v>
      </x:c>
      <x:c r="O22" s="36" t="str">
        <x:v>미정</x:v>
      </x:c>
      <x:c r="P22" s="36" t="str">
        <x:v>미정</x:v>
      </x:c>
      <x:c r="Q22" s="36" t="str">
        <x:v>전체</x:v>
      </x:c>
      <x:c r="R22" s="36" t="str">
        <x:v>서버 권한</x:v>
      </x:c>
      <x:c r="S22" s="36" t="str">
        <x:v>세션</x:v>
      </x:c>
      <x:c r="T22" s="36" t="str">
        <x:v>M</x:v>
      </x:c>
      <x:c r="U22" s="36" t="str">
        <x:v>미착수</x:v>
      </x:c>
      <x:c r="V22" s="46" t="n">
        <x:f>IF(U22="완료",1,IF(U22="QA 진행 중",0.8,IF(U22="코드 리뷰",0.65,IF(U22="구현 중",0.4,IF(U22="사양 확인 중",0.1,IF(U22="차단",0.4,0))))))</x:f>
        <x:v>0</x:v>
      </x:c>
      <x:c r="W22" s="36" t="str">
        <x:v>미정</x:v>
      </x:c>
      <x:c r="X22" s="44"/>
      <x:c r="Y22" s="36" t="str">
        <x:v>SET-019,SET-020,NET-007</x:v>
      </x:c>
      <x:c r="Z22" s="36" t="str">
        <x:v>중간</x:v>
      </x:c>
      <x:c r="AA22" s="36" t="str">
        <x:v>네트워크</x:v>
      </x:c>
      <x:c r="AB22" s="36" t="str">
        <x:v>TC-SET-021-01, TC-SET-021-02</x:v>
      </x:c>
      <x:c r="AC22" s="36"/>
      <x:c r="AD22" s="36" t="str">
        <x:v>게임 기획서</x:v>
      </x:c>
      <x:c r="AE22" s="36"/>
      <x:c r="AF22" s="44" t="str">
        <x:v>2026-07-10</x:v>
      </x:c>
      <x:c r="AG22" s="36"/>
      <x:c r="AH22" s="54"/>
      <x:c r="AI22" s="54"/>
      <x:c r="AJ22" s="53" t="str">
        <x:v>착수 전</x:v>
      </x:c>
    </x:row>
    <x:row r="23" ht="42" customHeight="1">
      <x:c r="A23" s="36" t="str">
        <x:v>SET-022</x:v>
      </x:c>
      <x:c r="B23" s="36" t="str">
        <x:v>게임 설정·접근성</x:v>
      </x:c>
      <x:c r="C23" s="36" t="str">
        <x:v>룸 운영 정책</x:v>
      </x:c>
      <x:c r="D23" s="36" t="str">
        <x:v>템플릿</x:v>
      </x:c>
      <x:c r="E23" s="36" t="str">
        <x:v>사용자 정의 룸 설정 저장·불러오기</x:v>
      </x:c>
      <x:c r="F23" s="36" t="str">
        <x:v>게임 규칙, 운영 요구사항과 대상 플랫폼 제약을 충족하도록 사용자 정의 룸 설정 저장·불러오기 기능을 구현하고 검증한다.</x:v>
      </x:c>
      <x:c r="G23" s="36" t="str">
        <x:v>호스트가 이름 있는 템플릿을 저장, 복제, 삭제할 수 있고 지원하지 않는 키를 포함한 이전 템플릿은 경고 후 마이그레이션한다.</x:v>
      </x:c>
      <x:c r="H23" s="36" t="str">
        <x:v>구현, 코드 리뷰, 사양 갱신, 대상 QA 케이스 실행, 로그·텔레메트리 확인과 관련 플랫폼 검증을 완료하고 미해결 P0·P1 결함이 없다.</x:v>
      </x:c>
      <x:c r="I23" s="36" t="str">
        <x:v>베타</x:v>
      </x:c>
      <x:c r="J23" s="36" t="str">
        <x:v>P2</x:v>
      </x:c>
      <x:c r="K23" s="36" t="str">
        <x:v>권장</x:v>
      </x:c>
      <x:c r="L23" s="36" t="str">
        <x:v>UX</x:v>
      </x:c>
      <x:c r="M23" s="36" t="str">
        <x:v>베타</x:v>
      </x:c>
      <x:c r="N23" s="36" t="str">
        <x:v>UX·클라이언트 엔지니어링</x:v>
      </x:c>
      <x:c r="O23" s="36" t="str">
        <x:v>미정</x:v>
      </x:c>
      <x:c r="P23" s="36" t="str">
        <x:v>미정</x:v>
      </x:c>
      <x:c r="Q23" s="36" t="str">
        <x:v>전체</x:v>
      </x:c>
      <x:c r="R23" s="36" t="str">
        <x:v>클라이언트 로컬</x:v>
      </x:c>
      <x:c r="S23" s="36" t="str">
        <x:v>계정</x:v>
      </x:c>
      <x:c r="T23" s="36" t="str">
        <x:v>L</x:v>
      </x:c>
      <x:c r="U23" s="36" t="str">
        <x:v>미착수</x:v>
      </x:c>
      <x:c r="V23" s="46" t="n">
        <x:f>IF(U23="완료",1,IF(U23="QA 진행 중",0.8,IF(U23="코드 리뷰",0.65,IF(U23="구현 중",0.4,IF(U23="사양 확인 중",0.1,IF(U23="차단",0.4,0))))))</x:f>
        <x:v>0</x:v>
      </x:c>
      <x:c r="W23" s="36" t="str">
        <x:v>미정</x:v>
      </x:c>
      <x:c r="X23" s="44"/>
      <x:c r="Y23" s="36" t="str">
        <x:v>SET-002,SET-020,BED-003</x:v>
      </x:c>
      <x:c r="Z23" s="36" t="str">
        <x:v>중간</x:v>
      </x:c>
      <x:c r="AA23" s="36" t="str">
        <x:v>호환성</x:v>
      </x:c>
      <x:c r="AB23" s="36" t="str">
        <x:v>TC-SET-022-01</x:v>
      </x:c>
      <x:c r="AC23" s="36"/>
      <x:c r="AD23" s="36" t="str">
        <x:v>게임 기획서</x:v>
      </x:c>
      <x:c r="AE23" s="36"/>
      <x:c r="AF23" s="44" t="str">
        <x:v>2026-07-10</x:v>
      </x:c>
      <x:c r="AG23" s="36"/>
      <x:c r="AH23" s="54"/>
      <x:c r="AI23" s="54"/>
      <x:c r="AJ23" s="53" t="str">
        <x:v>착수 전</x:v>
      </x:c>
    </x:row>
    <x:row r="24" ht="42" customHeight="1">
      <x:c r="A24" s="36" t="str">
        <x:v>SET-023</x:v>
      </x:c>
      <x:c r="B24" s="36" t="str">
        <x:v>게임 설정·접근성</x:v>
      </x:c>
      <x:c r="C24" s="36" t="str">
        <x:v>접근성</x:v>
      </x:c>
      <x:c r="D24" s="36" t="str">
        <x:v>텍스트·자막</x:v>
      </x:c>
      <x:c r="E24" s="36" t="str">
        <x:v>자막·텍스트 크기·읽기 보조</x:v>
      </x:c>
      <x:c r="F24" s="36" t="str">
        <x:v>게임 규칙, 운영 요구사항과 대상 플랫폼 제약을 충족하도록 자막·텍스트 크기·읽기 보조 기능을 구현하고 검증한다.</x:v>
      </x:c>
      <x:c r="G24" s="36" t="str">
        <x:v>시스템 사운드 자막, UI 텍스트 배율, 배경 불투명도, 길게 누르기 대체 입력을 설정할 수 있고 주요 화면에서 잘림과 겹침이 없다.</x:v>
      </x:c>
      <x:c r="H24" s="36" t="str">
        <x:v>구현, 코드 리뷰, 사양 갱신, 대상 QA 케이스 실행, 로그·텔레메트리 확인과 관련 플랫폼 검증을 완료하고 미해결 P0·P1 결함이 없다.</x:v>
      </x:c>
      <x:c r="I24" s="36" t="str">
        <x:v>베타</x:v>
      </x:c>
      <x:c r="J24" s="36" t="str">
        <x:v>P0</x:v>
      </x:c>
      <x:c r="K24" s="36" t="str">
        <x:v>필수</x:v>
      </x:c>
      <x:c r="L24" s="36" t="str">
        <x:v>접근성</x:v>
      </x:c>
      <x:c r="M24" s="36" t="str">
        <x:v>베타</x:v>
      </x:c>
      <x:c r="N24" s="36" t="str">
        <x:v>UX·클라이언트 엔지니어링</x:v>
      </x:c>
      <x:c r="O24" s="36" t="str">
        <x:v>미정</x:v>
      </x:c>
      <x:c r="P24" s="36" t="str">
        <x:v>미정</x:v>
      </x:c>
      <x:c r="Q24" s="36" t="str">
        <x:v>전체</x:v>
      </x:c>
      <x:c r="R24" s="36" t="str">
        <x:v>클라이언트 로컬</x:v>
      </x:c>
      <x:c r="S24" s="36" t="str">
        <x:v>단말 로컬</x:v>
      </x:c>
      <x:c r="T24" s="36" t="str">
        <x:v>XL</x:v>
      </x:c>
      <x:c r="U24" s="36" t="str">
        <x:v>미착수</x:v>
      </x:c>
      <x:c r="V24" s="46" t="n">
        <x:f>IF(U24="완료",1,IF(U24="QA 진행 중",0.8,IF(U24="코드 리뷰",0.65,IF(U24="구현 중",0.4,IF(U24="사양 확인 중",0.1,IF(U24="차단",0.4,0))))))</x:f>
        <x:v>0</x:v>
      </x:c>
      <x:c r="W24" s="36" t="str">
        <x:v>미정</x:v>
      </x:c>
      <x:c r="X24" s="44"/>
      <x:c r="Y24" s="36" t="str">
        <x:v>SET-001,UIX-001,AUD-015</x:v>
      </x:c>
      <x:c r="Z24" s="36" t="str">
        <x:v>중간</x:v>
      </x:c>
      <x:c r="AA24" s="36" t="str">
        <x:v>접근성</x:v>
      </x:c>
      <x:c r="AB24" s="36" t="str">
        <x:v>TC-SET-023-01, TC-SET-023-02</x:v>
      </x:c>
      <x:c r="AC24" s="36"/>
      <x:c r="AD24" s="36" t="str">
        <x:v>게임 기획서</x:v>
      </x:c>
      <x:c r="AE24" s="36"/>
      <x:c r="AF24" s="44" t="str">
        <x:v>2026-07-10</x:v>
      </x:c>
      <x:c r="AG24" s="36"/>
      <x:c r="AH24" s="54"/>
      <x:c r="AI24" s="54"/>
      <x:c r="AJ24" s="53" t="str">
        <x:v>착수 전</x:v>
      </x:c>
    </x:row>
    <x:row r="25" ht="42" customHeight="1">
      <x:c r="A25" s="36" t="str">
        <x:v>SET-024</x:v>
      </x:c>
      <x:c r="B25" s="36" t="str">
        <x:v>게임 설정·접근성</x:v>
      </x:c>
      <x:c r="C25" s="36" t="str">
        <x:v>접근성</x:v>
      </x:c>
      <x:c r="D25" s="36" t="str">
        <x:v>색각 보조</x:v>
      </x:c>
      <x:c r="E25" s="36" t="str">
        <x:v>색각 보조 프리셋</x:v>
      </x:c>
      <x:c r="F25" s="36" t="str">
        <x:v>게임 규칙, 운영 요구사항과 대상 플랫폼 제약을 충족하도록 색각 보조 프리셋 기능을 구현하고 검증한다.</x:v>
      </x:c>
      <x:c r="G25" s="36" t="str">
        <x:v>색상명, 패턴, 기호, 대비 보조를 조합한 프리셋을 제공하고 캐릭터 색상, 메모 색상, 투표 UI에 일관되게 적용한다.</x:v>
      </x:c>
      <x:c r="H25" s="36" t="str">
        <x:v>구현, 코드 리뷰, 사양 갱신, 대상 QA 케이스 실행, 로그·텔레메트리 확인과 관련 플랫폼 검증을 완료하고 미해결 P0·P1 결함이 없다.</x:v>
      </x:c>
      <x:c r="I25" s="36" t="str">
        <x:v>베타</x:v>
      </x:c>
      <x:c r="J25" s="36" t="str">
        <x:v>P0</x:v>
      </x:c>
      <x:c r="K25" s="36" t="str">
        <x:v>필수</x:v>
      </x:c>
      <x:c r="L25" s="36" t="str">
        <x:v>접근성</x:v>
      </x:c>
      <x:c r="M25" s="36" t="str">
        <x:v>베타</x:v>
      </x:c>
      <x:c r="N25" s="36" t="str">
        <x:v>UX·클라이언트 엔지니어링</x:v>
      </x:c>
      <x:c r="O25" s="36" t="str">
        <x:v>미정</x:v>
      </x:c>
      <x:c r="P25" s="36" t="str">
        <x:v>미정</x:v>
      </x:c>
      <x:c r="Q25" s="36" t="str">
        <x:v>전체</x:v>
      </x:c>
      <x:c r="R25" s="36" t="str">
        <x:v>클라이언트 로컬</x:v>
      </x:c>
      <x:c r="S25" s="36" t="str">
        <x:v>단말 로컬</x:v>
      </x:c>
      <x:c r="T25" s="36" t="str">
        <x:v>L</x:v>
      </x:c>
      <x:c r="U25" s="36" t="str">
        <x:v>미착수</x:v>
      </x:c>
      <x:c r="V25" s="46" t="n">
        <x:f>IF(U25="완료",1,IF(U25="QA 진행 중",0.8,IF(U25="코드 리뷰",0.65,IF(U25="구현 중",0.4,IF(U25="사양 확인 중",0.1,IF(U25="차단",0.4,0))))))</x:f>
        <x:v>0</x:v>
      </x:c>
      <x:c r="W25" s="36" t="str">
        <x:v>미정</x:v>
      </x:c>
      <x:c r="X25" s="44"/>
      <x:c r="Y25" s="36" t="str">
        <x:v>SET-001,UIX-028,CHR-015</x:v>
      </x:c>
      <x:c r="Z25" s="36" t="str">
        <x:v>중간</x:v>
      </x:c>
      <x:c r="AA25" s="36" t="str">
        <x:v>접근성</x:v>
      </x:c>
      <x:c r="AB25" s="36" t="str">
        <x:v>TC-SET-024-01, TC-SET-024-02</x:v>
      </x:c>
      <x:c r="AC25" s="36"/>
      <x:c r="AD25" s="36" t="str">
        <x:v>게임 기획서</x:v>
      </x:c>
      <x:c r="AE25" s="36"/>
      <x:c r="AF25" s="44" t="str">
        <x:v>2026-07-10</x:v>
      </x:c>
      <x:c r="AG25" s="36"/>
      <x:c r="AH25" s="54"/>
      <x:c r="AI25" s="54"/>
      <x:c r="AJ25" s="53" t="str">
        <x:v>착수 전</x:v>
      </x:c>
    </x:row>
    <x:row r="26" ht="42" customHeight="1">
      <x:c r="A26" s="36" t="str">
        <x:v>SET-025</x:v>
      </x:c>
      <x:c r="B26" s="36" t="str">
        <x:v>게임 설정·접근성</x:v>
      </x:c>
      <x:c r="C26" s="36" t="str">
        <x:v>접근성</x:v>
      </x:c>
      <x:c r="D26" s="36" t="str">
        <x:v>모션·카메라</x:v>
      </x:c>
      <x:c r="E26" s="36" t="str">
        <x:v>화면 흔들림·점멸·카메라 보조 설정</x:v>
      </x:c>
      <x:c r="F26" s="36" t="str">
        <x:v>게임 규칙, 운영 요구사항과 대상 플랫폼 제약을 충족하도록 화면 흔들림·점멸·카메라 보조 설정 기능을 구현하고 검증한다.</x:v>
      </x:c>
      <x:c r="G26" s="36" t="str">
        <x:v>화면 흔들림, 모션 블러, 점멸, 카메라 속도, 조준점을 조정할 수 있고 LED 표현과 페이즈 연출에 안전한 저자극 모드를 적용한다.</x:v>
      </x:c>
      <x:c r="H26" s="36" t="str">
        <x:v>구현, 코드 리뷰, 사양 갱신, 대상 QA 케이스 실행, 로그·텔레메트리 확인과 관련 플랫폼 검증을 완료하고 미해결 P0·P1 결함이 없다.</x:v>
      </x:c>
      <x:c r="I26" s="36" t="str">
        <x:v>베타</x:v>
      </x:c>
      <x:c r="J26" s="36" t="str">
        <x:v>P1</x:v>
      </x:c>
      <x:c r="K26" s="36" t="str">
        <x:v>필수</x:v>
      </x:c>
      <x:c r="L26" s="36" t="str">
        <x:v>접근성</x:v>
      </x:c>
      <x:c r="M26" s="36" t="str">
        <x:v>베타</x:v>
      </x:c>
      <x:c r="N26" s="36" t="str">
        <x:v>UX·클라이언트 엔지니어링</x:v>
      </x:c>
      <x:c r="O26" s="36" t="str">
        <x:v>미정</x:v>
      </x:c>
      <x:c r="P26" s="36" t="str">
        <x:v>미정</x:v>
      </x:c>
      <x:c r="Q26" s="36" t="str">
        <x:v>전체</x:v>
      </x:c>
      <x:c r="R26" s="36" t="str">
        <x:v>클라이언트 로컬</x:v>
      </x:c>
      <x:c r="S26" s="36" t="str">
        <x:v>단말 로컬</x:v>
      </x:c>
      <x:c r="T26" s="36" t="str">
        <x:v>L</x:v>
      </x:c>
      <x:c r="U26" s="36" t="str">
        <x:v>미착수</x:v>
      </x:c>
      <x:c r="V26" s="46" t="n">
        <x:f>IF(U26="완료",1,IF(U26="QA 진행 중",0.8,IF(U26="코드 리뷰",0.65,IF(U26="구현 중",0.4,IF(U26="사양 확인 중",0.1,IF(U26="차단",0.4,0))))))</x:f>
        <x:v>0</x:v>
      </x:c>
      <x:c r="W26" s="36" t="str">
        <x:v>미정</x:v>
      </x:c>
      <x:c r="X26" s="44"/>
      <x:c r="Y26" s="36" t="str">
        <x:v>SET-001,CHR-004,AUD-014</x:v>
      </x:c>
      <x:c r="Z26" s="36" t="str">
        <x:v>중간</x:v>
      </x:c>
      <x:c r="AA26" s="36" t="str">
        <x:v>접근성</x:v>
      </x:c>
      <x:c r="AB26" s="36" t="str">
        <x:v>TC-SET-025-01</x:v>
      </x:c>
      <x:c r="AC26" s="36"/>
      <x:c r="AD26" s="36" t="str">
        <x:v>게임 기획서</x:v>
      </x:c>
      <x:c r="AE26" s="36"/>
      <x:c r="AF26" s="44" t="str">
        <x:v>2026-07-10</x:v>
      </x:c>
      <x:c r="AG26" s="36"/>
      <x:c r="AH26" s="54"/>
      <x:c r="AI26" s="54"/>
      <x:c r="AJ26" s="53" t="str">
        <x:v>착수 전</x:v>
      </x:c>
    </x:row>
    <x:row r="27" ht="42" customHeight="1">
      <x:c r="A27" s="36" t="str">
        <x:v>SET-026</x:v>
      </x:c>
      <x:c r="B27" s="36" t="str">
        <x:v>게임 설정·접근성</x:v>
      </x:c>
      <x:c r="C27" s="36" t="str">
        <x:v>안전</x:v>
      </x:c>
      <x:c r="D27" s="36" t="str">
        <x:v>소셜·자녀 보호</x:v>
      </x:c>
      <x:c r="E27" s="36" t="str">
        <x:v>텍스트·음성·초대 안전 설정</x:v>
      </x:c>
      <x:c r="F27" s="36" t="str">
        <x:v>게임 규칙, 운영 요구사항과 대상 플랫폼 제약을 충족하도록 텍스트·음성·초대 안전 설정 기능을 구현하고 검증한다.</x:v>
      </x:c>
      <x:c r="G27" s="36" t="str">
        <x:v>음성 채팅, 근거리 텍스트, 친구 초대, 크로스플레이, 사용자 생성 콘텐츠를 연령, 지역, 보호자 설정에 따라 제어한다.</x:v>
      </x:c>
      <x:c r="H27" s="36" t="str">
        <x:v>구현, 코드 리뷰, 사양 갱신, 대상 QA 케이스 실행, 로그·텔레메트리 확인과 관련 플랫폼 검증을 완료하고 미해결 P0·P1 결함이 없다.</x:v>
      </x:c>
      <x:c r="I27" s="36" t="str">
        <x:v>출시</x:v>
      </x:c>
      <x:c r="J27" s="36" t="str">
        <x:v>P0</x:v>
      </x:c>
      <x:c r="K27" s="36" t="str">
        <x:v>필수</x:v>
      </x:c>
      <x:c r="L27" s="36" t="str">
        <x:v>안전</x:v>
      </x:c>
      <x:c r="M27" s="36" t="str">
        <x:v>출시</x:v>
      </x:c>
      <x:c r="N27" s="36" t="str">
        <x:v>UX·클라이언트 엔지니어링</x:v>
      </x:c>
      <x:c r="O27" s="36" t="str">
        <x:v>미정</x:v>
      </x:c>
      <x:c r="P27" s="36" t="str">
        <x:v>미정</x:v>
      </x:c>
      <x:c r="Q27" s="36" t="str">
        <x:v>전체</x:v>
      </x:c>
      <x:c r="R27" s="36" t="str">
        <x:v>백엔드 권한</x:v>
      </x:c>
      <x:c r="S27" s="36" t="str">
        <x:v>계정</x:v>
      </x:c>
      <x:c r="T27" s="36" t="str">
        <x:v>XL</x:v>
      </x:c>
      <x:c r="U27" s="36" t="str">
        <x:v>미착수</x:v>
      </x:c>
      <x:c r="V27" s="46" t="n">
        <x:f>IF(U27="완료",1,IF(U27="QA 진행 중",0.8,IF(U27="코드 리뷰",0.65,IF(U27="구현 중",0.4,IF(U27="사양 확인 중",0.1,IF(U27="차단",0.4,0))))))</x:f>
        <x:v>0</x:v>
      </x:c>
      <x:c r="W27" s="36" t="str">
        <x:v>미정</x:v>
      </x:c>
      <x:c r="X27" s="44"/>
      <x:c r="Y27" s="36" t="str">
        <x:v>BED-009,BED-012,BED-013</x:v>
      </x:c>
      <x:c r="Z27" s="36" t="str">
        <x:v>중간</x:v>
      </x:c>
      <x:c r="AA27" s="36" t="str">
        <x:v>운영</x:v>
      </x:c>
      <x:c r="AB27" s="36" t="str">
        <x:v>TC-SET-026-01, TC-SET-026-02</x:v>
      </x:c>
      <x:c r="AC27" s="36"/>
      <x:c r="AD27" s="36" t="str">
        <x:v>게임 기획서</x:v>
      </x:c>
      <x:c r="AE27" s="36"/>
      <x:c r="AF27" s="44" t="str">
        <x:v>2026-07-10</x:v>
      </x:c>
      <x:c r="AG27" s="36"/>
      <x:c r="AH27" s="54"/>
      <x:c r="AI27" s="54"/>
      <x:c r="AJ27" s="53" t="str">
        <x:v>착수 전</x:v>
      </x:c>
    </x:row>
    <x:row r="28" ht="42" customHeight="1">
      <x:c r="A28" s="36" t="str">
        <x:v>SET-027</x:v>
      </x:c>
      <x:c r="B28" s="36" t="str">
        <x:v>게임 설정·접근성</x:v>
      </x:c>
      <x:c r="C28" s="36" t="str">
        <x:v>진단</x:v>
      </x:c>
      <x:c r="D28" s="36" t="str">
        <x:v>네트워크</x:v>
      </x:c>
      <x:c r="E28" s="36" t="str">
        <x:v>네트워크 진단 표시 설정</x:v>
      </x:c>
      <x:c r="F28" s="36" t="str">
        <x:v>게임 규칙, 운영 요구사항과 대상 플랫폼 제약을 충족하도록 네트워크 진단 표시 설정 기능을 구현하고 검증한다.</x:v>
      </x:c>
      <x:c r="G28" s="36" t="str">
        <x:v>선택적으로 핑, 패킷 손실, 지역, 음성 연결 상태를 표시할 수 있고 제품 빌드에서 비공개 서버 정보나 개인 식별자를 노출하지 않는다.</x:v>
      </x:c>
      <x:c r="H28" s="36" t="str">
        <x:v>구현, 코드 리뷰, 사양 갱신, 대상 QA 케이스 실행, 로그·텔레메트리 확인과 관련 플랫폼 검증을 완료하고 미해결 P0·P1 결함이 없다.</x:v>
      </x:c>
      <x:c r="I28" s="36" t="str">
        <x:v>알파</x:v>
      </x:c>
      <x:c r="J28" s="36" t="str">
        <x:v>P2</x:v>
      </x:c>
      <x:c r="K28" s="36" t="str">
        <x:v>권장</x:v>
      </x:c>
      <x:c r="L28" s="36" t="str">
        <x:v>운영</x:v>
      </x:c>
      <x:c r="M28" s="36" t="str">
        <x:v>알파</x:v>
      </x:c>
      <x:c r="N28" s="36" t="str">
        <x:v>UX·클라이언트 엔지니어링</x:v>
      </x:c>
      <x:c r="O28" s="36" t="str">
        <x:v>미정</x:v>
      </x:c>
      <x:c r="P28" s="36" t="str">
        <x:v>미정</x:v>
      </x:c>
      <x:c r="Q28" s="36" t="str">
        <x:v>전체</x:v>
      </x:c>
      <x:c r="R28" s="36" t="str">
        <x:v>클라이언트 로컬</x:v>
      </x:c>
      <x:c r="S28" s="36" t="str">
        <x:v>단말 로컬</x:v>
      </x:c>
      <x:c r="T28" s="36" t="str">
        <x:v>M</x:v>
      </x:c>
      <x:c r="U28" s="36" t="str">
        <x:v>미착수</x:v>
      </x:c>
      <x:c r="V28" s="46" t="n">
        <x:f>IF(U28="완료",1,IF(U28="QA 진행 중",0.8,IF(U28="코드 리뷰",0.65,IF(U28="구현 중",0.4,IF(U28="사양 확인 중",0.1,IF(U28="차단",0.4,0))))))</x:f>
        <x:v>0</x:v>
      </x:c>
      <x:c r="W28" s="36" t="str">
        <x:v>미정</x:v>
      </x:c>
      <x:c r="X28" s="44"/>
      <x:c r="Y28" s="36" t="str">
        <x:v>NET-023,ONL-003</x:v>
      </x:c>
      <x:c r="Z28" s="36" t="str">
        <x:v>중간</x:v>
      </x:c>
      <x:c r="AA28" s="36" t="str">
        <x:v>운영</x:v>
      </x:c>
      <x:c r="AB28" s="36" t="str">
        <x:v>TC-SET-027-01</x:v>
      </x:c>
      <x:c r="AC28" s="36"/>
      <x:c r="AD28" s="36" t="str">
        <x:v>게임 기획서</x:v>
      </x:c>
      <x:c r="AE28" s="36"/>
      <x:c r="AF28" s="44" t="str">
        <x:v>2026-07-10</x:v>
      </x:c>
      <x:c r="AG28" s="36"/>
      <x:c r="AH28" s="54"/>
      <x:c r="AI28" s="54"/>
      <x:c r="AJ28" s="53" t="str">
        <x:v>착수 전</x:v>
      </x:c>
    </x:row>
    <x:row r="29" ht="42" customHeight="1">
      <x:c r="A29" s="36" t="str">
        <x:v>SET-028</x:v>
      </x:c>
      <x:c r="B29" s="36" t="str">
        <x:v>게임 설정·접근성</x:v>
      </x:c>
      <x:c r="C29" s="36" t="str">
        <x:v>라이브 설정</x:v>
      </x:c>
      <x:c r="D29" s="36" t="str">
        <x:v>원격 설정</x:v>
      </x:c>
      <x:c r="E29" s="36" t="str">
        <x:v>안전한 원격 기본값·기능 플래그</x:v>
      </x:c>
      <x:c r="F29" s="36" t="str">
        <x:v>게임 규칙, 운영 요구사항과 대상 플랫폼 제약을 충족하도록 안전한 원격 기본값·기능 플래그 기능을 구현하고 검증한다.</x:v>
      </x:c>
      <x:c r="G29" s="36" t="str">
        <x:v>서명과 버전이 있는 원격 설정을 가져오고 허용 목록 밖의 키는 무시한다. 매치 진행 중에는 승패에 영향을 주는 값을 변경하지 않는다.</x:v>
      </x:c>
      <x:c r="H29" s="36" t="str">
        <x:v>구현, 코드 리뷰, 사양 갱신, 대상 QA 케이스 실행, 로그·텔레메트리 확인과 관련 플랫폼 검증을 완료하고 미해결 P0·P1 결함이 없다.</x:v>
      </x:c>
      <x:c r="I29" s="36" t="str">
        <x:v>출시</x:v>
      </x:c>
      <x:c r="J29" s="36" t="str">
        <x:v>P0</x:v>
      </x:c>
      <x:c r="K29" s="36" t="str">
        <x:v>필수</x:v>
      </x:c>
      <x:c r="L29" s="36" t="str">
        <x:v>운영</x:v>
      </x:c>
      <x:c r="M29" s="36" t="str">
        <x:v>출시</x:v>
      </x:c>
      <x:c r="N29" s="36" t="str">
        <x:v>UX·클라이언트 엔지니어링</x:v>
      </x:c>
      <x:c r="O29" s="36" t="str">
        <x:v>미정</x:v>
      </x:c>
      <x:c r="P29" s="36" t="str">
        <x:v>미정</x:v>
      </x:c>
      <x:c r="Q29" s="36" t="str">
        <x:v>전체</x:v>
      </x:c>
      <x:c r="R29" s="36" t="str">
        <x:v>백엔드 권한</x:v>
      </x:c>
      <x:c r="S29" s="36" t="str">
        <x:v>백엔드</x:v>
      </x:c>
      <x:c r="T29" s="36" t="str">
        <x:v>L</x:v>
      </x:c>
      <x:c r="U29" s="36" t="str">
        <x:v>미착수</x:v>
      </x:c>
      <x:c r="V29" s="46" t="n">
        <x:f>IF(U29="완료",1,IF(U29="QA 진행 중",0.8,IF(U29="코드 리뷰",0.65,IF(U29="구현 중",0.4,IF(U29="사양 확인 중",0.1,IF(U29="차단",0.4,0))))))</x:f>
        <x:v>0</x:v>
      </x:c>
      <x:c r="W29" s="36" t="str">
        <x:v>미정</x:v>
      </x:c>
      <x:c r="X29" s="44"/>
      <x:c r="Y29" s="36" t="str">
        <x:v>BED-015,BED-016</x:v>
      </x:c>
      <x:c r="Z29" s="36" t="str">
        <x:v>중간</x:v>
      </x:c>
      <x:c r="AA29" s="36" t="str">
        <x:v>보안</x:v>
      </x:c>
      <x:c r="AB29" s="36" t="str">
        <x:v>TC-SET-028-01, TC-SET-028-02</x:v>
      </x:c>
      <x:c r="AC29" s="36"/>
      <x:c r="AD29" s="36" t="str">
        <x:v>게임 기획서</x:v>
      </x:c>
      <x:c r="AE29" s="36"/>
      <x:c r="AF29" s="44" t="str">
        <x:v>2026-07-10</x:v>
      </x:c>
      <x:c r="AG29" s="36"/>
      <x:c r="AH29" s="54"/>
      <x:c r="AI29" s="54"/>
      <x:c r="AJ29" s="53" t="str">
        <x:v>착수 전</x:v>
      </x:c>
    </x:row>
  </x:sheetData>
  <x:conditionalFormatting sqref="U2:U29">
    <x:cfRule type="expression" dxfId="0" priority="1">
      <x:formula>U2="완료"</x:formula>
    </x:cfRule>
    <x:cfRule type="expression" dxfId="1" priority="2">
      <x:formula>U2="통과"</x:formula>
    </x:cfRule>
    <x:cfRule type="expression" dxfId="2" priority="3">
      <x:formula>U2="차단"</x:formula>
    </x:cfRule>
    <x:cfRule type="expression" dxfId="3" priority="4">
      <x:formula>U2="실패"</x:formula>
    </x:cfRule>
    <x:cfRule type="expression" dxfId="4" priority="5">
      <x:formula>U2="구현 중"</x:formula>
    </x:cfRule>
    <x:cfRule type="expression" dxfId="5" priority="6">
      <x:formula>U2="QA 진행 중"</x:formula>
    </x:cfRule>
  </x:conditionalFormatting>
  <x:conditionalFormatting sqref="J2:J29">
    <x:cfRule type="expression" dxfId="6" priority="7">
      <x:formula>J2="P0"</x:formula>
    </x:cfRule>
    <x:cfRule type="expression" dxfId="7" priority="8">
      <x:formula>J2="P1"</x:formula>
    </x:cfRule>
  </x:conditionalFormatting>
  <x:conditionalFormatting sqref="Z2:Z29">
    <x:cfRule type="expression" dxfId="8" priority="9">
      <x:formula>Z2="높음"</x:formula>
    </x:cfRule>
    <x:cfRule type="expression" dxfId="9" priority="10">
      <x:formula>Z2="중간"</x:formula>
    </x:cfRule>
  </x:conditionalFormatting>
  <x:conditionalFormatting sqref="AJ2:AJ29">
    <x:cfRule type="expression" dxfId="30" priority="11">
      <x:formula>AJ2="착수 전"</x:formula>
    </x:cfRule>
    <x:cfRule type="expression" dxfId="31" priority="12">
      <x:formula>AJ2="작업 중"</x:formula>
    </x:cfRule>
    <x:cfRule type="expression" dxfId="32" priority="13">
      <x:formula>AJ2="완료"</x:formula>
    </x:cfRule>
  </x:conditionalFormatting>
  <x:dataValidations count="11">
    <x:dataValidation type="list" sqref="I2:I29">
      <x:formula1>"MVP,알파,베타,릴리스 후보,출시,출시 후,대상 제외"</x:formula1>
    </x:dataValidation>
    <x:dataValidation type="list" sqref="J2:J29">
      <x:formula1>"P0,P1,P2,P3"</x:formula1>
    </x:dataValidation>
    <x:dataValidation type="list" sqref="K2:K29">
      <x:formula1>"필수,조건부,권장,대상 제외"</x:formula1>
    </x:dataValidation>
    <x:dataValidation type="list" sqref="Q2:Q29">
      <x:formula1>"전체,PC,콘솔,모바일,서버,백엔드,도구,웹·관리자"</x:formula1>
    </x:dataValidation>
    <x:dataValidation type="list" sqref="R2:R29">
      <x:formula1>"서버 권한,클라이언트 예측·서버 검증,클라이언트 로컬,백엔드 권한,호스트 권한,콘텐츠 데이터,해당 없음"</x:formula1>
    </x:dataValidation>
    <x:dataValidation type="list" sqref="S2:S29">
      <x:formula1>"없음,세션,매치,계정,단말 로컬,백엔드,감사 로그"</x:formula1>
    </x:dataValidation>
    <x:dataValidation type="list" sqref="T2:T29">
      <x:formula1>"XS,S,M,L,XL,분할 필요"</x:formula1>
    </x:dataValidation>
    <x:dataValidation type="list" sqref="U2:U29">
      <x:formula1>"미착수,사양 확인 중,구현 중,코드 리뷰,QA 진행 중,차단,완료,보류"</x:formula1>
    </x:dataValidation>
    <x:dataValidation type="list" sqref="Z2:Z29">
      <x:formula1>"높음,중간,낮음"</x:formula1>
    </x:dataValidation>
    <x:dataValidation type="list" sqref="AA2:AA29">
      <x:formula1>"기능,통합,경계값,네트워크,보안,성능,호환성,사용성,접근성,현지화,밸런스,운영,안전,부하"</x:formula1>
    </x:dataValidation>
    <x:dataValidation type="list" sqref="AJ2:AJ29">
      <x:formula1>"착수 전,작업 중,완료"</x:formula1>
    </x:dataValidation>
  </x:dataValidations>
  <x:pageMargins left="0.7" right="0.7" top="0.75" bottom="0.75" header="0.3" footer="0.3"/>
  <x:tableParts count="1">
    <x:tablePart xmlns:r="http://schemas.openxmlformats.org/officeDocument/2006/relationships" r:id="R86a5ab34525f4cc3"/>
  </x:tableParts>
</x:worksheet>
</file>

<file path=xl/worksheets/sheet3.xml><?xml version="1.0" encoding="utf-8"?>
<x:worksheet xmlns:x="http://schemas.openxmlformats.org/spreadsheetml/2006/main">
  <x:sheetFormatPr defaultRowHeight="15"/>
  <x:cols>
    <x:col min="1" max="1" width="28" hidden="0" customWidth="1"/>
    <x:col min="2" max="2" width="18" hidden="0" customWidth="1"/>
    <x:col min="3" max="3" width="24" hidden="0" customWidth="1"/>
    <x:col min="4" max="4" width="12" hidden="0" customWidth="1"/>
    <x:col min="5" max="5" width="16" hidden="0" customWidth="1"/>
    <x:col min="6" max="6" width="10" hidden="0" customWidth="1"/>
    <x:col min="7" max="7" width="10" hidden="0" customWidth="1"/>
    <x:col min="8" max="8" width="28" hidden="0" customWidth="1"/>
    <x:col min="9" max="9" width="16" hidden="0" customWidth="1"/>
    <x:col min="10" max="10" width="18" hidden="0" customWidth="1"/>
    <x:col min="11" max="11" width="16" hidden="0" customWidth="1"/>
    <x:col min="12" max="12" width="18" hidden="0" customWidth="1"/>
    <x:col min="13" max="13" width="18" hidden="0" customWidth="1"/>
  </x:cols>
  <x:sheetData>
    <x:row r="1" ht="30" customHeight="1">
      <x:c r="A1" s="40" t="str">
        <x:v>설정 키</x:v>
      </x:c>
      <x:c r="B1" s="40" t="str">
        <x:v>범주</x:v>
      </x:c>
      <x:c r="C1" s="40" t="str">
        <x:v>표시 이름</x:v>
      </x:c>
      <x:c r="D1" s="40" t="str">
        <x:v>형식</x:v>
      </x:c>
      <x:c r="E1" s="40" t="str">
        <x:v>기본값</x:v>
      </x:c>
      <x:c r="F1" s="40" t="str">
        <x:v>최솟값</x:v>
      </x:c>
      <x:c r="G1" s="40" t="str">
        <x:v>최댓값</x:v>
      </x:c>
      <x:c r="H1" s="40" t="str">
        <x:v>선택지</x:v>
      </x:c>
      <x:c r="I1" s="40" t="str">
        <x:v>적용 범위</x:v>
      </x:c>
      <x:c r="J1" s="40" t="str">
        <x:v>권한</x:v>
      </x:c>
      <x:c r="K1" s="40" t="str">
        <x:v>저장 범위</x:v>
      </x:c>
      <x:c r="L1" s="40" t="str">
        <x:v>적용 시점</x:v>
      </x:c>
      <x:c r="M1" s="40" t="str">
        <x:v>관련 ID</x:v>
      </x:c>
    </x:row>
    <x:row r="2" ht="42" customHeight="1">
      <x:c r="A2" s="36" t="str">
        <x:v>room.maxPlayers</x:v>
      </x:c>
      <x:c r="B2" s="36" t="str">
        <x:v>룸</x:v>
      </x:c>
      <x:c r="C2" s="36" t="str">
        <x:v>최대 인원</x:v>
      </x:c>
      <x:c r="D2" s="36" t="str">
        <x:v>정수</x:v>
      </x:c>
      <x:c r="E2" s="36" t="n">
        <x:v>6</x:v>
      </x:c>
      <x:c r="F2" s="36" t="n">
        <x:v>4</x:v>
      </x:c>
      <x:c r="G2" s="36" t="n">
        <x:v>8</x:v>
      </x:c>
      <x:c r="H2" s="36" t="str"/>
      <x:c r="I2" s="36" t="str">
        <x:v>룸</x:v>
      </x:c>
      <x:c r="J2" s="36" t="str">
        <x:v>호스트·서버</x:v>
      </x:c>
      <x:c r="K2" s="36" t="str">
        <x:v>세션</x:v>
      </x:c>
      <x:c r="L2" s="36" t="str">
        <x:v>로비에서만</x:v>
      </x:c>
      <x:c r="M2" s="36" t="str">
        <x:v>SET-010</x:v>
      </x:c>
    </x:row>
    <x:row r="3" ht="42" customHeight="1">
      <x:c r="A3" s="36" t="str">
        <x:v>room.mafiaCount</x:v>
      </x:c>
      <x:c r="B3" s="36" t="str">
        <x:v>룸</x:v>
      </x:c>
      <x:c r="C3" s="36" t="str">
        <x:v>마피아 수</x:v>
      </x:c>
      <x:c r="D3" s="36" t="str">
        <x:v>정수</x:v>
      </x:c>
      <x:c r="E3" s="36" t="n">
        <x:v>1</x:v>
      </x:c>
      <x:c r="F3" s="36" t="n">
        <x:v>1</x:v>
      </x:c>
      <x:c r="G3" s="36" t="n">
        <x:v>2</x:v>
      </x:c>
      <x:c r="H3" s="36" t="str"/>
      <x:c r="I3" s="36" t="str">
        <x:v>룸</x:v>
      </x:c>
      <x:c r="J3" s="36" t="str">
        <x:v>호스트·서버</x:v>
      </x:c>
      <x:c r="K3" s="36" t="str">
        <x:v>세션</x:v>
      </x:c>
      <x:c r="L3" s="36" t="str">
        <x:v>로비에서만</x:v>
      </x:c>
      <x:c r="M3" s="36" t="str">
        <x:v>SET-010</x:v>
      </x:c>
    </x:row>
    <x:row r="4" ht="42" customHeight="1">
      <x:c r="A4" s="36" t="str">
        <x:v>room.daySeconds</x:v>
      </x:c>
      <x:c r="B4" s="36" t="str">
        <x:v>룸</x:v>
      </x:c>
      <x:c r="C4" s="36" t="str">
        <x:v>낮 시간</x:v>
      </x:c>
      <x:c r="D4" s="36" t="str">
        <x:v>정수</x:v>
      </x:c>
      <x:c r="E4" s="36" t="n">
        <x:v>180</x:v>
      </x:c>
      <x:c r="F4" s="36" t="n">
        <x:v>120</x:v>
      </x:c>
      <x:c r="G4" s="36" t="n">
        <x:v>300</x:v>
      </x:c>
      <x:c r="H4" s="36" t="str"/>
      <x:c r="I4" s="36" t="str">
        <x:v>룸</x:v>
      </x:c>
      <x:c r="J4" s="36" t="str">
        <x:v>호스트·서버</x:v>
      </x:c>
      <x:c r="K4" s="36" t="str">
        <x:v>세션</x:v>
      </x:c>
      <x:c r="L4" s="36" t="str">
        <x:v>다음 페이즈</x:v>
      </x:c>
      <x:c r="M4" s="36" t="str">
        <x:v>SET-012</x:v>
      </x:c>
    </x:row>
    <x:row r="5" ht="42" customHeight="1">
      <x:c r="A5" s="36" t="str">
        <x:v>room.nightObserveSeconds</x:v>
      </x:c>
      <x:c r="B5" s="36" t="str">
        <x:v>룸</x:v>
      </x:c>
      <x:c r="C5" s="36" t="str">
        <x:v>밤 관찰 시간</x:v>
      </x:c>
      <x:c r="D5" s="36" t="str">
        <x:v>정수</x:v>
      </x:c>
      <x:c r="E5" s="36" t="n">
        <x:v>25</x:v>
      </x:c>
      <x:c r="F5" s="36" t="n">
        <x:v>15</x:v>
      </x:c>
      <x:c r="G5" s="36" t="n">
        <x:v>45</x:v>
      </x:c>
      <x:c r="H5" s="36" t="str"/>
      <x:c r="I5" s="36" t="str">
        <x:v>룸</x:v>
      </x:c>
      <x:c r="J5" s="36" t="str">
        <x:v>호스트·서버</x:v>
      </x:c>
      <x:c r="K5" s="36" t="str">
        <x:v>세션</x:v>
      </x:c>
      <x:c r="L5" s="36" t="str">
        <x:v>다음 페이즈</x:v>
      </x:c>
      <x:c r="M5" s="36" t="str">
        <x:v>SET-012</x:v>
      </x:c>
    </x:row>
    <x:row r="6" ht="42" customHeight="1">
      <x:c r="A6" s="36" t="str">
        <x:v>room.voteSeconds</x:v>
      </x:c>
      <x:c r="B6" s="36" t="str">
        <x:v>룸</x:v>
      </x:c>
      <x:c r="C6" s="36" t="str">
        <x:v>투표 시간</x:v>
      </x:c>
      <x:c r="D6" s="36" t="str">
        <x:v>정수</x:v>
      </x:c>
      <x:c r="E6" s="36" t="n">
        <x:v>15</x:v>
      </x:c>
      <x:c r="F6" s="36" t="n">
        <x:v>10</x:v>
      </x:c>
      <x:c r="G6" s="36" t="n">
        <x:v>30</x:v>
      </x:c>
      <x:c r="H6" s="36" t="str"/>
      <x:c r="I6" s="36" t="str">
        <x:v>룸</x:v>
      </x:c>
      <x:c r="J6" s="36" t="str">
        <x:v>호스트·서버</x:v>
      </x:c>
      <x:c r="K6" s="36" t="str">
        <x:v>세션</x:v>
      </x:c>
      <x:c r="L6" s="36" t="str">
        <x:v>다음 페이즈</x:v>
      </x:c>
      <x:c r="M6" s="36" t="str">
        <x:v>SET-012</x:v>
      </x:c>
    </x:row>
    <x:row r="7" ht="42" customHeight="1">
      <x:c r="A7" s="36" t="str">
        <x:v>room.memoInventoryCap</x:v>
      </x:c>
      <x:c r="B7" s="36" t="str">
        <x:v>메모</x:v>
      </x:c>
      <x:c r="C7" s="36" t="str">
        <x:v>보유 메모 상한</x:v>
      </x:c>
      <x:c r="D7" s="36" t="str">
        <x:v>정수</x:v>
      </x:c>
      <x:c r="E7" s="36" t="n">
        <x:v>3</x:v>
      </x:c>
      <x:c r="F7" s="36" t="n">
        <x:v>1</x:v>
      </x:c>
      <x:c r="G7" s="36" t="n">
        <x:v>5</x:v>
      </x:c>
      <x:c r="H7" s="36" t="str"/>
      <x:c r="I7" s="36" t="str">
        <x:v>룸</x:v>
      </x:c>
      <x:c r="J7" s="36" t="str">
        <x:v>호스트·서버</x:v>
      </x:c>
      <x:c r="K7" s="36" t="str">
        <x:v>세션</x:v>
      </x:c>
      <x:c r="L7" s="36" t="str">
        <x:v>매치 시작</x:v>
      </x:c>
      <x:c r="M7" s="36" t="str">
        <x:v>SET-014</x:v>
      </x:c>
    </x:row>
    <x:row r="8" ht="42" customHeight="1">
      <x:c r="A8" s="36" t="str">
        <x:v>room.backMemoCap</x:v>
      </x:c>
      <x:c r="B8" s="36" t="str">
        <x:v>메모</x:v>
      </x:c>
      <x:c r="C8" s="36" t="str">
        <x:v>등 메모 상한</x:v>
      </x:c>
      <x:c r="D8" s="36" t="str">
        <x:v>정수</x:v>
      </x:c>
      <x:c r="E8" s="36" t="n">
        <x:v>6</x:v>
      </x:c>
      <x:c r="F8" s="36" t="n">
        <x:v>3</x:v>
      </x:c>
      <x:c r="G8" s="36" t="n">
        <x:v>8</x:v>
      </x:c>
      <x:c r="H8" s="36" t="str"/>
      <x:c r="I8" s="36" t="str">
        <x:v>룸</x:v>
      </x:c>
      <x:c r="J8" s="36" t="str">
        <x:v>호스트·서버</x:v>
      </x:c>
      <x:c r="K8" s="36" t="str">
        <x:v>세션</x:v>
      </x:c>
      <x:c r="L8" s="36" t="str">
        <x:v>매치 시작</x:v>
      </x:c>
      <x:c r="M8" s="36" t="str">
        <x:v>SET-014</x:v>
      </x:c>
    </x:row>
    <x:row r="9" ht="42" customHeight="1">
      <x:c r="A9" s="36" t="str">
        <x:v>room.forgeryPerDay</x:v>
      </x:c>
      <x:c r="B9" s="36" t="str">
        <x:v>마피아</x:v>
      </x:c>
      <x:c r="C9" s="36" t="str">
        <x:v>일일 위조 횟수</x:v>
      </x:c>
      <x:c r="D9" s="36" t="str">
        <x:v>정수</x:v>
      </x:c>
      <x:c r="E9" s="36" t="n">
        <x:v>1</x:v>
      </x:c>
      <x:c r="F9" s="36" t="n">
        <x:v>0</x:v>
      </x:c>
      <x:c r="G9" s="36" t="n">
        <x:v>2</x:v>
      </x:c>
      <x:c r="H9" s="36" t="str">
        <x:v>0 / 1 / 2</x:v>
      </x:c>
      <x:c r="I9" s="36" t="str">
        <x:v>룸</x:v>
      </x:c>
      <x:c r="J9" s="36" t="str">
        <x:v>호스트·서버</x:v>
      </x:c>
      <x:c r="K9" s="36" t="str">
        <x:v>세션</x:v>
      </x:c>
      <x:c r="L9" s="36" t="str">
        <x:v>낮 시작</x:v>
      </x:c>
      <x:c r="M9" s="36" t="str">
        <x:v>SET-015</x:v>
      </x:c>
    </x:row>
    <x:row r="10" ht="42" customHeight="1">
      <x:c r="A10" s="36" t="str">
        <x:v>room.finalTrialDay</x:v>
      </x:c>
      <x:c r="B10" s="36" t="str">
        <x:v>최종 재판</x:v>
      </x:c>
      <x:c r="C10" s="36" t="str">
        <x:v>지정 일차</x:v>
      </x:c>
      <x:c r="D10" s="36" t="str">
        <x:v>정수</x:v>
      </x:c>
      <x:c r="E10" s="36" t="n">
        <x:v>5</x:v>
      </x:c>
      <x:c r="F10" s="36" t="n">
        <x:v>3</x:v>
      </x:c>
      <x:c r="G10" s="36" t="n">
        <x:v>8</x:v>
      </x:c>
      <x:c r="H10" s="36" t="str">
        <x:v>꺼짐 / 3~8</x:v>
      </x:c>
      <x:c r="I10" s="36" t="str">
        <x:v>룸</x:v>
      </x:c>
      <x:c r="J10" s="36" t="str">
        <x:v>호스트·서버</x:v>
      </x:c>
      <x:c r="K10" s="36" t="str">
        <x:v>세션</x:v>
      </x:c>
      <x:c r="L10" s="36" t="str">
        <x:v>매치 시작</x:v>
      </x:c>
      <x:c r="M10" s="36" t="str">
        <x:v>SET-013</x:v>
      </x:c>
    </x:row>
    <x:row r="11" ht="42" customHeight="1">
      <x:c r="A11" s="36" t="str">
        <x:v>client.language</x:v>
      </x:c>
      <x:c r="B11" s="36" t="str">
        <x:v>일반</x:v>
      </x:c>
      <x:c r="C11" s="36" t="str">
        <x:v>표시 언어</x:v>
      </x:c>
      <x:c r="D11" s="36" t="str">
        <x:v>문자열</x:v>
      </x:c>
      <x:c r="E11" s="36" t="str">
        <x:v>자동</x:v>
      </x:c>
      <x:c r="F11" s="36" t="str"/>
      <x:c r="G11" s="36" t="str"/>
      <x:c r="H11" s="36" t="str">
        <x:v>지원 언어</x:v>
      </x:c>
      <x:c r="I11" s="36" t="str">
        <x:v>계정·기기</x:v>
      </x:c>
      <x:c r="J11" s="36" t="str">
        <x:v>클라이언트</x:v>
      </x:c>
      <x:c r="K11" s="36" t="str">
        <x:v>기기</x:v>
      </x:c>
      <x:c r="L11" s="36" t="str">
        <x:v>즉시</x:v>
      </x:c>
      <x:c r="M11" s="36" t="str">
        <x:v>SET-004</x:v>
      </x:c>
    </x:row>
    <x:row r="12" ht="42" customHeight="1">
      <x:c r="A12" s="36" t="str">
        <x:v>client.colorAssist</x:v>
      </x:c>
      <x:c r="B12" s="36" t="str">
        <x:v>접근성</x:v>
      </x:c>
      <x:c r="C12" s="36" t="str">
        <x:v>색각 보조</x:v>
      </x:c>
      <x:c r="D12" s="36" t="str">
        <x:v>열거형</x:v>
      </x:c>
      <x:c r="E12" s="36" t="str">
        <x:v>기호</x:v>
      </x:c>
      <x:c r="F12" s="36" t="str"/>
      <x:c r="G12" s="36" t="str"/>
      <x:c r="H12" s="36" t="str">
        <x:v>꺼짐 / 기호 / 패턴 / 고대비</x:v>
      </x:c>
      <x:c r="I12" s="36" t="str">
        <x:v>기기</x:v>
      </x:c>
      <x:c r="J12" s="36" t="str">
        <x:v>클라이언트</x:v>
      </x:c>
      <x:c r="K12" s="36" t="str">
        <x:v>기기</x:v>
      </x:c>
      <x:c r="L12" s="36" t="str">
        <x:v>즉시</x:v>
      </x:c>
      <x:c r="M12" s="36" t="str">
        <x:v>SET-024</x:v>
      </x:c>
    </x:row>
    <x:row r="13" ht="42" customHeight="1">
      <x:c r="A13" s="36" t="str">
        <x:v>voice.mode</x:v>
      </x:c>
      <x:c r="B13" s="36" t="str">
        <x:v>음성</x:v>
      </x:c>
      <x:c r="C13" s="36" t="str">
        <x:v>음성 방식</x:v>
      </x:c>
      <x:c r="D13" s="36" t="str">
        <x:v>열거형</x:v>
      </x:c>
      <x:c r="E13" s="36" t="str">
        <x:v>PTT</x:v>
      </x:c>
      <x:c r="F13" s="36" t="str"/>
      <x:c r="G13" s="36" t="str"/>
      <x:c r="H13" s="36" t="str">
        <x:v>PTT / 오픈 마이크 / 꺼짐</x:v>
      </x:c>
      <x:c r="I13" s="36" t="str">
        <x:v>계정</x:v>
      </x:c>
      <x:c r="J13" s="36" t="str">
        <x:v>클라이언트·플랫폼</x:v>
      </x:c>
      <x:c r="K13" s="36" t="str">
        <x:v>계정</x:v>
      </x:c>
      <x:c r="L13" s="36" t="str">
        <x:v>즉시</x:v>
      </x:c>
      <x:c r="M13" s="36" t="str">
        <x:v>SET-008</x:v>
      </x:c>
    </x:row>
  </x:sheetData>
  <x:pageMargins left="0.7" right="0.7" top="0.75" bottom="0.75" header="0.3" footer="0.3"/>
  <x:tableParts count="1">
    <x:tablePart xmlns:r="http://schemas.openxmlformats.org/officeDocument/2006/relationships" r:id="Rb7cce4cdce2e4e56"/>
  </x:tableParts>
</x:worksheet>
</file>

<file path=xl/worksheets/sheet4.xml><?xml version="1.0" encoding="utf-8"?>
<x:worksheet xmlns:x="http://schemas.openxmlformats.org/spreadsheetml/2006/main">
  <x:sheetFormatPr defaultRowHeight="15"/>
  <x:cols>
    <x:col min="1" max="1" width="24" hidden="0" customWidth="1"/>
    <x:col min="2" max="2" width="12" hidden="0" customWidth="1"/>
    <x:col min="3" max="3" width="10" hidden="0" customWidth="1"/>
    <x:col min="4" max="4" width="12" hidden="0" customWidth="1"/>
    <x:col min="5" max="5" width="10" hidden="0" customWidth="1"/>
    <x:col min="6" max="6" width="12" hidden="0" customWidth="1"/>
    <x:col min="7" max="7" width="16" hidden="0" customWidth="1"/>
    <x:col min="8" max="8" width="28" hidden="0" customWidth="1"/>
    <x:col min="9" max="9" width="14" hidden="0" customWidth="1"/>
    <x:col min="10" max="10" width="32" hidden="0" customWidth="1"/>
  </x:cols>
  <x:sheetData>
    <x:row r="1" ht="30" customHeight="1">
      <x:c r="A1" s="40" t="str">
        <x:v>프리셋 ID</x:v>
      </x:c>
      <x:c r="B1" s="40" t="str">
        <x:v>대상 인원</x:v>
      </x:c>
      <x:c r="C1" s="40" t="str">
        <x:v>낮(초)</x:v>
      </x:c>
      <x:c r="D1" s="40" t="str">
        <x:v>밤 관찰(초)</x:v>
      </x:c>
      <x:c r="E1" s="40" t="str">
        <x:v>투표(초)</x:v>
      </x:c>
      <x:c r="F1" s="40" t="str">
        <x:v>일일 위조</x:v>
      </x:c>
      <x:c r="G1" s="40" t="str">
        <x:v>필요 미니게임</x:v>
      </x:c>
      <x:c r="H1" s="40" t="str">
        <x:v>최종 재판</x:v>
      </x:c>
      <x:c r="I1" s="40" t="str">
        <x:v>대상</x:v>
      </x:c>
      <x:c r="J1" s="40" t="str">
        <x:v>설명</x:v>
      </x:c>
    </x:row>
    <x:row r="2" ht="42" customHeight="1">
      <x:c r="A2" s="36" t="str">
        <x:v>Recommended-5</x:v>
      </x:c>
      <x:c r="B2" s="36" t="n">
        <x:v>5</x:v>
      </x:c>
      <x:c r="C2" s="36" t="n">
        <x:v>180</x:v>
      </x:c>
      <x:c r="D2" s="36" t="n">
        <x:v>25</x:v>
      </x:c>
      <x:c r="E2" s="36" t="n">
        <x:v>15</x:v>
      </x:c>
      <x:c r="F2" s="36" t="n">
        <x:v>1</x:v>
      </x:c>
      <x:c r="G2" s="36" t="n">
        <x:v>5</x:v>
      </x:c>
      <x:c r="H2" s="36" t="str">
        <x:v>전체 완료 / 3명 / 5일</x:v>
      </x:c>
      <x:c r="I2" s="36" t="str">
        <x:v>MVP</x:v>
      </x:c>
      <x:c r="J2" s="36" t="str">
        <x:v>5인 기본 권장</x:v>
      </x:c>
    </x:row>
    <x:row r="3" ht="42" customHeight="1">
      <x:c r="A3" s="36" t="str">
        <x:v>Recommended-6</x:v>
      </x:c>
      <x:c r="B3" s="36" t="n">
        <x:v>6</x:v>
      </x:c>
      <x:c r="C3" s="36" t="n">
        <x:v>210</x:v>
      </x:c>
      <x:c r="D3" s="36" t="n">
        <x:v>30</x:v>
      </x:c>
      <x:c r="E3" s="36" t="n">
        <x:v>15</x:v>
      </x:c>
      <x:c r="F3" s="36" t="n">
        <x:v>1</x:v>
      </x:c>
      <x:c r="G3" s="36" t="n">
        <x:v>7</x:v>
      </x:c>
      <x:c r="H3" s="36" t="str">
        <x:v>전체 완료 / 3명 / 5일</x:v>
      </x:c>
      <x:c r="I3" s="36" t="str">
        <x:v>MVP</x:v>
      </x:c>
      <x:c r="J3" s="36" t="str">
        <x:v>6인 권장</x:v>
      </x:c>
    </x:row>
    <x:row r="4" ht="42" customHeight="1">
      <x:c r="A4" s="36" t="str">
        <x:v>Quick</x:v>
      </x:c>
      <x:c r="B4" s="36" t="n">
        <x:v>5</x:v>
      </x:c>
      <x:c r="C4" s="36" t="n">
        <x:v>150</x:v>
      </x:c>
      <x:c r="D4" s="36" t="n">
        <x:v>20</x:v>
      </x:c>
      <x:c r="E4" s="36" t="n">
        <x:v>12</x:v>
      </x:c>
      <x:c r="F4" s="36" t="n">
        <x:v>1</x:v>
      </x:c>
      <x:c r="G4" s="36" t="n">
        <x:v>4</x:v>
      </x:c>
      <x:c r="H4" s="36" t="str">
        <x:v>전체 완료 / 3명 / 4일</x:v>
      </x:c>
      <x:c r="I4" s="36" t="str">
        <x:v>알파</x:v>
      </x:c>
      <x:c r="J4" s="36" t="str">
        <x:v>단시간 검증</x:v>
      </x:c>
    </x:row>
    <x:row r="5" ht="42" customHeight="1">
      <x:c r="A5" s="36" t="str">
        <x:v>Playtest-MafiaStrong</x:v>
      </x:c>
      <x:c r="B5" s="36" t="n">
        <x:v>6</x:v>
      </x:c>
      <x:c r="C5" s="36" t="n">
        <x:v>210</x:v>
      </x:c>
      <x:c r="D5" s="36" t="n">
        <x:v>30</x:v>
      </x:c>
      <x:c r="E5" s="36" t="n">
        <x:v>15</x:v>
      </x:c>
      <x:c r="F5" s="36" t="n">
        <x:v>2</x:v>
      </x:c>
      <x:c r="G5" s="36" t="n">
        <x:v>7</x:v>
      </x:c>
      <x:c r="H5" s="36" t="str">
        <x:v>전체 완료 / 3명 / 5일</x:v>
      </x:c>
      <x:c r="I5" s="36" t="str">
        <x:v>사내 시험</x:v>
      </x:c>
      <x:c r="J5" s="36" t="str">
        <x:v>위조 강도 검증</x:v>
      </x:c>
    </x:row>
    <x:row r="6" ht="42" customHeight="1">
      <x:c r="A6" s="36" t="str">
        <x:v>Playtest-CitizenInfo</x:v>
      </x:c>
      <x:c r="B6" s="36" t="n">
        <x:v>6</x:v>
      </x:c>
      <x:c r="C6" s="36" t="n">
        <x:v>210</x:v>
      </x:c>
      <x:c r="D6" s="36" t="n">
        <x:v>30</x:v>
      </x:c>
      <x:c r="E6" s="36" t="n">
        <x:v>15</x:v>
      </x:c>
      <x:c r="F6" s="36" t="n">
        <x:v>1</x:v>
      </x:c>
      <x:c r="G6" s="36" t="n">
        <x:v>7</x:v>
      </x:c>
      <x:c r="H6" s="36" t="str">
        <x:v>전체 완료 / 3명 / 5일</x:v>
      </x:c>
      <x:c r="I6" s="36" t="str">
        <x:v>사내 시험</x:v>
      </x:c>
      <x:c r="J6" s="36" t="str">
        <x:v>부착 동작·순서 정보 검증</x:v>
      </x:c>
    </x:row>
  </x:sheetData>
  <x:pageMargins left="0.7" right="0.7" top="0.75" bottom="0.75" header="0.3" footer="0.3"/>
  <x:tableParts count="1">
    <x:tablePart xmlns:r="http://schemas.openxmlformats.org/officeDocument/2006/relationships" r:id="R769f2b2fe620454f"/>
  </x:tableParts>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42" hidden="0" customWidth="1"/>
    <x:col min="5" max="5" width="24" hidden="0" customWidth="1"/>
    <x:col min="6" max="6" width="34" hidden="0" customWidth="1"/>
    <x:col min="7" max="7" width="18" hidden="0" customWidth="1"/>
  </x:cols>
  <x:sheetData>
    <x:row r="1" ht="30" customHeight="1">
      <x:c r="A1" s="40" t="str">
        <x:v>이전 버전</x:v>
      </x:c>
      <x:c r="B1" s="40" t="str">
        <x:v>대상 버전</x:v>
      </x:c>
      <x:c r="C1" s="40" t="str">
        <x:v>변경 사항</x:v>
      </x:c>
      <x:c r="D1" s="40" t="str">
        <x:v>마이그레이션 처리</x:v>
      </x:c>
      <x:c r="E1" s="40" t="str">
        <x:v>대체값</x:v>
      </x:c>
      <x:c r="F1" s="40" t="str">
        <x:v>시험 항목</x:v>
      </x:c>
      <x:c r="G1" s="40" t="str">
        <x:v>담당</x:v>
      </x:c>
    </x:row>
    <x:row r="2" ht="42" customHeight="1">
      <x:c r="A2" s="36" t="n">
        <x:v>1</x:v>
      </x:c>
      <x:c r="B2" s="36" t="n">
        <x:v>2</x:v>
      </x:c>
      <x:c r="C2" s="36" t="str">
        <x:v>colorAssist 불리언→열거형</x:v>
      </x:c>
      <x:c r="D2" s="36" t="str">
        <x:v>참=true이면 기호, 거짓=false이면 꺼짐</x:v>
      </x:c>
      <x:c r="E2" s="36" t="str">
        <x:v>꺼짐</x:v>
      </x:c>
      <x:c r="F2" s="36" t="str">
        <x:v>이전 설정 3개 패턴</x:v>
      </x:c>
      <x:c r="G2" s="36" t="str">
        <x:v>클라이언트</x:v>
      </x:c>
    </x:row>
    <x:row r="3" ht="42" customHeight="1">
      <x:c r="A3" s="36" t="n">
        <x:v>2</x:v>
      </x:c>
      <x:c r="B3" s="36" t="n">
        <x:v>3</x:v>
      </x:c>
      <x:c r="C3" s="36" t="str">
        <x:v>finalTrialNight→finalTrialDay</x:v>
      </x:c>
      <x:c r="D3" s="36" t="str">
        <x:v>기존 값을 동일하게 복사</x:v>
      </x:c>
      <x:c r="E3" s="36" t="n">
        <x:v>5</x:v>
      </x:c>
      <x:c r="F3" s="36" t="str">
        <x:v>꺼짐·범위 밖·표준값</x:v>
      </x:c>
      <x:c r="G3" s="36" t="str">
        <x:v>서버</x:v>
      </x:c>
    </x:row>
    <x:row r="4" ht="42" customHeight="1">
      <x:c r="A4" s="36" t="n">
        <x:v>3</x:v>
      </x:c>
      <x:c r="B4" s="36" t="n">
        <x:v>4</x:v>
      </x:c>
      <x:c r="C4" s="36" t="str">
        <x:v>룸 프리셋에 configVersion 추가</x:v>
      </x:c>
      <x:c r="D4" s="36" t="str">
        <x:v>현재 버전 부여</x:v>
      </x:c>
      <x:c r="E4" s="36" t="str">
        <x:v>최신 버전</x:v>
      </x:c>
      <x:c r="F4" s="36" t="str">
        <x:v>이전 템플릿 불러오기</x:v>
      </x:c>
      <x:c r="G4" s="36" t="str">
        <x:v>온라인</x:v>
      </x:c>
    </x:row>
  </x:sheetData>
  <x:pageMargins left="0.7" right="0.7" top="0.75" bottom="0.75" header="0.3" footer="0.3"/>
  <x:tableParts count="1">
    <x:tablePart xmlns:r="http://schemas.openxmlformats.org/officeDocument/2006/relationships" r:id="R9a7be2062ed74fbb"/>
  </x:tableParts>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36" hidden="0" customWidth="1"/>
    <x:col min="5" max="5" width="44" hidden="0" customWidth="1"/>
    <x:col min="6" max="6" width="42" hidden="0" customWidth="1"/>
    <x:col min="7" max="7" width="54" hidden="0" customWidth="1"/>
    <x:col min="8" max="8" width="54" hidden="0" customWidth="1"/>
    <x:col min="9" max="9" width="16" hidden="0" customWidth="1"/>
    <x:col min="10" max="10" width="10" hidden="0" customWidth="1"/>
    <x:col min="11" max="11" width="18" hidden="0" customWidth="1"/>
    <x:col min="12" max="12" width="14" hidden="0" customWidth="1"/>
    <x:col min="13" max="13" width="14" hidden="0" customWidth="1"/>
    <x:col min="14" max="14" width="16" hidden="0" customWidth="1"/>
    <x:col min="15" max="15" width="15" hidden="0" customWidth="1"/>
    <x:col min="16" max="16" width="28" hidden="0" customWidth="1"/>
    <x:col min="17" max="17" width="18" hidden="0" customWidth="1"/>
    <x:col min="18" max="18" width="13" hidden="0" customWidth="1"/>
    <x:col min="19" max="19" width="28" hidden="0" customWidth="1"/>
    <x:col min="20" max="20" width="12" hidden="0" customWidth="1"/>
    <x:col min="21" max="21" width="12" hidden="0" customWidth="1"/>
    <x:col min="22" max="22" width="12" hidden="0" customWidth="1"/>
  </x:cols>
  <x:sheetData>
    <x:row r="1" ht="30" customHeight="1">
      <x:c r="A1" s="40" t="str">
        <x:v>테스트 ID</x:v>
      </x:c>
      <x:c r="B1" s="40" t="str">
        <x:v>관련 ID</x:v>
      </x:c>
      <x:c r="C1" s="40" t="str">
        <x:v>부문</x:v>
      </x:c>
      <x:c r="D1" s="40" t="str">
        <x:v>제목</x:v>
      </x:c>
      <x:c r="E1" s="40" t="str">
        <x:v>목적</x:v>
      </x:c>
      <x:c r="F1" s="40" t="str">
        <x:v>사전 조건</x:v>
      </x:c>
      <x:c r="G1" s="40" t="str">
        <x:v>절차</x:v>
      </x:c>
      <x:c r="H1" s="40" t="str">
        <x:v>예상 결과</x:v>
      </x:c>
      <x:c r="I1" s="40" t="str">
        <x:v>QA 유형</x:v>
      </x:c>
      <x:c r="J1" s="40" t="str">
        <x:v>우선순위</x:v>
      </x:c>
      <x:c r="K1" s="40" t="str">
        <x:v>대상 플랫폼</x:v>
      </x:c>
      <x:c r="L1" s="40" t="str">
        <x:v>자동화 후보</x:v>
      </x:c>
      <x:c r="M1" s="40" t="str">
        <x:v>상태</x:v>
      </x:c>
      <x:c r="N1" s="40" t="str">
        <x:v>담당자명</x:v>
      </x:c>
      <x:c r="O1" s="40" t="str">
        <x:v>대상 빌드</x:v>
      </x:c>
      <x:c r="P1" s="40" t="str">
        <x:v>증빙 링크</x:v>
      </x:c>
      <x:c r="Q1" s="40" t="str">
        <x:v>결함 키</x:v>
      </x:c>
      <x:c r="R1" s="40" t="str">
        <x:v>최종 갱신일</x:v>
      </x:c>
      <x:c r="S1" s="40" t="str">
        <x:v>비고</x:v>
      </x:c>
      <x:c r="T1" s="53" t="str">
        <x:v>시작일</x:v>
      </x:c>
      <x:c r="U1" s="53" t="str">
        <x:v>종료일</x:v>
      </x:c>
      <x:c r="V1" s="53" t="str">
        <x:v>진행상황</x:v>
      </x:c>
    </x:row>
    <x:row r="2" ht="42" customHeight="1">
      <x:c r="A2" s="36" t="str">
        <x:v>TC-SET-001-01</x:v>
      </x:c>
      <x:c r="B2" s="36" t="str">
        <x:v>SET-001</x:v>
      </x:c>
      <x:c r="C2" s="36" t="str">
        <x:v>게임 설정·접근성</x:v>
      </x:c>
      <x:c r="D2" s="36" t="str">
        <x:v>정상 시나리오: 설정 키·형식·기본값·적용 범위 공통 스키마</x:v>
      </x:c>
      <x:c r="E2" s="36" t="str">
        <x:v>각 설정에 고유 키, 데이터 형식, 기본값, 최솟값·최댓값, 적용 시점, 권한, 저장 범위, 버전을 정의하고 알 수 없는 키는 안전하게 무시한다.</x:v>
      </x:c>
      <x:c r="F2" s="36" t="str">
        <x:v>대상 기능이 포함된 MVP 빌드, 필요한 테스트 계정·룸 설정·로그 접근 권한을 준비한다.</x:v>
      </x:c>
      <x:c r="G2" s="36" t="str">
        <x:v>1. 사전 조건 상태를 구성한다.
2. 표준 설정에서 다음 테스트 대상을 실행한다: 설정 키·형식·기본값·적용 범위 공통 스키마.
3. UI, 서버 상태와 로그·텔레메트리를 확인한다.
4. 필요하면 재입장 또는 재실행하여 재현성을 확인한다.</x:v>
      </x:c>
      <x:c r="H2" s="36" t="str">
        <x:v>각 설정에 고유 키, 데이터 형식, 기본값, 최솟값·최댓값, 적용 시점, 권한, 저장 범위, 버전을 정의하고 알 수 없는 키는 안전하게 무시한다.</x:v>
      </x:c>
      <x:c r="I2" s="36" t="str">
        <x:v>기능</x:v>
      </x:c>
      <x:c r="J2" s="36" t="str">
        <x:v>P0</x:v>
      </x:c>
      <x:c r="K2" s="36" t="str">
        <x:v>전체</x:v>
      </x:c>
      <x:c r="L2" s="36" t="str">
        <x:v>예</x:v>
      </x:c>
      <x:c r="M2" s="36" t="str">
        <x:v>미실시</x:v>
      </x:c>
      <x:c r="N2" s="36" t="str">
        <x:v>미정</x:v>
      </x:c>
      <x:c r="O2" s="36" t="str">
        <x:v>미정</x:v>
      </x:c>
      <x:c r="P2" s="36"/>
      <x:c r="Q2" s="36"/>
      <x:c r="R2" s="44" t="str">
        <x:v>2026-07-10</x:v>
      </x:c>
      <x:c r="S2" s="36"/>
      <x:c r="T2" s="54"/>
      <x:c r="U2" s="54"/>
      <x:c r="V2" s="53" t="str">
        <x:v>착수 전</x:v>
      </x:c>
    </x:row>
    <x:row r="3" ht="42" customHeight="1">
      <x:c r="A3" s="36" t="str">
        <x:v>TC-SET-001-02</x:v>
      </x:c>
      <x:c r="B3" s="36" t="str">
        <x:v>SET-001</x:v>
      </x:c>
      <x:c r="C3" s="36" t="str">
        <x:v>게임 설정·접근성</x:v>
      </x:c>
      <x:c r="D3" s="36" t="str">
        <x:v>예외·경계 시나리오: 설정 키·형식·기본값·적용 범위 공통 스키마</x:v>
      </x:c>
      <x:c r="E3" s="36" t="str">
        <x:v>허용되지 않은 상태, 잘못된 값, 중복, 만료, 권한 부족, 연결 끊김 입력으로 데이터 손상·정보 유출·클라이언트 상태 분기가 발생하지 않는지 확인한다.</x:v>
      </x:c>
      <x:c r="F3" s="36" t="str">
        <x:v>대상 기능이 포함된 MVP 빌드와 디버그 입력, 네트워크 열화, 비정상 요청 재현 수단을 준비한다.</x:v>
      </x:c>
      <x:c r="G3" s="36" t="str">
        <x:v>1. 허용되지 않은 페이즈 또는 경계값 조건을 구성한다.
2. 설정 키·형식·기본값·적용 범위 공통 스키마에 대해 중복·무효·지연·연결 끊김을 포함한 요청을 전송한다.
3. 서버 거부, 롤백, 오류 표시와 감사 로그를 확인한다.
4. 모든 클라이언트의 상태가 일치하는지 확인한다.</x:v>
      </x:c>
      <x:c r="H3" s="36" t="str">
        <x:v>요청은 사양에 따라 거부되거나 안전하게 복구되며, 중복 반영, 데이터 손실, 정보 유출 또는 진행 중단이 발생하지 않는다. 오류와 상관관계 ID가 기록된다.</x:v>
      </x:c>
      <x:c r="I3" s="36" t="str">
        <x:v>기능</x:v>
      </x:c>
      <x:c r="J3" s="36" t="str">
        <x:v>P0</x:v>
      </x:c>
      <x:c r="K3" s="36" t="str">
        <x:v>전체</x:v>
      </x:c>
      <x:c r="L3" s="36" t="str">
        <x:v>예</x:v>
      </x:c>
      <x:c r="M3" s="36" t="str">
        <x:v>미실시</x:v>
      </x:c>
      <x:c r="N3" s="36" t="str">
        <x:v>미정</x:v>
      </x:c>
      <x:c r="O3" s="36" t="str">
        <x:v>미정</x:v>
      </x:c>
      <x:c r="P3" s="36"/>
      <x:c r="Q3" s="36"/>
      <x:c r="R3" s="44" t="str">
        <x:v>2026-07-10</x:v>
      </x:c>
      <x:c r="S3" s="36"/>
      <x:c r="T3" s="54"/>
      <x:c r="U3" s="54"/>
      <x:c r="V3" s="53" t="str">
        <x:v>착수 전</x:v>
      </x:c>
    </x:row>
    <x:row r="4" ht="42" customHeight="1">
      <x:c r="A4" s="36" t="str">
        <x:v>TC-SET-002-01</x:v>
      </x:c>
      <x:c r="B4" s="36" t="str">
        <x:v>SET-002</x:v>
      </x:c>
      <x:c r="C4" s="36" t="str">
        <x:v>게임 설정·접근성</x:v>
      </x:c>
      <x:c r="D4" s="36" t="str">
        <x:v>정상 시나리오: 설정 저장·버전 마이그레이션</x:v>
      </x:c>
      <x:c r="E4" s="36" t="str">
        <x:v>기기, 계정, 룸 설정을 올바른 저장 영역에 보관하고 이전 버전 설정의 마이그레이션이 실패하면 기본값으로 안전하게 복구한다.</x:v>
      </x:c>
      <x:c r="F4" s="36" t="str">
        <x:v>대상 기능이 포함된 MVP 빌드, 필요한 테스트 계정·룸 설정·로그 접근 권한을 준비한다.</x:v>
      </x:c>
      <x:c r="G4" s="36" t="str">
        <x:v>1. 사전 조건 상태를 구성한다.
2. 표준 설정에서 다음 테스트 대상을 실행한다: 설정 저장·버전 마이그레이션.
3. UI, 서버 상태와 로그·텔레메트리를 확인한다.
4. 필요하면 재입장 또는 재실행하여 재현성을 확인한다.</x:v>
      </x:c>
      <x:c r="H4" s="36" t="str">
        <x:v>기기, 계정, 룸 설정을 올바른 저장 영역에 보관하고 이전 버전 설정의 마이그레이션이 실패하면 기본값으로 안전하게 복구한다.</x:v>
      </x:c>
      <x:c r="I4" s="36" t="str">
        <x:v>호환성</x:v>
      </x:c>
      <x:c r="J4" s="36" t="str">
        <x:v>P0</x:v>
      </x:c>
      <x:c r="K4" s="36" t="str">
        <x:v>전체</x:v>
      </x:c>
      <x:c r="L4" s="36" t="str">
        <x:v>부분</x:v>
      </x:c>
      <x:c r="M4" s="36" t="str">
        <x:v>미실시</x:v>
      </x:c>
      <x:c r="N4" s="36" t="str">
        <x:v>미정</x:v>
      </x:c>
      <x:c r="O4" s="36" t="str">
        <x:v>미정</x:v>
      </x:c>
      <x:c r="P4" s="36"/>
      <x:c r="Q4" s="36"/>
      <x:c r="R4" s="44" t="str">
        <x:v>2026-07-10</x:v>
      </x:c>
      <x:c r="S4" s="36"/>
      <x:c r="T4" s="54"/>
      <x:c r="U4" s="54"/>
      <x:c r="V4" s="53" t="str">
        <x:v>착수 전</x:v>
      </x:c>
    </x:row>
    <x:row r="5" ht="42" customHeight="1">
      <x:c r="A5" s="36" t="str">
        <x:v>TC-SET-002-02</x:v>
      </x:c>
      <x:c r="B5" s="36" t="str">
        <x:v>SET-002</x:v>
      </x:c>
      <x:c r="C5" s="36" t="str">
        <x:v>게임 설정·접근성</x:v>
      </x:c>
      <x:c r="D5" s="36" t="str">
        <x:v>예외·경계 시나리오: 설정 저장·버전 마이그레이션</x:v>
      </x:c>
      <x:c r="E5" s="36" t="str">
        <x:v>허용되지 않은 상태, 잘못된 값, 중복, 만료, 권한 부족, 연결 끊김 입력으로 데이터 손상·정보 유출·클라이언트 상태 분기가 발생하지 않는지 확인한다.</x:v>
      </x:c>
      <x:c r="F5" s="36" t="str">
        <x:v>대상 기능이 포함된 MVP 빌드와 디버그 입력, 네트워크 열화, 비정상 요청 재현 수단을 준비한다.</x:v>
      </x:c>
      <x:c r="G5" s="36" t="str">
        <x:v>1. 허용되지 않은 페이즈 또는 경계값 조건을 구성한다.
2. 설정 저장·버전 마이그레이션에 대해 중복·무효·지연·연결 끊김을 포함한 요청을 전송한다.
3. 서버 거부, 롤백, 오류 표시와 감사 로그를 확인한다.
4. 모든 클라이언트의 상태가 일치하는지 확인한다.</x:v>
      </x:c>
      <x:c r="H5" s="36" t="str">
        <x:v>요청은 사양에 따라 거부되거나 안전하게 복구되며, 중복 반영, 데이터 손실, 정보 유출 또는 진행 중단이 발생하지 않는다. 오류와 상관관계 ID가 기록된다.</x:v>
      </x:c>
      <x:c r="I5" s="36" t="str">
        <x:v>호환성</x:v>
      </x:c>
      <x:c r="J5" s="36" t="str">
        <x:v>P0</x:v>
      </x:c>
      <x:c r="K5" s="36" t="str">
        <x:v>전체</x:v>
      </x:c>
      <x:c r="L5" s="36" t="str">
        <x:v>부분</x:v>
      </x:c>
      <x:c r="M5" s="36" t="str">
        <x:v>미실시</x:v>
      </x:c>
      <x:c r="N5" s="36" t="str">
        <x:v>미정</x:v>
      </x:c>
      <x:c r="O5" s="36" t="str">
        <x:v>미정</x:v>
      </x:c>
      <x:c r="P5" s="36"/>
      <x:c r="Q5" s="36"/>
      <x:c r="R5" s="44" t="str">
        <x:v>2026-07-10</x:v>
      </x:c>
      <x:c r="S5" s="36"/>
      <x:c r="T5" s="54"/>
      <x:c r="U5" s="54"/>
      <x:c r="V5" s="53" t="str">
        <x:v>착수 전</x:v>
      </x:c>
    </x:row>
    <x:row r="6" ht="42" customHeight="1">
      <x:c r="A6" s="36" t="str">
        <x:v>TC-SET-003-01</x:v>
      </x:c>
      <x:c r="B6" s="36" t="str">
        <x:v>SET-003</x:v>
      </x:c>
      <x:c r="C6" s="36" t="str">
        <x:v>게임 설정·접근성</x:v>
      </x:c>
      <x:c r="D6" s="36" t="str">
        <x:v>정상 시나리오: 범주별·전체 설정 초기화</x:v>
      </x:c>
      <x:c r="E6" s="36" t="str">
        <x:v>그래픽, 오디오, 조작, 접근성, 온라인 설정을 범주별 또는 전체로 초기화할 수 있으며 확인 절차를 거친다.</x:v>
      </x:c>
      <x:c r="F6" s="36" t="str">
        <x:v>대상 기능이 포함된 MVP 빌드, 필요한 테스트 계정·룸 설정·로그 접근 권한을 준비한다.</x:v>
      </x:c>
      <x:c r="G6" s="36" t="str">
        <x:v>1. 사전 조건 상태를 구성한다.
2. 표준 설정에서 다음 테스트 대상을 실행한다: 범주별·전체 설정 초기화.
3. UI, 서버 상태와 로그·텔레메트리를 확인한다.
4. 필요하면 재입장 또는 재실행하여 재현성을 확인한다.</x:v>
      </x:c>
      <x:c r="H6" s="36" t="str">
        <x:v>그래픽, 오디오, 조작, 접근성, 온라인 설정을 범주별 또는 전체로 초기화할 수 있으며 확인 절차를 거친다.</x:v>
      </x:c>
      <x:c r="I6" s="36" t="str">
        <x:v>기능</x:v>
      </x:c>
      <x:c r="J6" s="36" t="str">
        <x:v>P1</x:v>
      </x:c>
      <x:c r="K6" s="36" t="str">
        <x:v>전체</x:v>
      </x:c>
      <x:c r="L6" s="36" t="str">
        <x:v>부분</x:v>
      </x:c>
      <x:c r="M6" s="36" t="str">
        <x:v>미실시</x:v>
      </x:c>
      <x:c r="N6" s="36" t="str">
        <x:v>미정</x:v>
      </x:c>
      <x:c r="O6" s="36" t="str">
        <x:v>미정</x:v>
      </x:c>
      <x:c r="P6" s="36"/>
      <x:c r="Q6" s="36"/>
      <x:c r="R6" s="44" t="str">
        <x:v>2026-07-10</x:v>
      </x:c>
      <x:c r="S6" s="36"/>
      <x:c r="T6" s="54"/>
      <x:c r="U6" s="54"/>
      <x:c r="V6" s="53" t="str">
        <x:v>착수 전</x:v>
      </x:c>
    </x:row>
    <x:row r="7" ht="42" customHeight="1">
      <x:c r="A7" s="36" t="str">
        <x:v>TC-SET-004-01</x:v>
      </x:c>
      <x:c r="B7" s="36" t="str">
        <x:v>SET-004</x:v>
      </x:c>
      <x:c r="C7" s="36" t="str">
        <x:v>게임 설정·접근성</x:v>
      </x:c>
      <x:c r="D7" s="36" t="str">
        <x:v>정상 시나리오: 표시 언어·현지화 선택</x:v>
      </x:c>
      <x:c r="E7" s="36" t="str">
        <x:v>최초 실행 시 OS 또는 플랫폼 언어를 참조하고 설정 화면에서 즉시 변경할 수 있으며 개발 빌드에서 미번역 키를 탐지한다.</x:v>
      </x:c>
      <x:c r="F7" s="36" t="str">
        <x:v>대상 기능이 포함된 베타 빌드, 필요한 테스트 계정·룸 설정·로그 접근 권한을 준비한다.</x:v>
      </x:c>
      <x:c r="G7" s="36" t="str">
        <x:v>1. 사전 조건 상태를 구성한다.
2. 표준 설정에서 다음 테스트 대상을 실행한다: 표시 언어·현지화 선택.
3. UI, 서버 상태와 로그·텔레메트리를 확인한다.
4. 필요하면 재입장 또는 재실행하여 재현성을 확인한다.</x:v>
      </x:c>
      <x:c r="H7" s="36" t="str">
        <x:v>최초 실행 시 OS 또는 플랫폼 언어를 참조하고 설정 화면에서 즉시 변경할 수 있으며 개발 빌드에서 미번역 키를 탐지한다.</x:v>
      </x:c>
      <x:c r="I7" s="36" t="str">
        <x:v>현지화</x:v>
      </x:c>
      <x:c r="J7" s="36" t="str">
        <x:v>P1</x:v>
      </x:c>
      <x:c r="K7" s="36" t="str">
        <x:v>전체</x:v>
      </x:c>
      <x:c r="L7" s="36" t="str">
        <x:v>부분</x:v>
      </x:c>
      <x:c r="M7" s="36" t="str">
        <x:v>미실시</x:v>
      </x:c>
      <x:c r="N7" s="36" t="str">
        <x:v>미정</x:v>
      </x:c>
      <x:c r="O7" s="36" t="str">
        <x:v>미정</x:v>
      </x:c>
      <x:c r="P7" s="36"/>
      <x:c r="Q7" s="36"/>
      <x:c r="R7" s="44" t="str">
        <x:v>2026-07-10</x:v>
      </x:c>
      <x:c r="S7" s="36"/>
      <x:c r="T7" s="54"/>
      <x:c r="U7" s="54"/>
      <x:c r="V7" s="53" t="str">
        <x:v>착수 전</x:v>
      </x:c>
    </x:row>
    <x:row r="8" ht="42" customHeight="1">
      <x:c r="A8" s="36" t="str">
        <x:v>TC-SET-005-01</x:v>
      </x:c>
      <x:c r="B8" s="36" t="str">
        <x:v>SET-005</x:v>
      </x:c>
      <x:c r="C8" s="36" t="str">
        <x:v>게임 설정·접근성</x:v>
      </x:c>
      <x:c r="D8" s="36" t="str">
        <x:v>정상 시나리오: 화면·품질·FOV 설정</x:v>
      </x:c>
      <x:c r="E8" s="36" t="str">
        <x:v>해상도, 화면 모드, 품질 프리셋, FOV, 밝기를 변경할 수 있고 등 메모 판독성을 해칠 수 있는 범위는 제한하거나 경고한다.</x:v>
      </x:c>
      <x:c r="F8" s="36" t="str">
        <x:v>대상 기능이 포함된 베타 빌드, 필요한 테스트 계정·룸 설정·로그 접근 권한을 준비한다.</x:v>
      </x:c>
      <x:c r="G8" s="36" t="str">
        <x:v>1. 사전 조건 상태를 구성한다.
2. 표준 설정에서 다음 테스트 대상을 실행한다: 화면·품질·FOV 설정.
3. UI, 서버 상태와 로그·텔레메트리를 확인한다.
4. 필요하면 재입장 또는 재실행하여 재현성을 확인한다.</x:v>
      </x:c>
      <x:c r="H8" s="36" t="str">
        <x:v>해상도, 화면 모드, 품질 프리셋, FOV, 밝기를 변경할 수 있고 등 메모 판독성을 해칠 수 있는 범위는 제한하거나 경고한다.</x:v>
      </x:c>
      <x:c r="I8" s="36" t="str">
        <x:v>호환성</x:v>
      </x:c>
      <x:c r="J8" s="36" t="str">
        <x:v>P1</x:v>
      </x:c>
      <x:c r="K8" s="36" t="str">
        <x:v>PC</x:v>
      </x:c>
      <x:c r="L8" s="36" t="str">
        <x:v>부분</x:v>
      </x:c>
      <x:c r="M8" s="36" t="str">
        <x:v>미실시</x:v>
      </x:c>
      <x:c r="N8" s="36" t="str">
        <x:v>미정</x:v>
      </x:c>
      <x:c r="O8" s="36" t="str">
        <x:v>미정</x:v>
      </x:c>
      <x:c r="P8" s="36"/>
      <x:c r="Q8" s="36"/>
      <x:c r="R8" s="44" t="str">
        <x:v>2026-07-10</x:v>
      </x:c>
      <x:c r="S8" s="36"/>
      <x:c r="T8" s="54"/>
      <x:c r="U8" s="54"/>
      <x:c r="V8" s="53" t="str">
        <x:v>착수 전</x:v>
      </x:c>
    </x:row>
    <x:row r="9" ht="42" customHeight="1">
      <x:c r="A9" s="36" t="str">
        <x:v>TC-SET-006-01</x:v>
      </x:c>
      <x:c r="B9" s="36" t="str">
        <x:v>SET-006</x:v>
      </x:c>
      <x:c r="C9" s="36" t="str">
        <x:v>게임 설정·접근성</x:v>
      </x:c>
      <x:c r="D9" s="36" t="str">
        <x:v>정상 시나리오: 입력 바인딩·감도·데드존 설정</x:v>
      </x:c>
      <x:c r="E9" s="36" t="str">
        <x:v>키보드·마우스와 게임패드 재지정, 축 반전, 감도, 데드존을 설정할 수 있고 필수 조작의 중복 지정과 미지정을 방지한다.</x:v>
      </x:c>
      <x:c r="F9" s="36" t="str">
        <x:v>대상 기능이 포함된 베타 빌드, 필요한 테스트 계정·룸 설정·로그 접근 권한을 준비한다.</x:v>
      </x:c>
      <x:c r="G9" s="36" t="str">
        <x:v>1. 사전 조건 상태를 구성한다.
2. 표준 설정에서 다음 테스트 대상을 실행한다: 입력 바인딩·감도·데드존 설정.
3. UI, 서버 상태와 로그·텔레메트리를 확인한다.
4. 필요하면 재입장 또는 재실행하여 재현성을 확인한다.</x:v>
      </x:c>
      <x:c r="H9" s="36" t="str">
        <x:v>키보드·마우스와 게임패드 재지정, 축 반전, 감도, 데드존을 설정할 수 있고 필수 조작의 중복 지정과 미지정을 방지한다.</x:v>
      </x:c>
      <x:c r="I9" s="36" t="str">
        <x:v>접근성</x:v>
      </x:c>
      <x:c r="J9" s="36" t="str">
        <x:v>P1</x:v>
      </x:c>
      <x:c r="K9" s="36" t="str">
        <x:v>전체</x:v>
      </x:c>
      <x:c r="L9" s="36" t="str">
        <x:v>부분</x:v>
      </x:c>
      <x:c r="M9" s="36" t="str">
        <x:v>미실시</x:v>
      </x:c>
      <x:c r="N9" s="36" t="str">
        <x:v>미정</x:v>
      </x:c>
      <x:c r="O9" s="36" t="str">
        <x:v>미정</x:v>
      </x:c>
      <x:c r="P9" s="36"/>
      <x:c r="Q9" s="36"/>
      <x:c r="R9" s="44" t="str">
        <x:v>2026-07-10</x:v>
      </x:c>
      <x:c r="S9" s="36"/>
      <x:c r="T9" s="54"/>
      <x:c r="U9" s="54"/>
      <x:c r="V9" s="53" t="str">
        <x:v>착수 전</x:v>
      </x:c>
    </x:row>
    <x:row r="10" ht="42" customHeight="1">
      <x:c r="A10" s="36" t="str">
        <x:v>TC-SET-007-01</x:v>
      </x:c>
      <x:c r="B10" s="36" t="str">
        <x:v>SET-007</x:v>
      </x:c>
      <x:c r="C10" s="36" t="str">
        <x:v>게임 설정·접근성</x:v>
      </x:c>
      <x:c r="D10" s="36" t="str">
        <x:v>정상 시나리오: BGM·효과음·UI·음성 볼륨 분리</x:v>
      </x:c>
      <x:c r="E10" s="36" t="str">
        <x:v>마스터, BGM, 효과음, UI, 음성 채팅, 마이크 게인을 개별 조절할 수 있고 음소거 상태가 매치 전환 중 임의로 해제되지 않는다.</x:v>
      </x:c>
      <x:c r="F10" s="36" t="str">
        <x:v>대상 기능이 포함된 알파 빌드, 필요한 테스트 계정·룸 설정·로그 접근 권한을 준비한다.</x:v>
      </x:c>
      <x:c r="G10" s="36" t="str">
        <x:v>1. 사전 조건 상태를 구성한다.
2. 표준 설정에서 다음 테스트 대상을 실행한다: BGM·효과음·UI·음성 볼륨 분리.
3. UI, 서버 상태와 로그·텔레메트리를 확인한다.
4. 필요하면 재입장 또는 재실행하여 재현성을 확인한다.</x:v>
      </x:c>
      <x:c r="H10" s="36" t="str">
        <x:v>마스터, BGM, 효과음, UI, 음성 채팅, 마이크 게인을 개별 조절할 수 있고 음소거 상태가 매치 전환 중 임의로 해제되지 않는다.</x:v>
      </x:c>
      <x:c r="I10" s="36" t="str">
        <x:v>기능</x:v>
      </x:c>
      <x:c r="J10" s="36" t="str">
        <x:v>P0</x:v>
      </x:c>
      <x:c r="K10" s="36" t="str">
        <x:v>전체</x:v>
      </x:c>
      <x:c r="L10" s="36" t="str">
        <x:v>부분</x:v>
      </x:c>
      <x:c r="M10" s="36" t="str">
        <x:v>미실시</x:v>
      </x:c>
      <x:c r="N10" s="36" t="str">
        <x:v>미정</x:v>
      </x:c>
      <x:c r="O10" s="36" t="str">
        <x:v>미정</x:v>
      </x:c>
      <x:c r="P10" s="36"/>
      <x:c r="Q10" s="36"/>
      <x:c r="R10" s="44" t="str">
        <x:v>2026-07-10</x:v>
      </x:c>
      <x:c r="S10" s="36"/>
      <x:c r="T10" s="54"/>
      <x:c r="U10" s="54"/>
      <x:c r="V10" s="53" t="str">
        <x:v>착수 전</x:v>
      </x:c>
    </x:row>
    <x:row r="11" ht="42" customHeight="1">
      <x:c r="A11" s="36" t="str">
        <x:v>TC-SET-007-02</x:v>
      </x:c>
      <x:c r="B11" s="36" t="str">
        <x:v>SET-007</x:v>
      </x:c>
      <x:c r="C11" s="36" t="str">
        <x:v>게임 설정·접근성</x:v>
      </x:c>
      <x:c r="D11" s="36" t="str">
        <x:v>예외·경계 시나리오: BGM·효과음·UI·음성 볼륨 분리</x:v>
      </x:c>
      <x:c r="E11" s="36" t="str">
        <x:v>허용되지 않은 상태, 잘못된 값, 중복, 만료, 권한 부족, 연결 끊김 입력으로 데이터 손상·정보 유출·클라이언트 상태 분기가 발생하지 않는지 확인한다.</x:v>
      </x:c>
      <x:c r="F11" s="36" t="str">
        <x:v>대상 기능이 포함된 알파 빌드와 디버그 입력, 네트워크 열화, 비정상 요청 재현 수단을 준비한다.</x:v>
      </x:c>
      <x:c r="G11" s="36" t="str">
        <x:v>1. 허용되지 않은 페이즈 또는 경계값 조건을 구성한다.
2. BGM·효과음·UI·음성 볼륨 분리에 대해 중복·무효·지연·연결 끊김을 포함한 요청을 전송한다.
3. 서버 거부, 롤백, 오류 표시와 감사 로그를 확인한다.
4. 모든 클라이언트의 상태가 일치하는지 확인한다.</x:v>
      </x:c>
      <x:c r="H11" s="36" t="str">
        <x:v>요청은 사양에 따라 거부되거나 안전하게 복구되며, 중복 반영, 데이터 손실, 정보 유출 또는 진행 중단이 발생하지 않는다. 오류와 상관관계 ID가 기록된다.</x:v>
      </x:c>
      <x:c r="I11" s="36" t="str">
        <x:v>기능</x:v>
      </x:c>
      <x:c r="J11" s="36" t="str">
        <x:v>P0</x:v>
      </x:c>
      <x:c r="K11" s="36" t="str">
        <x:v>전체</x:v>
      </x:c>
      <x:c r="L11" s="36" t="str">
        <x:v>부분</x:v>
      </x:c>
      <x:c r="M11" s="36" t="str">
        <x:v>미실시</x:v>
      </x:c>
      <x:c r="N11" s="36" t="str">
        <x:v>미정</x:v>
      </x:c>
      <x:c r="O11" s="36" t="str">
        <x:v>미정</x:v>
      </x:c>
      <x:c r="P11" s="36"/>
      <x:c r="Q11" s="36"/>
      <x:c r="R11" s="44" t="str">
        <x:v>2026-07-10</x:v>
      </x:c>
      <x:c r="S11" s="36"/>
      <x:c r="T11" s="54"/>
      <x:c r="U11" s="54"/>
      <x:c r="V11" s="53" t="str">
        <x:v>착수 전</x:v>
      </x:c>
    </x:row>
    <x:row r="12" ht="42" customHeight="1">
      <x:c r="A12" s="36" t="str">
        <x:v>TC-SET-008-01</x:v>
      </x:c>
      <x:c r="B12" s="36" t="str">
        <x:v>SET-008</x:v>
      </x:c>
      <x:c r="C12" s="36" t="str">
        <x:v>게임 설정·접근성</x:v>
      </x:c>
      <x:c r="D12" s="36" t="str">
        <x:v>정상 시나리오: 음성 방식·입출력 장치·동의 설정</x:v>
      </x:c>
      <x:c r="E12" s="36" t="str">
        <x:v>PTT·오픈 마이크, 입력·출력 장치, 음성 활성화, 최초 동의, 지역·연령 제한을 설정할 수 있다.</x:v>
      </x:c>
      <x:c r="F12" s="36" t="str">
        <x:v>대상 기능이 포함된 알파 빌드, 필요한 테스트 계정·룸 설정·로그 접근 권한을 준비한다.</x:v>
      </x:c>
      <x:c r="G12" s="36" t="str">
        <x:v>1. 사전 조건 상태를 구성한다.
2. 표준 설정에서 다음 테스트 대상을 실행한다: 음성 방식·입출력 장치·동의 설정.
3. UI, 서버 상태와 로그·텔레메트리를 확인한다.
4. 필요하면 재입장 또는 재실행하여 재현성을 확인한다.</x:v>
      </x:c>
      <x:c r="H12" s="36" t="str">
        <x:v>PTT·오픈 마이크, 입력·출력 장치, 음성 활성화, 최초 동의, 지역·연령 제한을 설정할 수 있다.</x:v>
      </x:c>
      <x:c r="I12" s="36" t="str">
        <x:v>운영</x:v>
      </x:c>
      <x:c r="J12" s="36" t="str">
        <x:v>P0</x:v>
      </x:c>
      <x:c r="K12" s="36" t="str">
        <x:v>전체</x:v>
      </x:c>
      <x:c r="L12" s="36" t="str">
        <x:v>부분</x:v>
      </x:c>
      <x:c r="M12" s="36" t="str">
        <x:v>미실시</x:v>
      </x:c>
      <x:c r="N12" s="36" t="str">
        <x:v>미정</x:v>
      </x:c>
      <x:c r="O12" s="36" t="str">
        <x:v>미정</x:v>
      </x:c>
      <x:c r="P12" s="36"/>
      <x:c r="Q12" s="36"/>
      <x:c r="R12" s="44" t="str">
        <x:v>2026-07-10</x:v>
      </x:c>
      <x:c r="S12" s="36"/>
      <x:c r="T12" s="54"/>
      <x:c r="U12" s="54"/>
      <x:c r="V12" s="53" t="str">
        <x:v>착수 전</x:v>
      </x:c>
    </x:row>
    <x:row r="13" ht="42" customHeight="1">
      <x:c r="A13" s="36" t="str">
        <x:v>TC-SET-008-02</x:v>
      </x:c>
      <x:c r="B13" s="36" t="str">
        <x:v>SET-008</x:v>
      </x:c>
      <x:c r="C13" s="36" t="str">
        <x:v>게임 설정·접근성</x:v>
      </x:c>
      <x:c r="D13" s="36" t="str">
        <x:v>예외·경계 시나리오: 음성 방식·입출력 장치·동의 설정</x:v>
      </x:c>
      <x:c r="E13" s="36" t="str">
        <x:v>허용되지 않은 상태, 잘못된 값, 중복, 만료, 권한 부족, 연결 끊김 입력으로 데이터 손상·정보 유출·클라이언트 상태 분기가 발생하지 않는지 확인한다.</x:v>
      </x:c>
      <x:c r="F13" s="36" t="str">
        <x:v>대상 기능이 포함된 알파 빌드와 디버그 입력, 네트워크 열화, 비정상 요청 재현 수단을 준비한다.</x:v>
      </x:c>
      <x:c r="G13" s="36" t="str">
        <x:v>1. 허용되지 않은 페이즈 또는 경계값 조건을 구성한다.
2. 음성 방식·입출력 장치·동의 설정에 대해 중복·무효·지연·연결 끊김을 포함한 요청을 전송한다.
3. 서버 거부, 롤백, 오류 표시와 감사 로그를 확인한다.
4. 모든 클라이언트의 상태가 일치하는지 확인한다.</x:v>
      </x:c>
      <x:c r="H13" s="36" t="str">
        <x:v>요청은 사양에 따라 거부되거나 안전하게 복구되며, 중복 반영, 데이터 손실, 정보 유출 또는 진행 중단이 발생하지 않는다. 오류와 상관관계 ID가 기록된다.</x:v>
      </x:c>
      <x:c r="I13" s="36" t="str">
        <x:v>운영</x:v>
      </x:c>
      <x:c r="J13" s="36" t="str">
        <x:v>P0</x:v>
      </x:c>
      <x:c r="K13" s="36" t="str">
        <x:v>전체</x:v>
      </x:c>
      <x:c r="L13" s="36" t="str">
        <x:v>부분</x:v>
      </x:c>
      <x:c r="M13" s="36" t="str">
        <x:v>미실시</x:v>
      </x:c>
      <x:c r="N13" s="36" t="str">
        <x:v>미정</x:v>
      </x:c>
      <x:c r="O13" s="36" t="str">
        <x:v>미정</x:v>
      </x:c>
      <x:c r="P13" s="36"/>
      <x:c r="Q13" s="36"/>
      <x:c r="R13" s="44" t="str">
        <x:v>2026-07-10</x:v>
      </x:c>
      <x:c r="S13" s="36"/>
      <x:c r="T13" s="54"/>
      <x:c r="U13" s="54"/>
      <x:c r="V13" s="53" t="str">
        <x:v>착수 전</x:v>
      </x:c>
    </x:row>
    <x:row r="14" ht="42" customHeight="1">
      <x:c r="A14" s="36" t="str">
        <x:v>TC-SET-009-01</x:v>
      </x:c>
      <x:c r="B14" s="36" t="str">
        <x:v>SET-009</x:v>
      </x:c>
      <x:c r="C14" s="36" t="str">
        <x:v>게임 설정·접근성</x:v>
      </x:c>
      <x:c r="D14" s="36" t="str">
        <x:v>정상 시나리오: 권장 룸 프리셋</x:v>
      </x:c>
      <x:c r="E14" s="36" t="str">
        <x:v>5~6명, 마피아 1명, 낮 180초, 밤 관찰 25초, 투표 15초, 위조 1회, 5일째 최종 재판의 권장값을 한 번에 적용한다.</x:v>
      </x:c>
      <x:c r="F14" s="36" t="str">
        <x:v>대상 기능이 포함된 MVP 빌드, 필요한 테스트 계정·룸 설정·로그 접근 권한을 준비한다.</x:v>
      </x:c>
      <x:c r="G14" s="36" t="str">
        <x:v>1. 사전 조건 상태를 구성한다.
2. 표준 설정에서 다음 테스트 대상을 실행한다: 권장 룸 프리셋.
3. UI, 서버 상태와 로그·텔레메트리를 확인한다.
4. 필요하면 재입장 또는 재실행하여 재현성을 확인한다.</x:v>
      </x:c>
      <x:c r="H14" s="36" t="str">
        <x:v>5~6명, 마피아 1명, 낮 180초, 밤 관찰 25초, 투표 15초, 위조 1회, 5일째 최종 재판의 권장값을 한 번에 적용한다.</x:v>
      </x:c>
      <x:c r="I14" s="36" t="str">
        <x:v>기능</x:v>
      </x:c>
      <x:c r="J14" s="36" t="str">
        <x:v>P0</x:v>
      </x:c>
      <x:c r="K14" s="36" t="str">
        <x:v>전체</x:v>
      </x:c>
      <x:c r="L14" s="36" t="str">
        <x:v>부분</x:v>
      </x:c>
      <x:c r="M14" s="36" t="str">
        <x:v>미실시</x:v>
      </x:c>
      <x:c r="N14" s="36" t="str">
        <x:v>미정</x:v>
      </x:c>
      <x:c r="O14" s="36" t="str">
        <x:v>미정</x:v>
      </x:c>
      <x:c r="P14" s="36"/>
      <x:c r="Q14" s="36"/>
      <x:c r="R14" s="44" t="str">
        <x:v>2026-07-10</x:v>
      </x:c>
      <x:c r="S14" s="36"/>
      <x:c r="T14" s="54"/>
      <x:c r="U14" s="54"/>
      <x:c r="V14" s="53" t="str">
        <x:v>착수 전</x:v>
      </x:c>
    </x:row>
    <x:row r="15" ht="42" customHeight="1">
      <x:c r="A15" s="36" t="str">
        <x:v>TC-SET-009-02</x:v>
      </x:c>
      <x:c r="B15" s="36" t="str">
        <x:v>SET-009</x:v>
      </x:c>
      <x:c r="C15" s="36" t="str">
        <x:v>게임 설정·접근성</x:v>
      </x:c>
      <x:c r="D15" s="36" t="str">
        <x:v>예외·경계 시나리오: 권장 룸 프리셋</x:v>
      </x:c>
      <x:c r="E15" s="36" t="str">
        <x:v>허용되지 않은 상태, 잘못된 값, 중복, 만료, 권한 부족, 연결 끊김 입력으로 데이터 손상·정보 유출·클라이언트 상태 분기가 발생하지 않는지 확인한다.</x:v>
      </x:c>
      <x:c r="F15" s="36" t="str">
        <x:v>대상 기능이 포함된 MVP 빌드와 디버그 입력, 네트워크 열화, 비정상 요청 재현 수단을 준비한다.</x:v>
      </x:c>
      <x:c r="G15" s="36" t="str">
        <x:v>1. 허용되지 않은 페이즈 또는 경계값 조건을 구성한다.
2. 권장 룸 프리셋에 대해 중복·무효·지연·연결 끊김을 포함한 요청을 전송한다.
3. 서버 거부, 롤백, 오류 표시와 감사 로그를 확인한다.
4. 모든 클라이언트의 상태가 일치하는지 확인한다.</x:v>
      </x:c>
      <x:c r="H15" s="36" t="str">
        <x:v>요청은 사양에 따라 거부되거나 안전하게 복구되며, 중복 반영, 데이터 손실, 정보 유출 또는 진행 중단이 발생하지 않는다. 오류와 상관관계 ID가 기록된다.</x:v>
      </x:c>
      <x:c r="I15" s="36" t="str">
        <x:v>기능</x:v>
      </x:c>
      <x:c r="J15" s="36" t="str">
        <x:v>P0</x:v>
      </x:c>
      <x:c r="K15" s="36" t="str">
        <x:v>전체</x:v>
      </x:c>
      <x:c r="L15" s="36" t="str">
        <x:v>부분</x:v>
      </x:c>
      <x:c r="M15" s="36" t="str">
        <x:v>미실시</x:v>
      </x:c>
      <x:c r="N15" s="36" t="str">
        <x:v>미정</x:v>
      </x:c>
      <x:c r="O15" s="36" t="str">
        <x:v>미정</x:v>
      </x:c>
      <x:c r="P15" s="36"/>
      <x:c r="Q15" s="36"/>
      <x:c r="R15" s="44" t="str">
        <x:v>2026-07-10</x:v>
      </x:c>
      <x:c r="S15" s="36"/>
      <x:c r="T15" s="54"/>
      <x:c r="U15" s="54"/>
      <x:c r="V15" s="53" t="str">
        <x:v>착수 전</x:v>
      </x:c>
    </x:row>
    <x:row r="16" ht="42" customHeight="1">
      <x:c r="A16" s="36" t="str">
        <x:v>TC-SET-010-01</x:v>
      </x:c>
      <x:c r="B16" s="36" t="str">
        <x:v>SET-010</x:v>
      </x:c>
      <x:c r="C16" s="36" t="str">
        <x:v>게임 설정·접근성</x:v>
      </x:c>
      <x:c r="D16" s="36" t="str">
        <x:v>정상 시나리오: 인원·마피아 수 조합 제한</x:v>
      </x:c>
      <x:c r="E16" s="36" t="str">
        <x:v>MVP는 4~6명·마피아 1명으로 제한하고 출시 후 7~8명·마피아 2명은 기능 플래그로 분리하며 모순된 조합은 만들 수 없다.</x:v>
      </x:c>
      <x:c r="F16" s="36" t="str">
        <x:v>대상 기능이 포함된 MVP 빌드, 필요한 테스트 계정·룸 설정·로그 접근 권한을 준비한다.</x:v>
      </x:c>
      <x:c r="G16" s="36" t="str">
        <x:v>1. 사전 조건 상태를 구성한다.
2. 표준 설정에서 다음 테스트 대상을 실행한다: 인원·마피아 수 조합 제한.
3. UI, 서버 상태와 로그·텔레메트리를 확인한다.
4. 필요하면 재입장 또는 재실행하여 재현성을 확인한다.</x:v>
      </x:c>
      <x:c r="H16" s="36" t="str">
        <x:v>MVP는 4~6명·마피아 1명으로 제한하고 출시 후 7~8명·마피아 2명은 기능 플래그로 분리하며 모순된 조합은 만들 수 없다.</x:v>
      </x:c>
      <x:c r="I16" s="36" t="str">
        <x:v>경계값</x:v>
      </x:c>
      <x:c r="J16" s="36" t="str">
        <x:v>P0</x:v>
      </x:c>
      <x:c r="K16" s="36" t="str">
        <x:v>전체</x:v>
      </x:c>
      <x:c r="L16" s="36" t="str">
        <x:v>부분</x:v>
      </x:c>
      <x:c r="M16" s="36" t="str">
        <x:v>미실시</x:v>
      </x:c>
      <x:c r="N16" s="36" t="str">
        <x:v>미정</x:v>
      </x:c>
      <x:c r="O16" s="36" t="str">
        <x:v>미정</x:v>
      </x:c>
      <x:c r="P16" s="36"/>
      <x:c r="Q16" s="36"/>
      <x:c r="R16" s="44" t="str">
        <x:v>2026-07-10</x:v>
      </x:c>
      <x:c r="S16" s="36"/>
      <x:c r="T16" s="54"/>
      <x:c r="U16" s="54"/>
      <x:c r="V16" s="53" t="str">
        <x:v>착수 전</x:v>
      </x:c>
    </x:row>
    <x:row r="17" ht="42" customHeight="1">
      <x:c r="A17" s="36" t="str">
        <x:v>TC-SET-010-02</x:v>
      </x:c>
      <x:c r="B17" s="36" t="str">
        <x:v>SET-010</x:v>
      </x:c>
      <x:c r="C17" s="36" t="str">
        <x:v>게임 설정·접근성</x:v>
      </x:c>
      <x:c r="D17" s="36" t="str">
        <x:v>예외·경계 시나리오: 인원·마피아 수 조합 제한</x:v>
      </x:c>
      <x:c r="E17" s="36" t="str">
        <x:v>허용되지 않은 상태, 잘못된 값, 중복, 만료, 권한 부족, 연결 끊김 입력으로 데이터 손상·정보 유출·클라이언트 상태 분기가 발생하지 않는지 확인한다.</x:v>
      </x:c>
      <x:c r="F17" s="36" t="str">
        <x:v>대상 기능이 포함된 MVP 빌드와 디버그 입력, 네트워크 열화, 비정상 요청 재현 수단을 준비한다.</x:v>
      </x:c>
      <x:c r="G17" s="36" t="str">
        <x:v>1. 허용되지 않은 페이즈 또는 경계값 조건을 구성한다.
2. 인원·마피아 수 조합 제한에 대해 중복·무효·지연·연결 끊김을 포함한 요청을 전송한다.
3. 서버 거부, 롤백, 오류 표시와 감사 로그를 확인한다.
4. 모든 클라이언트의 상태가 일치하는지 확인한다.</x:v>
      </x:c>
      <x:c r="H17" s="36" t="str">
        <x:v>요청은 사양에 따라 거부되거나 안전하게 복구되며, 중복 반영, 데이터 손실, 정보 유출 또는 진행 중단이 발생하지 않는다. 오류와 상관관계 ID가 기록된다.</x:v>
      </x:c>
      <x:c r="I17" s="36" t="str">
        <x:v>경계값</x:v>
      </x:c>
      <x:c r="J17" s="36" t="str">
        <x:v>P0</x:v>
      </x:c>
      <x:c r="K17" s="36" t="str">
        <x:v>전체</x:v>
      </x:c>
      <x:c r="L17" s="36" t="str">
        <x:v>부분</x:v>
      </x:c>
      <x:c r="M17" s="36" t="str">
        <x:v>미실시</x:v>
      </x:c>
      <x:c r="N17" s="36" t="str">
        <x:v>미정</x:v>
      </x:c>
      <x:c r="O17" s="36" t="str">
        <x:v>미정</x:v>
      </x:c>
      <x:c r="P17" s="36"/>
      <x:c r="Q17" s="36"/>
      <x:c r="R17" s="44" t="str">
        <x:v>2026-07-10</x:v>
      </x:c>
      <x:c r="S17" s="36"/>
      <x:c r="T17" s="54"/>
      <x:c r="U17" s="54"/>
      <x:c r="V17" s="53" t="str">
        <x:v>착수 전</x:v>
      </x:c>
    </x:row>
    <x:row r="18" ht="42" customHeight="1">
      <x:c r="A18" s="36" t="str">
        <x:v>TC-SET-011-01</x:v>
      </x:c>
      <x:c r="B18" s="36" t="str">
        <x:v>SET-011</x:v>
      </x:c>
      <x:c r="C18" s="36" t="str">
        <x:v>게임 설정·접근성</x:v>
      </x:c>
      <x:c r="D18" s="36" t="str">
        <x:v>정상 시나리오: 밤·최종 투표 동률 정책</x:v>
      </x:c>
      <x:c r="E18" s="36" t="str">
        <x:v>재투표, 동률자 무작위 선택, 추방 없음 등의 후보 중 제품 정책 하나를 확정하고 설정 가능 여부와 설명 문구를 일치시킨다.</x:v>
      </x:c>
      <x:c r="F18" s="36" t="str">
        <x:v>대상 기능이 포함된 MVP 빌드, 필요한 테스트 계정·룸 설정·로그 접근 권한을 준비한다.</x:v>
      </x:c>
      <x:c r="G18" s="36" t="str">
        <x:v>1. 사전 조건 상태를 구성한다.
2. 표준 설정에서 다음 테스트 대상을 실행한다: 밤·최종 투표 동률 정책.
3. UI, 서버 상태와 로그·텔레메트리를 확인한다.
4. 필요하면 재입장 또는 재실행하여 재현성을 확인한다.</x:v>
      </x:c>
      <x:c r="H18" s="36" t="str">
        <x:v>재투표, 동률자 무작위 선택, 추방 없음 등의 후보 중 제품 정책 하나를 확정하고 설정 가능 여부와 설명 문구를 일치시킨다.</x:v>
      </x:c>
      <x:c r="I18" s="36" t="str">
        <x:v>경계값</x:v>
      </x:c>
      <x:c r="J18" s="36" t="str">
        <x:v>P0</x:v>
      </x:c>
      <x:c r="K18" s="36" t="str">
        <x:v>전체</x:v>
      </x:c>
      <x:c r="L18" s="36" t="str">
        <x:v>예</x:v>
      </x:c>
      <x:c r="M18" s="36" t="str">
        <x:v>미실시</x:v>
      </x:c>
      <x:c r="N18" s="36" t="str">
        <x:v>미정</x:v>
      </x:c>
      <x:c r="O18" s="36" t="str">
        <x:v>미정</x:v>
      </x:c>
      <x:c r="P18" s="36"/>
      <x:c r="Q18" s="36"/>
      <x:c r="R18" s="44" t="str">
        <x:v>2026-07-10</x:v>
      </x:c>
      <x:c r="S18" s="36"/>
      <x:c r="T18" s="54"/>
      <x:c r="U18" s="54"/>
      <x:c r="V18" s="53" t="str">
        <x:v>착수 전</x:v>
      </x:c>
    </x:row>
    <x:row r="19" ht="42" customHeight="1">
      <x:c r="A19" s="36" t="str">
        <x:v>TC-SET-011-02</x:v>
      </x:c>
      <x:c r="B19" s="36" t="str">
        <x:v>SET-011</x:v>
      </x:c>
      <x:c r="C19" s="36" t="str">
        <x:v>게임 설정·접근성</x:v>
      </x:c>
      <x:c r="D19" s="36" t="str">
        <x:v>예외·경계 시나리오: 밤·최종 투표 동률 정책</x:v>
      </x:c>
      <x:c r="E19" s="36" t="str">
        <x:v>허용되지 않은 상태, 잘못된 값, 중복, 만료, 권한 부족, 연결 끊김 입력으로 데이터 손상·정보 유출·클라이언트 상태 분기가 발생하지 않는지 확인한다.</x:v>
      </x:c>
      <x:c r="F19" s="36" t="str">
        <x:v>대상 기능이 포함된 MVP 빌드와 디버그 입력, 네트워크 열화, 비정상 요청 재현 수단을 준비한다.</x:v>
      </x:c>
      <x:c r="G19" s="36" t="str">
        <x:v>1. 허용되지 않은 페이즈 또는 경계값 조건을 구성한다.
2. 밤·최종 투표 동률 정책에 대해 중복·무효·지연·연결 끊김을 포함한 요청을 전송한다.
3. 서버 거부, 롤백, 오류 표시와 감사 로그를 확인한다.
4. 모든 클라이언트의 상태가 일치하는지 확인한다.</x:v>
      </x:c>
      <x:c r="H19" s="36" t="str">
        <x:v>요청은 사양에 따라 거부되거나 안전하게 복구되며, 중복 반영, 데이터 손실, 정보 유출 또는 진행 중단이 발생하지 않는다. 오류와 상관관계 ID가 기록된다.</x:v>
      </x:c>
      <x:c r="I19" s="36" t="str">
        <x:v>경계값</x:v>
      </x:c>
      <x:c r="J19" s="36" t="str">
        <x:v>P0</x:v>
      </x:c>
      <x:c r="K19" s="36" t="str">
        <x:v>전체</x:v>
      </x:c>
      <x:c r="L19" s="36" t="str">
        <x:v>예</x:v>
      </x:c>
      <x:c r="M19" s="36" t="str">
        <x:v>미실시</x:v>
      </x:c>
      <x:c r="N19" s="36" t="str">
        <x:v>미정</x:v>
      </x:c>
      <x:c r="O19" s="36" t="str">
        <x:v>미정</x:v>
      </x:c>
      <x:c r="P19" s="36"/>
      <x:c r="Q19" s="36"/>
      <x:c r="R19" s="44" t="str">
        <x:v>2026-07-10</x:v>
      </x:c>
      <x:c r="S19" s="36"/>
      <x:c r="T19" s="54"/>
      <x:c r="U19" s="54"/>
      <x:c r="V19" s="53" t="str">
        <x:v>착수 전</x:v>
      </x:c>
    </x:row>
    <x:row r="20" ht="42" customHeight="1">
      <x:c r="A20" s="36" t="str">
        <x:v>TC-SET-012-01</x:v>
      </x:c>
      <x:c r="B20" s="36" t="str">
        <x:v>SET-012</x:v>
      </x:c>
      <x:c r="C20" s="36" t="str">
        <x:v>게임 설정·접근성</x:v>
      </x:c>
      <x:c r="D20" s="36" t="str">
        <x:v>정상 시나리오: 낮·밤 관찰·투표·최종 발언 타이머</x:v>
      </x:c>
      <x:c r="E20" s="36" t="str">
        <x:v>각 타이머를 허용 범위 안에서 조정할 수 있고 0초, 극단값, 상호 모순 조합을 거부하며 모든 클라이언트에 확정값을 표시한다.</x:v>
      </x:c>
      <x:c r="F20" s="36" t="str">
        <x:v>대상 기능이 포함된 MVP 빌드, 필요한 테스트 계정·룸 설정·로그 접근 권한을 준비한다.</x:v>
      </x:c>
      <x:c r="G20" s="36" t="str">
        <x:v>1. 사전 조건 상태를 구성한다.
2. 표준 설정에서 다음 테스트 대상을 실행한다: 낮·밤 관찰·투표·최종 발언 타이머.
3. UI, 서버 상태와 로그·텔레메트리를 확인한다.
4. 필요하면 재입장 또는 재실행하여 재현성을 확인한다.</x:v>
      </x:c>
      <x:c r="H20" s="36" t="str">
        <x:v>각 타이머를 허용 범위 안에서 조정할 수 있고 0초, 극단값, 상호 모순 조합을 거부하며 모든 클라이언트에 확정값을 표시한다.</x:v>
      </x:c>
      <x:c r="I20" s="36" t="str">
        <x:v>경계값</x:v>
      </x:c>
      <x:c r="J20" s="36" t="str">
        <x:v>P0</x:v>
      </x:c>
      <x:c r="K20" s="36" t="str">
        <x:v>전체</x:v>
      </x:c>
      <x:c r="L20" s="36" t="str">
        <x:v>부분</x:v>
      </x:c>
      <x:c r="M20" s="36" t="str">
        <x:v>미실시</x:v>
      </x:c>
      <x:c r="N20" s="36" t="str">
        <x:v>미정</x:v>
      </x:c>
      <x:c r="O20" s="36" t="str">
        <x:v>미정</x:v>
      </x:c>
      <x:c r="P20" s="36"/>
      <x:c r="Q20" s="36"/>
      <x:c r="R20" s="44" t="str">
        <x:v>2026-07-10</x:v>
      </x:c>
      <x:c r="S20" s="36"/>
      <x:c r="T20" s="54"/>
      <x:c r="U20" s="54"/>
      <x:c r="V20" s="53" t="str">
        <x:v>착수 전</x:v>
      </x:c>
    </x:row>
    <x:row r="21" ht="42" customHeight="1">
      <x:c r="A21" s="36" t="str">
        <x:v>TC-SET-012-02</x:v>
      </x:c>
      <x:c r="B21" s="36" t="str">
        <x:v>SET-012</x:v>
      </x:c>
      <x:c r="C21" s="36" t="str">
        <x:v>게임 설정·접근성</x:v>
      </x:c>
      <x:c r="D21" s="36" t="str">
        <x:v>예외·경계 시나리오: 낮·밤 관찰·투표·최종 발언 타이머</x:v>
      </x:c>
      <x:c r="E21" s="36" t="str">
        <x:v>허용되지 않은 상태, 잘못된 값, 중복, 만료, 권한 부족, 연결 끊김 입력으로 데이터 손상·정보 유출·클라이언트 상태 분기가 발생하지 않는지 확인한다.</x:v>
      </x:c>
      <x:c r="F21" s="36" t="str">
        <x:v>대상 기능이 포함된 MVP 빌드와 디버그 입력, 네트워크 열화, 비정상 요청 재현 수단을 준비한다.</x:v>
      </x:c>
      <x:c r="G21" s="36" t="str">
        <x:v>1. 허용되지 않은 페이즈 또는 경계값 조건을 구성한다.
2. 낮·밤 관찰·투표·최종 발언 타이머에 대해 중복·무효·지연·연결 끊김을 포함한 요청을 전송한다.
3. 서버 거부, 롤백, 오류 표시와 감사 로그를 확인한다.
4. 모든 클라이언트의 상태가 일치하는지 확인한다.</x:v>
      </x:c>
      <x:c r="H21" s="36" t="str">
        <x:v>요청은 사양에 따라 거부되거나 안전하게 복구되며, 중복 반영, 데이터 손실, 정보 유출 또는 진행 중단이 발생하지 않는다. 오류와 상관관계 ID가 기록된다.</x:v>
      </x:c>
      <x:c r="I21" s="36" t="str">
        <x:v>경계값</x:v>
      </x:c>
      <x:c r="J21" s="36" t="str">
        <x:v>P0</x:v>
      </x:c>
      <x:c r="K21" s="36" t="str">
        <x:v>전체</x:v>
      </x:c>
      <x:c r="L21" s="36" t="str">
        <x:v>부분</x:v>
      </x:c>
      <x:c r="M21" s="36" t="str">
        <x:v>미실시</x:v>
      </x:c>
      <x:c r="N21" s="36" t="str">
        <x:v>미정</x:v>
      </x:c>
      <x:c r="O21" s="36" t="str">
        <x:v>미정</x:v>
      </x:c>
      <x:c r="P21" s="36"/>
      <x:c r="Q21" s="36"/>
      <x:c r="R21" s="44" t="str">
        <x:v>2026-07-10</x:v>
      </x:c>
      <x:c r="S21" s="36"/>
      <x:c r="T21" s="54"/>
      <x:c r="U21" s="54"/>
      <x:c r="V21" s="53" t="str">
        <x:v>착수 전</x:v>
      </x:c>
    </x:row>
    <x:row r="22" ht="42" customHeight="1">
      <x:c r="A22" s="36" t="str">
        <x:v>TC-SET-013-01</x:v>
      </x:c>
      <x:c r="B22" s="36" t="str">
        <x:v>SET-013</x:v>
      </x:c>
      <x:c r="C22" s="36" t="str">
        <x:v>게임 설정·접근성</x:v>
      </x:c>
      <x:c r="D22" s="36" t="str">
        <x:v>정상 시나리오: 최종 재판 발동 조건 설정</x:v>
      </x:c>
      <x:c r="E22" s="36" t="str">
        <x:v>모든 미니게임 완료, 생존자 임계값, 지정 밤의 활성 여부와 값을 검증하고 최소 하나의 발동 조건 또는 안전 상한을 필수로 둔다.</x:v>
      </x:c>
      <x:c r="F22" s="36" t="str">
        <x:v>대상 기능이 포함된 MVP 빌드, 필요한 테스트 계정·룸 설정·로그 접근 권한을 준비한다.</x:v>
      </x:c>
      <x:c r="G22" s="36" t="str">
        <x:v>1. 사전 조건 상태를 구성한다.
2. 표준 설정에서 다음 테스트 대상을 실행한다: 최종 재판 발동 조건 설정.
3. UI, 서버 상태와 로그·텔레메트리를 확인한다.
4. 필요하면 재입장 또는 재실행하여 재현성을 확인한다.</x:v>
      </x:c>
      <x:c r="H22" s="36" t="str">
        <x:v>모든 미니게임 완료, 생존자 임계값, 지정 밤의 활성 여부와 값을 검증하고 최소 하나의 발동 조건 또는 안전 상한을 필수로 둔다.</x:v>
      </x:c>
      <x:c r="I22" s="36" t="str">
        <x:v>경계값</x:v>
      </x:c>
      <x:c r="J22" s="36" t="str">
        <x:v>P0</x:v>
      </x:c>
      <x:c r="K22" s="36" t="str">
        <x:v>전체</x:v>
      </x:c>
      <x:c r="L22" s="36" t="str">
        <x:v>부분</x:v>
      </x:c>
      <x:c r="M22" s="36" t="str">
        <x:v>미실시</x:v>
      </x:c>
      <x:c r="N22" s="36" t="str">
        <x:v>미정</x:v>
      </x:c>
      <x:c r="O22" s="36" t="str">
        <x:v>미정</x:v>
      </x:c>
      <x:c r="P22" s="36"/>
      <x:c r="Q22" s="36"/>
      <x:c r="R22" s="44" t="str">
        <x:v>2026-07-10</x:v>
      </x:c>
      <x:c r="S22" s="36"/>
      <x:c r="T22" s="54"/>
      <x:c r="U22" s="54"/>
      <x:c r="V22" s="53" t="str">
        <x:v>착수 전</x:v>
      </x:c>
    </x:row>
    <x:row r="23" ht="42" customHeight="1">
      <x:c r="A23" s="36" t="str">
        <x:v>TC-SET-013-02</x:v>
      </x:c>
      <x:c r="B23" s="36" t="str">
        <x:v>SET-013</x:v>
      </x:c>
      <x:c r="C23" s="36" t="str">
        <x:v>게임 설정·접근성</x:v>
      </x:c>
      <x:c r="D23" s="36" t="str">
        <x:v>예외·경계 시나리오: 최종 재판 발동 조건 설정</x:v>
      </x:c>
      <x:c r="E23" s="36" t="str">
        <x:v>허용되지 않은 상태, 잘못된 값, 중복, 만료, 권한 부족, 연결 끊김 입력으로 데이터 손상·정보 유출·클라이언트 상태 분기가 발생하지 않는지 확인한다.</x:v>
      </x:c>
      <x:c r="F23" s="36" t="str">
        <x:v>대상 기능이 포함된 MVP 빌드와 디버그 입력, 네트워크 열화, 비정상 요청 재현 수단을 준비한다.</x:v>
      </x:c>
      <x:c r="G23" s="36" t="str">
        <x:v>1. 허용되지 않은 페이즈 또는 경계값 조건을 구성한다.
2. 최종 재판 발동 조건 설정에 대해 중복·무효·지연·연결 끊김을 포함한 요청을 전송한다.
3. 서버 거부, 롤백, 오류 표시와 감사 로그를 확인한다.
4. 모든 클라이언트의 상태가 일치하는지 확인한다.</x:v>
      </x:c>
      <x:c r="H23" s="36" t="str">
        <x:v>요청은 사양에 따라 거부되거나 안전하게 복구되며, 중복 반영, 데이터 손실, 정보 유출 또는 진행 중단이 발생하지 않는다. 오류와 상관관계 ID가 기록된다.</x:v>
      </x:c>
      <x:c r="I23" s="36" t="str">
        <x:v>경계값</x:v>
      </x:c>
      <x:c r="J23" s="36" t="str">
        <x:v>P0</x:v>
      </x:c>
      <x:c r="K23" s="36" t="str">
        <x:v>전체</x:v>
      </x:c>
      <x:c r="L23" s="36" t="str">
        <x:v>부분</x:v>
      </x:c>
      <x:c r="M23" s="36" t="str">
        <x:v>미실시</x:v>
      </x:c>
      <x:c r="N23" s="36" t="str">
        <x:v>미정</x:v>
      </x:c>
      <x:c r="O23" s="36" t="str">
        <x:v>미정</x:v>
      </x:c>
      <x:c r="P23" s="36"/>
      <x:c r="Q23" s="36"/>
      <x:c r="R23" s="44" t="str">
        <x:v>2026-07-10</x:v>
      </x:c>
      <x:c r="S23" s="36"/>
      <x:c r="T23" s="54"/>
      <x:c r="U23" s="54"/>
      <x:c r="V23" s="53" t="str">
        <x:v>착수 전</x:v>
      </x:c>
    </x:row>
    <x:row r="24" ht="42" customHeight="1">
      <x:c r="A24" s="36" t="str">
        <x:v>TC-SET-014-01</x:v>
      </x:c>
      <x:c r="B24" s="36" t="str">
        <x:v>SET-014</x:v>
      </x:c>
      <x:c r="C24" s="36" t="str">
        <x:v>게임 설정·접근성</x:v>
      </x:c>
      <x:c r="D24" s="36" t="str">
        <x:v>정상 시나리오: 메모 보유·등 표시 상한·부착 시간 설정</x:v>
      </x:c>
      <x:c r="E24" s="36" t="str">
        <x:v>메모 보유 수, 등 최대 표시 수, 부착 시간을 안전 범위에서 설정하고 UI, 서버, 콘텐츠 설명이 같은 확정값을 사용한다.</x:v>
      </x:c>
      <x:c r="F24" s="36" t="str">
        <x:v>대상 기능이 포함된 MVP 빌드, 필요한 테스트 계정·룸 설정·로그 접근 권한을 준비한다.</x:v>
      </x:c>
      <x:c r="G24" s="36" t="str">
        <x:v>1. 사전 조건 상태를 구성한다.
2. 표준 설정에서 다음 테스트 대상을 실행한다: 메모 보유·등 표시 상한·부착 시간 설정.
3. UI, 서버 상태와 로그·텔레메트리를 확인한다.
4. 필요하면 재입장 또는 재실행하여 재현성을 확인한다.</x:v>
      </x:c>
      <x:c r="H24" s="36" t="str">
        <x:v>메모 보유 수, 등 최대 표시 수, 부착 시간을 안전 범위에서 설정하고 UI, 서버, 콘텐츠 설명이 같은 확정값을 사용한다.</x:v>
      </x:c>
      <x:c r="I24" s="36" t="str">
        <x:v>경계값</x:v>
      </x:c>
      <x:c r="J24" s="36" t="str">
        <x:v>P1</x:v>
      </x:c>
      <x:c r="K24" s="36" t="str">
        <x:v>전체</x:v>
      </x:c>
      <x:c r="L24" s="36" t="str">
        <x:v>부분</x:v>
      </x:c>
      <x:c r="M24" s="36" t="str">
        <x:v>미실시</x:v>
      </x:c>
      <x:c r="N24" s="36" t="str">
        <x:v>미정</x:v>
      </x:c>
      <x:c r="O24" s="36" t="str">
        <x:v>미정</x:v>
      </x:c>
      <x:c r="P24" s="36"/>
      <x:c r="Q24" s="36"/>
      <x:c r="R24" s="44" t="str">
        <x:v>2026-07-10</x:v>
      </x:c>
      <x:c r="S24" s="36"/>
      <x:c r="T24" s="54"/>
      <x:c r="U24" s="54"/>
      <x:c r="V24" s="53" t="str">
        <x:v>착수 전</x:v>
      </x:c>
    </x:row>
    <x:row r="25" ht="42" customHeight="1">
      <x:c r="A25" s="36" t="str">
        <x:v>TC-SET-015-01</x:v>
      </x:c>
      <x:c r="B25" s="36" t="str">
        <x:v>SET-015</x:v>
      </x:c>
      <x:c r="C25" s="36" t="str">
        <x:v>게임 설정·접근성</x:v>
      </x:c>
      <x:c r="D25" s="36" t="str">
        <x:v>정상 시나리오: 마피아 무료 메모·위조 횟수 설정</x:v>
      </x:c>
      <x:c r="E25" s="36" t="str">
        <x:v>무료 메모 수와 위조 횟수를 설정할 수 있고 0, 1, 2, 무제한의 UI 표기와 서버 값이 일치한다. MVP 기본값은 각각 1회다.</x:v>
      </x:c>
      <x:c r="F25" s="36" t="str">
        <x:v>대상 기능이 포함된 MVP 빌드, 필요한 테스트 계정·룸 설정·로그 접근 권한을 준비한다.</x:v>
      </x:c>
      <x:c r="G25" s="36" t="str">
        <x:v>1. 사전 조건 상태를 구성한다.
2. 표준 설정에서 다음 테스트 대상을 실행한다: 마피아 무료 메모·위조 횟수 설정.
3. UI, 서버 상태와 로그·텔레메트리를 확인한다.
4. 필요하면 재입장 또는 재실행하여 재현성을 확인한다.</x:v>
      </x:c>
      <x:c r="H25" s="36" t="str">
        <x:v>무료 메모 수와 위조 횟수를 설정할 수 있고 0, 1, 2, 무제한의 UI 표기와 서버 값이 일치한다. MVP 기본값은 각각 1회다.</x:v>
      </x:c>
      <x:c r="I25" s="36" t="str">
        <x:v>경계값</x:v>
      </x:c>
      <x:c r="J25" s="36" t="str">
        <x:v>P0</x:v>
      </x:c>
      <x:c r="K25" s="36" t="str">
        <x:v>전체</x:v>
      </x:c>
      <x:c r="L25" s="36" t="str">
        <x:v>부분</x:v>
      </x:c>
      <x:c r="M25" s="36" t="str">
        <x:v>미실시</x:v>
      </x:c>
      <x:c r="N25" s="36" t="str">
        <x:v>미정</x:v>
      </x:c>
      <x:c r="O25" s="36" t="str">
        <x:v>미정</x:v>
      </x:c>
      <x:c r="P25" s="36"/>
      <x:c r="Q25" s="36"/>
      <x:c r="R25" s="44" t="str">
        <x:v>2026-07-10</x:v>
      </x:c>
      <x:c r="S25" s="36"/>
      <x:c r="T25" s="54"/>
      <x:c r="U25" s="54"/>
      <x:c r="V25" s="53" t="str">
        <x:v>착수 전</x:v>
      </x:c>
    </x:row>
    <x:row r="26" ht="42" customHeight="1">
      <x:c r="A26" s="36" t="str">
        <x:v>TC-SET-015-02</x:v>
      </x:c>
      <x:c r="B26" s="36" t="str">
        <x:v>SET-015</x:v>
      </x:c>
      <x:c r="C26" s="36" t="str">
        <x:v>게임 설정·접근성</x:v>
      </x:c>
      <x:c r="D26" s="36" t="str">
        <x:v>예외·경계 시나리오: 마피아 무료 메모·위조 횟수 설정</x:v>
      </x:c>
      <x:c r="E26" s="36" t="str">
        <x:v>허용되지 않은 상태, 잘못된 값, 중복, 만료, 권한 부족, 연결 끊김 입력으로 데이터 손상·정보 유출·클라이언트 상태 분기가 발생하지 않는지 확인한다.</x:v>
      </x:c>
      <x:c r="F26" s="36" t="str">
        <x:v>대상 기능이 포함된 MVP 빌드와 디버그 입력, 네트워크 열화, 비정상 요청 재현 수단을 준비한다.</x:v>
      </x:c>
      <x:c r="G26" s="36" t="str">
        <x:v>1. 허용되지 않은 페이즈 또는 경계값 조건을 구성한다.
2. 마피아 무료 메모·위조 횟수 설정에 대해 중복·무효·지연·연결 끊김을 포함한 요청을 전송한다.
3. 서버 거부, 롤백, 오류 표시와 감사 로그를 확인한다.
4. 모든 클라이언트의 상태가 일치하는지 확인한다.</x:v>
      </x:c>
      <x:c r="H26" s="36" t="str">
        <x:v>요청은 사양에 따라 거부되거나 안전하게 복구되며, 중복 반영, 데이터 손실, 정보 유출 또는 진행 중단이 발생하지 않는다. 오류와 상관관계 ID가 기록된다.</x:v>
      </x:c>
      <x:c r="I26" s="36" t="str">
        <x:v>경계값</x:v>
      </x:c>
      <x:c r="J26" s="36" t="str">
        <x:v>P0</x:v>
      </x:c>
      <x:c r="K26" s="36" t="str">
        <x:v>전체</x:v>
      </x:c>
      <x:c r="L26" s="36" t="str">
        <x:v>부분</x:v>
      </x:c>
      <x:c r="M26" s="36" t="str">
        <x:v>미실시</x:v>
      </x:c>
      <x:c r="N26" s="36" t="str">
        <x:v>미정</x:v>
      </x:c>
      <x:c r="O26" s="36" t="str">
        <x:v>미정</x:v>
      </x:c>
      <x:c r="P26" s="36"/>
      <x:c r="Q26" s="36"/>
      <x:c r="R26" s="44" t="str">
        <x:v>2026-07-10</x:v>
      </x:c>
      <x:c r="S26" s="36"/>
      <x:c r="T26" s="54"/>
      <x:c r="U26" s="54"/>
      <x:c r="V26" s="53" t="str">
        <x:v>착수 전</x:v>
      </x:c>
    </x:row>
    <x:row r="27" ht="42" customHeight="1">
      <x:c r="A27" s="36" t="str">
        <x:v>TC-SET-016-01</x:v>
      </x:c>
      <x:c r="B27" s="36" t="str">
        <x:v>SET-016</x:v>
      </x:c>
      <x:c r="C27" s="36" t="str">
        <x:v>게임 설정·접근성</x:v>
      </x:c>
      <x:c r="D27" s="36" t="str">
        <x:v>정상 시나리오: 자유 입력·자유 그리기·프리셋 제한</x:v>
      </x:c>
      <x:c r="E27" s="36" t="str">
        <x:v>MVP에서는 자유 입력과 자유 그리기를 빌드 또는 기능 플래그로 비활성화한다. 향후 활성화 시 글자 수, 금칙어, 신고, 저장 정책을 필수로 적용한다.</x:v>
      </x:c>
      <x:c r="F27" s="36" t="str">
        <x:v>대상 기능이 포함된 MVP 빌드, 필요한 테스트 계정·룸 설정·로그 접근 권한을 준비한다.</x:v>
      </x:c>
      <x:c r="G27" s="36" t="str">
        <x:v>1. 사전 조건 상태를 구성한다.
2. 표준 설정에서 다음 테스트 대상을 실행한다: 자유 입력·자유 그리기·프리셋 제한.
3. UI, 서버 상태와 로그·텔레메트리를 확인한다.
4. 필요하면 재입장 또는 재실행하여 재현성을 확인한다.</x:v>
      </x:c>
      <x:c r="H27" s="36" t="str">
        <x:v>MVP에서는 자유 입력과 자유 그리기를 빌드 또는 기능 플래그로 비활성화한다. 향후 활성화 시 글자 수, 금칙어, 신고, 저장 정책을 필수로 적용한다.</x:v>
      </x:c>
      <x:c r="I27" s="36" t="str">
        <x:v>보안</x:v>
      </x:c>
      <x:c r="J27" s="36" t="str">
        <x:v>P0</x:v>
      </x:c>
      <x:c r="K27" s="36" t="str">
        <x:v>전체</x:v>
      </x:c>
      <x:c r="L27" s="36" t="str">
        <x:v>부분</x:v>
      </x:c>
      <x:c r="M27" s="36" t="str">
        <x:v>미실시</x:v>
      </x:c>
      <x:c r="N27" s="36" t="str">
        <x:v>미정</x:v>
      </x:c>
      <x:c r="O27" s="36" t="str">
        <x:v>미정</x:v>
      </x:c>
      <x:c r="P27" s="36"/>
      <x:c r="Q27" s="36"/>
      <x:c r="R27" s="44" t="str">
        <x:v>2026-07-10</x:v>
      </x:c>
      <x:c r="S27" s="36"/>
      <x:c r="T27" s="54"/>
      <x:c r="U27" s="54"/>
      <x:c r="V27" s="53" t="str">
        <x:v>착수 전</x:v>
      </x:c>
    </x:row>
    <x:row r="28" ht="42" customHeight="1">
      <x:c r="A28" s="36" t="str">
        <x:v>TC-SET-016-02</x:v>
      </x:c>
      <x:c r="B28" s="36" t="str">
        <x:v>SET-016</x:v>
      </x:c>
      <x:c r="C28" s="36" t="str">
        <x:v>게임 설정·접근성</x:v>
      </x:c>
      <x:c r="D28" s="36" t="str">
        <x:v>예외·경계 시나리오: 자유 입력·자유 그리기·프리셋 제한</x:v>
      </x:c>
      <x:c r="E28" s="36" t="str">
        <x:v>허용되지 않은 상태, 잘못된 값, 중복, 만료, 권한 부족, 연결 끊김 입력으로 데이터 손상·정보 유출·클라이언트 상태 분기가 발생하지 않는지 확인한다.</x:v>
      </x:c>
      <x:c r="F28" s="36" t="str">
        <x:v>대상 기능이 포함된 MVP 빌드와 디버그 입력, 네트워크 열화, 비정상 요청 재현 수단을 준비한다.</x:v>
      </x:c>
      <x:c r="G28" s="36" t="str">
        <x:v>1. 허용되지 않은 페이즈 또는 경계값 조건을 구성한다.
2. 자유 입력·자유 그리기·프리셋 제한에 대해 중복·무효·지연·연결 끊김을 포함한 요청을 전송한다.
3. 서버 거부, 롤백, 오류 표시와 감사 로그를 확인한다.
4. 모든 클라이언트의 상태가 일치하는지 확인한다.</x:v>
      </x:c>
      <x:c r="H28" s="36" t="str">
        <x:v>요청은 사양에 따라 거부되거나 안전하게 복구되며, 중복 반영, 데이터 손실, 정보 유출 또는 진행 중단이 발생하지 않는다. 오류와 상관관계 ID가 기록된다.</x:v>
      </x:c>
      <x:c r="I28" s="36" t="str">
        <x:v>보안</x:v>
      </x:c>
      <x:c r="J28" s="36" t="str">
        <x:v>P0</x:v>
      </x:c>
      <x:c r="K28" s="36" t="str">
        <x:v>전체</x:v>
      </x:c>
      <x:c r="L28" s="36" t="str">
        <x:v>부분</x:v>
      </x:c>
      <x:c r="M28" s="36" t="str">
        <x:v>미실시</x:v>
      </x:c>
      <x:c r="N28" s="36" t="str">
        <x:v>미정</x:v>
      </x:c>
      <x:c r="O28" s="36" t="str">
        <x:v>미정</x:v>
      </x:c>
      <x:c r="P28" s="36"/>
      <x:c r="Q28" s="36"/>
      <x:c r="R28" s="44" t="str">
        <x:v>2026-07-10</x:v>
      </x:c>
      <x:c r="S28" s="36"/>
      <x:c r="T28" s="54"/>
      <x:c r="U28" s="54"/>
      <x:c r="V28" s="53" t="str">
        <x:v>착수 전</x:v>
      </x:c>
    </x:row>
    <x:row r="29" ht="42" customHeight="1">
      <x:c r="A29" s="36" t="str">
        <x:v>TC-SET-017-01</x:v>
      </x:c>
      <x:c r="B29" s="36" t="str">
        <x:v>SET-017</x:v>
      </x:c>
      <x:c r="C29" s="36" t="str">
        <x:v>게임 설정·접근성</x:v>
      </x:c>
      <x:c r="D29" s="36" t="str">
        <x:v>정상 시나리오: 사진 메모·메모 전달 기능 켜기·끄기</x:v>
      </x:c>
      <x:c r="E29" s="36" t="str">
        <x:v>미구현 빌드에서는 설정 항목을 표시하지 않고 지원 빌드에서 활성화한 경우에만 필요한 UI, 서버 기능, 설명을 함께 활성화한다.</x:v>
      </x:c>
      <x:c r="F29" s="36" t="str">
        <x:v>대상 기능이 포함된 출시 후 빌드, 필요한 테스트 계정·룸 설정·로그 접근 권한을 준비한다.</x:v>
      </x:c>
      <x:c r="G29" s="36" t="str">
        <x:v>1. 사전 조건 상태를 구성한다.
2. 표준 설정에서 다음 테스트 대상을 실행한다: 사진 메모·메모 전달 기능 켜기·끄기.
3. UI, 서버 상태와 로그·텔레메트리를 확인한다.
4. 필요하면 재입장 또는 재실행하여 재현성을 확인한다.</x:v>
      </x:c>
      <x:c r="H29" s="36" t="str">
        <x:v>미구현 빌드에서는 설정 항목을 표시하지 않고 지원 빌드에서 활성화한 경우에만 필요한 UI, 서버 기능, 설명을 함께 활성화한다.</x:v>
      </x:c>
      <x:c r="I29" s="36" t="str">
        <x:v>호환성</x:v>
      </x:c>
      <x:c r="J29" s="36" t="str">
        <x:v>P2</x:v>
      </x:c>
      <x:c r="K29" s="36" t="str">
        <x:v>전체</x:v>
      </x:c>
      <x:c r="L29" s="36" t="str">
        <x:v>부분</x:v>
      </x:c>
      <x:c r="M29" s="36" t="str">
        <x:v>미실시</x:v>
      </x:c>
      <x:c r="N29" s="36" t="str">
        <x:v>미정</x:v>
      </x:c>
      <x:c r="O29" s="36" t="str">
        <x:v>미정</x:v>
      </x:c>
      <x:c r="P29" s="36"/>
      <x:c r="Q29" s="36"/>
      <x:c r="R29" s="44" t="str">
        <x:v>2026-07-10</x:v>
      </x:c>
      <x:c r="S29" s="36"/>
      <x:c r="T29" s="54"/>
      <x:c r="U29" s="54"/>
      <x:c r="V29" s="53" t="str">
        <x:v>착수 전</x:v>
      </x:c>
    </x:row>
    <x:row r="30" ht="42" customHeight="1">
      <x:c r="A30" s="36" t="str">
        <x:v>TC-SET-018-01</x:v>
      </x:c>
      <x:c r="B30" s="36" t="str">
        <x:v>SET-018</x:v>
      </x:c>
      <x:c r="C30" s="36" t="str">
        <x:v>게임 설정·접근성</x:v>
      </x:c>
      <x:c r="D30" s="36" t="str">
        <x:v>정상 시나리오: 복수 마피아·고독한 마피아·조수 설정</x:v>
      </x:c>
      <x:c r="E30" s="36" t="str">
        <x:v>인원 조건을 충족할 때만 표시·선택할 수 있고 조수 규칙 활성화 시 마피아 추방 즉시 승리 무효화 등 파생 규칙을 요약 표시한다.</x:v>
      </x:c>
      <x:c r="F30" s="36" t="str">
        <x:v>대상 기능이 포함된 출시 후 빌드, 필요한 테스트 계정·룸 설정·로그 접근 권한을 준비한다.</x:v>
      </x:c>
      <x:c r="G30" s="36" t="str">
        <x:v>1. 사전 조건 상태를 구성한다.
2. 표준 설정에서 다음 테스트 대상을 실행한다: 복수 마피아·고독한 마피아·조수 설정.
3. UI, 서버 상태와 로그·텔레메트리를 확인한다.
4. 필요하면 재입장 또는 재실행하여 재현성을 확인한다.</x:v>
      </x:c>
      <x:c r="H30" s="36" t="str">
        <x:v>인원 조건을 충족할 때만 표시·선택할 수 있고 조수 규칙 활성화 시 마피아 추방 즉시 승리 무효화 등 파생 규칙을 요약 표시한다.</x:v>
      </x:c>
      <x:c r="I30" s="36" t="str">
        <x:v>경계값</x:v>
      </x:c>
      <x:c r="J30" s="36" t="str">
        <x:v>P3</x:v>
      </x:c>
      <x:c r="K30" s="36" t="str">
        <x:v>전체</x:v>
      </x:c>
      <x:c r="L30" s="36" t="str">
        <x:v>부분</x:v>
      </x:c>
      <x:c r="M30" s="36" t="str">
        <x:v>미실시</x:v>
      </x:c>
      <x:c r="N30" s="36" t="str">
        <x:v>미정</x:v>
      </x:c>
      <x:c r="O30" s="36" t="str">
        <x:v>미정</x:v>
      </x:c>
      <x:c r="P30" s="36"/>
      <x:c r="Q30" s="36"/>
      <x:c r="R30" s="44" t="str">
        <x:v>2026-07-10</x:v>
      </x:c>
      <x:c r="S30" s="36"/>
      <x:c r="T30" s="54"/>
      <x:c r="U30" s="54"/>
      <x:c r="V30" s="53" t="str">
        <x:v>착수 전</x:v>
      </x:c>
    </x:row>
    <x:row r="31" ht="42" customHeight="1">
      <x:c r="A31" s="36" t="str">
        <x:v>TC-SET-019-01</x:v>
      </x:c>
      <x:c r="B31" s="36" t="str">
        <x:v>SET-019</x:v>
      </x:c>
      <x:c r="C31" s="36" t="str">
        <x:v>게임 설정·접근성</x:v>
      </x:c>
      <x:c r="D31" s="36" t="str">
        <x:v>정상 시나리오: 호스트 권한·매치 시작 후 설정 잠금</x:v>
      </x:c>
      <x:c r="E31" s="36" t="str">
        <x:v>룸 설정은 호스트 또는 권한 보유자만 변경할 수 있고 시작 준비 이후와 매치 진행 중에는 서버가 변경 요청을 거부한다.</x:v>
      </x:c>
      <x:c r="F31" s="36" t="str">
        <x:v>대상 기능이 포함된 MVP 빌드, 필요한 테스트 계정·룸 설정·로그 접근 권한을 준비한다.</x:v>
      </x:c>
      <x:c r="G31" s="36" t="str">
        <x:v>1. 사전 조건 상태를 구성한다.
2. 표준 설정에서 다음 테스트 대상을 실행한다: 호스트 권한·매치 시작 후 설정 잠금.
3. UI, 서버 상태와 로그·텔레메트리를 확인한다.
4. 필요하면 재입장 또는 재실행하여 재현성을 확인한다.</x:v>
      </x:c>
      <x:c r="H31" s="36" t="str">
        <x:v>룸 설정은 호스트 또는 권한 보유자만 변경할 수 있고 시작 준비 이후와 매치 진행 중에는 서버가 변경 요청을 거부한다.</x:v>
      </x:c>
      <x:c r="I31" s="36" t="str">
        <x:v>보안</x:v>
      </x:c>
      <x:c r="J31" s="36" t="str">
        <x:v>P0</x:v>
      </x:c>
      <x:c r="K31" s="36" t="str">
        <x:v>전체</x:v>
      </x:c>
      <x:c r="L31" s="36" t="str">
        <x:v>예</x:v>
      </x:c>
      <x:c r="M31" s="36" t="str">
        <x:v>미실시</x:v>
      </x:c>
      <x:c r="N31" s="36" t="str">
        <x:v>미정</x:v>
      </x:c>
      <x:c r="O31" s="36" t="str">
        <x:v>미정</x:v>
      </x:c>
      <x:c r="P31" s="36"/>
      <x:c r="Q31" s="36"/>
      <x:c r="R31" s="44" t="str">
        <x:v>2026-07-10</x:v>
      </x:c>
      <x:c r="S31" s="36"/>
      <x:c r="T31" s="54"/>
      <x:c r="U31" s="54"/>
      <x:c r="V31" s="53" t="str">
        <x:v>착수 전</x:v>
      </x:c>
    </x:row>
    <x:row r="32" ht="42" customHeight="1">
      <x:c r="A32" s="36" t="str">
        <x:v>TC-SET-019-02</x:v>
      </x:c>
      <x:c r="B32" s="36" t="str">
        <x:v>SET-019</x:v>
      </x:c>
      <x:c r="C32" s="36" t="str">
        <x:v>게임 설정·접근성</x:v>
      </x:c>
      <x:c r="D32" s="36" t="str">
        <x:v>예외·경계 시나리오: 호스트 권한·매치 시작 후 설정 잠금</x:v>
      </x:c>
      <x:c r="E32" s="36" t="str">
        <x:v>허용되지 않은 상태, 잘못된 값, 중복, 만료, 권한 부족, 연결 끊김 입력으로 데이터 손상·정보 유출·클라이언트 상태 분기가 발생하지 않는지 확인한다.</x:v>
      </x:c>
      <x:c r="F32" s="36" t="str">
        <x:v>대상 기능이 포함된 MVP 빌드와 디버그 입력, 네트워크 열화, 비정상 요청 재현 수단을 준비한다.</x:v>
      </x:c>
      <x:c r="G32" s="36" t="str">
        <x:v>1. 허용되지 않은 페이즈 또는 경계값 조건을 구성한다.
2. 호스트 권한·매치 시작 후 설정 잠금에 대해 중복·무효·지연·연결 끊김을 포함한 요청을 전송한다.
3. 서버 거부, 롤백, 오류 표시와 감사 로그를 확인한다.
4. 모든 클라이언트의 상태가 일치하는지 확인한다.</x:v>
      </x:c>
      <x:c r="H32" s="36" t="str">
        <x:v>요청은 사양에 따라 거부되거나 안전하게 복구되며, 중복 반영, 데이터 손실, 정보 유출 또는 진행 중단이 발생하지 않는다. 오류와 상관관계 ID가 기록된다.</x:v>
      </x:c>
      <x:c r="I32" s="36" t="str">
        <x:v>보안</x:v>
      </x:c>
      <x:c r="J32" s="36" t="str">
        <x:v>P0</x:v>
      </x:c>
      <x:c r="K32" s="36" t="str">
        <x:v>전체</x:v>
      </x:c>
      <x:c r="L32" s="36" t="str">
        <x:v>예</x:v>
      </x:c>
      <x:c r="M32" s="36" t="str">
        <x:v>미실시</x:v>
      </x:c>
      <x:c r="N32" s="36" t="str">
        <x:v>미정</x:v>
      </x:c>
      <x:c r="O32" s="36" t="str">
        <x:v>미정</x:v>
      </x:c>
      <x:c r="P32" s="36"/>
      <x:c r="Q32" s="36"/>
      <x:c r="R32" s="44" t="str">
        <x:v>2026-07-10</x:v>
      </x:c>
      <x:c r="S32" s="36"/>
      <x:c r="T32" s="54"/>
      <x:c r="U32" s="54"/>
      <x:c r="V32" s="53" t="str">
        <x:v>착수 전</x:v>
      </x:c>
    </x:row>
    <x:row r="33" ht="42" customHeight="1">
      <x:c r="A33" s="36" t="str">
        <x:v>TC-SET-020-01</x:v>
      </x:c>
      <x:c r="B33" s="36" t="str">
        <x:v>SET-020</x:v>
      </x:c>
      <x:c r="C33" s="36" t="str">
        <x:v>게임 설정·접근성</x:v>
      </x:c>
      <x:c r="D33" s="36" t="str">
        <x:v>정상 시나리오: 설정 조합 검증·호환성 확인</x:v>
      </x:c>
      <x:c r="E33" s="36" t="str">
        <x:v>인원, 역할, 시간, 최종 재판, 확장 기능의 모순을 룸 생성, 설정 변경, 매치 시작의 세 단계에서 검증하고 오류 키를 반환한다.</x:v>
      </x:c>
      <x:c r="F33" s="36" t="str">
        <x:v>대상 기능이 포함된 MVP 빌드, 필요한 테스트 계정·룸 설정·로그 접근 권한을 준비한다.</x:v>
      </x:c>
      <x:c r="G33" s="36" t="str">
        <x:v>1. 사전 조건 상태를 구성한다.
2. 표준 설정에서 다음 테스트 대상을 실행한다: 설정 조합 검증·호환성 확인.
3. UI, 서버 상태와 로그·텔레메트리를 확인한다.
4. 필요하면 재입장 또는 재실행하여 재현성을 확인한다.</x:v>
      </x:c>
      <x:c r="H33" s="36" t="str">
        <x:v>인원, 역할, 시간, 최종 재판, 확장 기능의 모순을 룸 생성, 설정 변경, 매치 시작의 세 단계에서 검증하고 오류 키를 반환한다.</x:v>
      </x:c>
      <x:c r="I33" s="36" t="str">
        <x:v>경계값</x:v>
      </x:c>
      <x:c r="J33" s="36" t="str">
        <x:v>P0</x:v>
      </x:c>
      <x:c r="K33" s="36" t="str">
        <x:v>전체</x:v>
      </x:c>
      <x:c r="L33" s="36" t="str">
        <x:v>예</x:v>
      </x:c>
      <x:c r="M33" s="36" t="str">
        <x:v>미실시</x:v>
      </x:c>
      <x:c r="N33" s="36" t="str">
        <x:v>미정</x:v>
      </x:c>
      <x:c r="O33" s="36" t="str">
        <x:v>미정</x:v>
      </x:c>
      <x:c r="P33" s="36"/>
      <x:c r="Q33" s="36"/>
      <x:c r="R33" s="44" t="str">
        <x:v>2026-07-10</x:v>
      </x:c>
      <x:c r="S33" s="36"/>
      <x:c r="T33" s="54"/>
      <x:c r="U33" s="54"/>
      <x:c r="V33" s="53" t="str">
        <x:v>착수 전</x:v>
      </x:c>
    </x:row>
    <x:row r="34" ht="42" customHeight="1">
      <x:c r="A34" s="36" t="str">
        <x:v>TC-SET-020-02</x:v>
      </x:c>
      <x:c r="B34" s="36" t="str">
        <x:v>SET-020</x:v>
      </x:c>
      <x:c r="C34" s="36" t="str">
        <x:v>게임 설정·접근성</x:v>
      </x:c>
      <x:c r="D34" s="36" t="str">
        <x:v>예외·경계 시나리오: 설정 조합 검증·호환성 확인</x:v>
      </x:c>
      <x:c r="E34" s="36" t="str">
        <x:v>허용되지 않은 상태, 잘못된 값, 중복, 만료, 권한 부족, 연결 끊김 입력으로 데이터 손상·정보 유출·클라이언트 상태 분기가 발생하지 않는지 확인한다.</x:v>
      </x:c>
      <x:c r="F34" s="36" t="str">
        <x:v>대상 기능이 포함된 MVP 빌드와 디버그 입력, 네트워크 열화, 비정상 요청 재현 수단을 준비한다.</x:v>
      </x:c>
      <x:c r="G34" s="36" t="str">
        <x:v>1. 허용되지 않은 페이즈 또는 경계값 조건을 구성한다.
2. 설정 조합 검증·호환성 확인에 대해 중복·무효·지연·연결 끊김을 포함한 요청을 전송한다.
3. 서버 거부, 롤백, 오류 표시와 감사 로그를 확인한다.
4. 모든 클라이언트의 상태가 일치하는지 확인한다.</x:v>
      </x:c>
      <x:c r="H34" s="36" t="str">
        <x:v>요청은 사양에 따라 거부되거나 안전하게 복구되며, 중복 반영, 데이터 손실, 정보 유출 또는 진행 중단이 발생하지 않는다. 오류와 상관관계 ID가 기록된다.</x:v>
      </x:c>
      <x:c r="I34" s="36" t="str">
        <x:v>경계값</x:v>
      </x:c>
      <x:c r="J34" s="36" t="str">
        <x:v>P0</x:v>
      </x:c>
      <x:c r="K34" s="36" t="str">
        <x:v>전체</x:v>
      </x:c>
      <x:c r="L34" s="36" t="str">
        <x:v>예</x:v>
      </x:c>
      <x:c r="M34" s="36" t="str">
        <x:v>미실시</x:v>
      </x:c>
      <x:c r="N34" s="36" t="str">
        <x:v>미정</x:v>
      </x:c>
      <x:c r="O34" s="36" t="str">
        <x:v>미정</x:v>
      </x:c>
      <x:c r="P34" s="36"/>
      <x:c r="Q34" s="36"/>
      <x:c r="R34" s="44" t="str">
        <x:v>2026-07-10</x:v>
      </x:c>
      <x:c r="S34" s="36"/>
      <x:c r="T34" s="54"/>
      <x:c r="U34" s="54"/>
      <x:c r="V34" s="53" t="str">
        <x:v>착수 전</x:v>
      </x:c>
    </x:row>
    <x:row r="35" ht="42" customHeight="1">
      <x:c r="A35" s="36" t="str">
        <x:v>TC-SET-021-01</x:v>
      </x:c>
      <x:c r="B35" s="36" t="str">
        <x:v>SET-021</x:v>
      </x:c>
      <x:c r="C35" s="36" t="str">
        <x:v>게임 설정·접근성</x:v>
      </x:c>
      <x:c r="D35" s="36" t="str">
        <x:v>정상 시나리오: 확정 룸 설정 전체 동기화</x:v>
      </x:c>
      <x:c r="E35" s="36" t="str">
        <x:v>서버가 승인한 설정값과 설정 버전을 모든 참가자에게 동기화하고 차분 갱신, 재접속, 중도 참가 시에도 동일한 값을 유지한다.</x:v>
      </x:c>
      <x:c r="F35" s="36" t="str">
        <x:v>대상 기능이 포함된 MVP 빌드, 필요한 테스트 계정·룸 설정·로그 접근 권한을 준비한다.</x:v>
      </x:c>
      <x:c r="G35" s="36" t="str">
        <x:v>1. 사전 조건 상태를 구성한다.
2. 표준 설정에서 다음 테스트 대상을 실행한다: 확정 룸 설정 전체 동기화.
3. UI, 서버 상태와 로그·텔레메트리를 확인한다.
4. 필요하면 재입장 또는 재실행하여 재현성을 확인한다.</x:v>
      </x:c>
      <x:c r="H35" s="36" t="str">
        <x:v>서버가 승인한 설정값과 설정 버전을 모든 참가자에게 동기화하고 차분 갱신, 재접속, 중도 참가 시에도 동일한 값을 유지한다.</x:v>
      </x:c>
      <x:c r="I35" s="36" t="str">
        <x:v>네트워크</x:v>
      </x:c>
      <x:c r="J35" s="36" t="str">
        <x:v>P0</x:v>
      </x:c>
      <x:c r="K35" s="36" t="str">
        <x:v>전체</x:v>
      </x:c>
      <x:c r="L35" s="36" t="str">
        <x:v>예</x:v>
      </x:c>
      <x:c r="M35" s="36" t="str">
        <x:v>미실시</x:v>
      </x:c>
      <x:c r="N35" s="36" t="str">
        <x:v>미정</x:v>
      </x:c>
      <x:c r="O35" s="36" t="str">
        <x:v>미정</x:v>
      </x:c>
      <x:c r="P35" s="36"/>
      <x:c r="Q35" s="36"/>
      <x:c r="R35" s="44" t="str">
        <x:v>2026-07-10</x:v>
      </x:c>
      <x:c r="S35" s="36"/>
      <x:c r="T35" s="54"/>
      <x:c r="U35" s="54"/>
      <x:c r="V35" s="53" t="str">
        <x:v>착수 전</x:v>
      </x:c>
    </x:row>
    <x:row r="36" ht="42" customHeight="1">
      <x:c r="A36" s="36" t="str">
        <x:v>TC-SET-021-02</x:v>
      </x:c>
      <x:c r="B36" s="36" t="str">
        <x:v>SET-021</x:v>
      </x:c>
      <x:c r="C36" s="36" t="str">
        <x:v>게임 설정·접근성</x:v>
      </x:c>
      <x:c r="D36" s="36" t="str">
        <x:v>예외·경계 시나리오: 확정 룸 설정 전체 동기화</x:v>
      </x:c>
      <x:c r="E36" s="36" t="str">
        <x:v>허용되지 않은 상태, 잘못된 값, 중복, 만료, 권한 부족, 연결 끊김 입력으로 데이터 손상·정보 유출·클라이언트 상태 분기가 발생하지 않는지 확인한다.</x:v>
      </x:c>
      <x:c r="F36" s="36" t="str">
        <x:v>대상 기능이 포함된 MVP 빌드와 디버그 입력, 네트워크 열화, 비정상 요청 재현 수단을 준비한다.</x:v>
      </x:c>
      <x:c r="G36" s="36" t="str">
        <x:v>1. 허용되지 않은 페이즈 또는 경계값 조건을 구성한다.
2. 확정 룸 설정 전체 동기화에 대해 중복·무효·지연·연결 끊김을 포함한 요청을 전송한다.
3. 서버 거부, 롤백, 오류 표시와 감사 로그를 확인한다.
4. 모든 클라이언트의 상태가 일치하는지 확인한다.</x:v>
      </x:c>
      <x:c r="H36" s="36" t="str">
        <x:v>요청은 사양에 따라 거부되거나 안전하게 복구되며, 중복 반영, 데이터 손실, 정보 유출 또는 진행 중단이 발생하지 않는다. 오류와 상관관계 ID가 기록된다.</x:v>
      </x:c>
      <x:c r="I36" s="36" t="str">
        <x:v>네트워크</x:v>
      </x:c>
      <x:c r="J36" s="36" t="str">
        <x:v>P0</x:v>
      </x:c>
      <x:c r="K36" s="36" t="str">
        <x:v>전체</x:v>
      </x:c>
      <x:c r="L36" s="36" t="str">
        <x:v>예</x:v>
      </x:c>
      <x:c r="M36" s="36" t="str">
        <x:v>미실시</x:v>
      </x:c>
      <x:c r="N36" s="36" t="str">
        <x:v>미정</x:v>
      </x:c>
      <x:c r="O36" s="36" t="str">
        <x:v>미정</x:v>
      </x:c>
      <x:c r="P36" s="36"/>
      <x:c r="Q36" s="36"/>
      <x:c r="R36" s="44" t="str">
        <x:v>2026-07-10</x:v>
      </x:c>
      <x:c r="S36" s="36"/>
      <x:c r="T36" s="54"/>
      <x:c r="U36" s="54"/>
      <x:c r="V36" s="53" t="str">
        <x:v>착수 전</x:v>
      </x:c>
    </x:row>
    <x:row r="37" ht="42" customHeight="1">
      <x:c r="A37" s="36" t="str">
        <x:v>TC-SET-022-01</x:v>
      </x:c>
      <x:c r="B37" s="36" t="str">
        <x:v>SET-022</x:v>
      </x:c>
      <x:c r="C37" s="36" t="str">
        <x:v>게임 설정·접근성</x:v>
      </x:c>
      <x:c r="D37" s="36" t="str">
        <x:v>정상 시나리오: 사용자 정의 룸 설정 저장·불러오기</x:v>
      </x:c>
      <x:c r="E37" s="36" t="str">
        <x:v>호스트가 이름 있는 템플릿을 저장, 복제, 삭제할 수 있고 지원하지 않는 키를 포함한 이전 템플릿은 경고 후 마이그레이션한다.</x:v>
      </x:c>
      <x:c r="F37" s="36" t="str">
        <x:v>대상 기능이 포함된 베타 빌드, 필요한 테스트 계정·룸 설정·로그 접근 권한을 준비한다.</x:v>
      </x:c>
      <x:c r="G37" s="36" t="str">
        <x:v>1. 사전 조건 상태를 구성한다.
2. 표준 설정에서 다음 테스트 대상을 실행한다: 사용자 정의 룸 설정 저장·불러오기.
3. UI, 서버 상태와 로그·텔레메트리를 확인한다.
4. 필요하면 재입장 또는 재실행하여 재현성을 확인한다.</x:v>
      </x:c>
      <x:c r="H37" s="36" t="str">
        <x:v>호스트가 이름 있는 템플릿을 저장, 복제, 삭제할 수 있고 지원하지 않는 키를 포함한 이전 템플릿은 경고 후 마이그레이션한다.</x:v>
      </x:c>
      <x:c r="I37" s="36" t="str">
        <x:v>호환성</x:v>
      </x:c>
      <x:c r="J37" s="36" t="str">
        <x:v>P2</x:v>
      </x:c>
      <x:c r="K37" s="36" t="str">
        <x:v>전체</x:v>
      </x:c>
      <x:c r="L37" s="36" t="str">
        <x:v>부분</x:v>
      </x:c>
      <x:c r="M37" s="36" t="str">
        <x:v>미실시</x:v>
      </x:c>
      <x:c r="N37" s="36" t="str">
        <x:v>미정</x:v>
      </x:c>
      <x:c r="O37" s="36" t="str">
        <x:v>미정</x:v>
      </x:c>
      <x:c r="P37" s="36"/>
      <x:c r="Q37" s="36"/>
      <x:c r="R37" s="44" t="str">
        <x:v>2026-07-10</x:v>
      </x:c>
      <x:c r="S37" s="36"/>
      <x:c r="T37" s="54"/>
      <x:c r="U37" s="54"/>
      <x:c r="V37" s="53" t="str">
        <x:v>착수 전</x:v>
      </x:c>
    </x:row>
    <x:row r="38" ht="42" customHeight="1">
      <x:c r="A38" s="36" t="str">
        <x:v>TC-SET-023-01</x:v>
      </x:c>
      <x:c r="B38" s="36" t="str">
        <x:v>SET-023</x:v>
      </x:c>
      <x:c r="C38" s="36" t="str">
        <x:v>게임 설정·접근성</x:v>
      </x:c>
      <x:c r="D38" s="36" t="str">
        <x:v>정상 시나리오: 자막·텍스트 크기·읽기 보조</x:v>
      </x:c>
      <x:c r="E38" s="36" t="str">
        <x:v>시스템 사운드 자막, UI 텍스트 배율, 배경 불투명도, 길게 누르기 대체 입력을 설정할 수 있고 주요 화면에서 잘림과 겹침이 없다.</x:v>
      </x:c>
      <x:c r="F38" s="36" t="str">
        <x:v>대상 기능이 포함된 베타 빌드, 필요한 테스트 계정·룸 설정·로그 접근 권한을 준비한다.</x:v>
      </x:c>
      <x:c r="G38" s="36" t="str">
        <x:v>1. 사전 조건 상태를 구성한다.
2. 표준 설정에서 다음 테스트 대상을 실행한다: 자막·텍스트 크기·읽기 보조.
3. UI, 서버 상태와 로그·텔레메트리를 확인한다.
4. 필요하면 재입장 또는 재실행하여 재현성을 확인한다.</x:v>
      </x:c>
      <x:c r="H38" s="36" t="str">
        <x:v>시스템 사운드 자막, UI 텍스트 배율, 배경 불투명도, 길게 누르기 대체 입력을 설정할 수 있고 주요 화면에서 잘림과 겹침이 없다.</x:v>
      </x:c>
      <x:c r="I38" s="36" t="str">
        <x:v>접근성</x:v>
      </x:c>
      <x:c r="J38" s="36" t="str">
        <x:v>P0</x:v>
      </x:c>
      <x:c r="K38" s="36" t="str">
        <x:v>전체</x:v>
      </x:c>
      <x:c r="L38" s="36" t="str">
        <x:v>부분</x:v>
      </x:c>
      <x:c r="M38" s="36" t="str">
        <x:v>미실시</x:v>
      </x:c>
      <x:c r="N38" s="36" t="str">
        <x:v>미정</x:v>
      </x:c>
      <x:c r="O38" s="36" t="str">
        <x:v>미정</x:v>
      </x:c>
      <x:c r="P38" s="36"/>
      <x:c r="Q38" s="36"/>
      <x:c r="R38" s="44" t="str">
        <x:v>2026-07-10</x:v>
      </x:c>
      <x:c r="S38" s="36"/>
      <x:c r="T38" s="54"/>
      <x:c r="U38" s="54"/>
      <x:c r="V38" s="53" t="str">
        <x:v>착수 전</x:v>
      </x:c>
    </x:row>
    <x:row r="39" ht="42" customHeight="1">
      <x:c r="A39" s="36" t="str">
        <x:v>TC-SET-023-02</x:v>
      </x:c>
      <x:c r="B39" s="36" t="str">
        <x:v>SET-023</x:v>
      </x:c>
      <x:c r="C39" s="36" t="str">
        <x:v>게임 설정·접근성</x:v>
      </x:c>
      <x:c r="D39" s="36" t="str">
        <x:v>예외·경계 시나리오: 자막·텍스트 크기·읽기 보조</x:v>
      </x:c>
      <x:c r="E39" s="36" t="str">
        <x:v>허용되지 않은 상태, 잘못된 값, 중복, 만료, 권한 부족, 연결 끊김 입력으로 데이터 손상·정보 유출·클라이언트 상태 분기가 발생하지 않는지 확인한다.</x:v>
      </x:c>
      <x:c r="F39" s="36" t="str">
        <x:v>대상 기능이 포함된 베타 빌드와 디버그 입력, 네트워크 열화, 비정상 요청 재현 수단을 준비한다.</x:v>
      </x:c>
      <x:c r="G39" s="36" t="str">
        <x:v>1. 허용되지 않은 페이즈 또는 경계값 조건을 구성한다.
2. 자막·텍스트 크기·읽기 보조에 대해 중복·무효·지연·연결 끊김을 포함한 요청을 전송한다.
3. 서버 거부, 롤백, 오류 표시와 감사 로그를 확인한다.
4. 모든 클라이언트의 상태가 일치하는지 확인한다.</x:v>
      </x:c>
      <x:c r="H39" s="36" t="str">
        <x:v>요청은 사양에 따라 거부되거나 안전하게 복구되며, 중복 반영, 데이터 손실, 정보 유출 또는 진행 중단이 발생하지 않는다. 오류와 상관관계 ID가 기록된다.</x:v>
      </x:c>
      <x:c r="I39" s="36" t="str">
        <x:v>접근성</x:v>
      </x:c>
      <x:c r="J39" s="36" t="str">
        <x:v>P0</x:v>
      </x:c>
      <x:c r="K39" s="36" t="str">
        <x:v>전체</x:v>
      </x:c>
      <x:c r="L39" s="36" t="str">
        <x:v>부분</x:v>
      </x:c>
      <x:c r="M39" s="36" t="str">
        <x:v>미실시</x:v>
      </x:c>
      <x:c r="N39" s="36" t="str">
        <x:v>미정</x:v>
      </x:c>
      <x:c r="O39" s="36" t="str">
        <x:v>미정</x:v>
      </x:c>
      <x:c r="P39" s="36"/>
      <x:c r="Q39" s="36"/>
      <x:c r="R39" s="44" t="str">
        <x:v>2026-07-10</x:v>
      </x:c>
      <x:c r="S39" s="36"/>
      <x:c r="T39" s="54"/>
      <x:c r="U39" s="54"/>
      <x:c r="V39" s="53" t="str">
        <x:v>착수 전</x:v>
      </x:c>
    </x:row>
    <x:row r="40" ht="42" customHeight="1">
      <x:c r="A40" s="36" t="str">
        <x:v>TC-SET-024-01</x:v>
      </x:c>
      <x:c r="B40" s="36" t="str">
        <x:v>SET-024</x:v>
      </x:c>
      <x:c r="C40" s="36" t="str">
        <x:v>게임 설정·접근성</x:v>
      </x:c>
      <x:c r="D40" s="36" t="str">
        <x:v>정상 시나리오: 색각 보조 프리셋</x:v>
      </x:c>
      <x:c r="E40" s="36" t="str">
        <x:v>색상명, 패턴, 기호, 대비 보조를 조합한 프리셋을 제공하고 캐릭터 색상, 메모 색상, 투표 UI에 일관되게 적용한다.</x:v>
      </x:c>
      <x:c r="F40" s="36" t="str">
        <x:v>대상 기능이 포함된 베타 빌드, 필요한 테스트 계정·룸 설정·로그 접근 권한을 준비한다.</x:v>
      </x:c>
      <x:c r="G40" s="36" t="str">
        <x:v>1. 사전 조건 상태를 구성한다.
2. 표준 설정에서 다음 테스트 대상을 실행한다: 색각 보조 프리셋.
3. UI, 서버 상태와 로그·텔레메트리를 확인한다.
4. 필요하면 재입장 또는 재실행하여 재현성을 확인한다.</x:v>
      </x:c>
      <x:c r="H40" s="36" t="str">
        <x:v>색상명, 패턴, 기호, 대비 보조를 조합한 프리셋을 제공하고 캐릭터 색상, 메모 색상, 투표 UI에 일관되게 적용한다.</x:v>
      </x:c>
      <x:c r="I40" s="36" t="str">
        <x:v>접근성</x:v>
      </x:c>
      <x:c r="J40" s="36" t="str">
        <x:v>P0</x:v>
      </x:c>
      <x:c r="K40" s="36" t="str">
        <x:v>전체</x:v>
      </x:c>
      <x:c r="L40" s="36" t="str">
        <x:v>부분</x:v>
      </x:c>
      <x:c r="M40" s="36" t="str">
        <x:v>미실시</x:v>
      </x:c>
      <x:c r="N40" s="36" t="str">
        <x:v>미정</x:v>
      </x:c>
      <x:c r="O40" s="36" t="str">
        <x:v>미정</x:v>
      </x:c>
      <x:c r="P40" s="36"/>
      <x:c r="Q40" s="36"/>
      <x:c r="R40" s="44" t="str">
        <x:v>2026-07-10</x:v>
      </x:c>
      <x:c r="S40" s="36"/>
      <x:c r="T40" s="54"/>
      <x:c r="U40" s="54"/>
      <x:c r="V40" s="53" t="str">
        <x:v>착수 전</x:v>
      </x:c>
    </x:row>
    <x:row r="41" ht="42" customHeight="1">
      <x:c r="A41" s="36" t="str">
        <x:v>TC-SET-024-02</x:v>
      </x:c>
      <x:c r="B41" s="36" t="str">
        <x:v>SET-024</x:v>
      </x:c>
      <x:c r="C41" s="36" t="str">
        <x:v>게임 설정·접근성</x:v>
      </x:c>
      <x:c r="D41" s="36" t="str">
        <x:v>예외·경계 시나리오: 색각 보조 프리셋</x:v>
      </x:c>
      <x:c r="E41" s="36" t="str">
        <x:v>허용되지 않은 상태, 잘못된 값, 중복, 만료, 권한 부족, 연결 끊김 입력으로 데이터 손상·정보 유출·클라이언트 상태 분기가 발생하지 않는지 확인한다.</x:v>
      </x:c>
      <x:c r="F41" s="36" t="str">
        <x:v>대상 기능이 포함된 베타 빌드와 디버그 입력, 네트워크 열화, 비정상 요청 재현 수단을 준비한다.</x:v>
      </x:c>
      <x:c r="G41" s="36" t="str">
        <x:v>1. 허용되지 않은 페이즈 또는 경계값 조건을 구성한다.
2. 색각 보조 프리셋에 대해 중복·무효·지연·연결 끊김을 포함한 요청을 전송한다.
3. 서버 거부, 롤백, 오류 표시와 감사 로그를 확인한다.
4. 모든 클라이언트의 상태가 일치하는지 확인한다.</x:v>
      </x:c>
      <x:c r="H41" s="36" t="str">
        <x:v>요청은 사양에 따라 거부되거나 안전하게 복구되며, 중복 반영, 데이터 손실, 정보 유출 또는 진행 중단이 발생하지 않는다. 오류와 상관관계 ID가 기록된다.</x:v>
      </x:c>
      <x:c r="I41" s="36" t="str">
        <x:v>접근성</x:v>
      </x:c>
      <x:c r="J41" s="36" t="str">
        <x:v>P0</x:v>
      </x:c>
      <x:c r="K41" s="36" t="str">
        <x:v>전체</x:v>
      </x:c>
      <x:c r="L41" s="36" t="str">
        <x:v>부분</x:v>
      </x:c>
      <x:c r="M41" s="36" t="str">
        <x:v>미실시</x:v>
      </x:c>
      <x:c r="N41" s="36" t="str">
        <x:v>미정</x:v>
      </x:c>
      <x:c r="O41" s="36" t="str">
        <x:v>미정</x:v>
      </x:c>
      <x:c r="P41" s="36"/>
      <x:c r="Q41" s="36"/>
      <x:c r="R41" s="44" t="str">
        <x:v>2026-07-10</x:v>
      </x:c>
      <x:c r="S41" s="36"/>
      <x:c r="T41" s="54"/>
      <x:c r="U41" s="54"/>
      <x:c r="V41" s="53" t="str">
        <x:v>착수 전</x:v>
      </x:c>
    </x:row>
    <x:row r="42" ht="42" customHeight="1">
      <x:c r="A42" s="36" t="str">
        <x:v>TC-SET-025-01</x:v>
      </x:c>
      <x:c r="B42" s="36" t="str">
        <x:v>SET-025</x:v>
      </x:c>
      <x:c r="C42" s="36" t="str">
        <x:v>게임 설정·접근성</x:v>
      </x:c>
      <x:c r="D42" s="36" t="str">
        <x:v>정상 시나리오: 화면 흔들림·점멸·카메라 보조 설정</x:v>
      </x:c>
      <x:c r="E42" s="36" t="str">
        <x:v>화면 흔들림, 모션 블러, 점멸, 카메라 속도, 조준점을 조정할 수 있고 LED 표현과 페이즈 연출에 안전한 저자극 모드를 적용한다.</x:v>
      </x:c>
      <x:c r="F42" s="36" t="str">
        <x:v>대상 기능이 포함된 베타 빌드, 필요한 테스트 계정·룸 설정·로그 접근 권한을 준비한다.</x:v>
      </x:c>
      <x:c r="G42" s="36" t="str">
        <x:v>1. 사전 조건 상태를 구성한다.
2. 표준 설정에서 다음 테스트 대상을 실행한다: 화면 흔들림·점멸·카메라 보조 설정.
3. UI, 서버 상태와 로그·텔레메트리를 확인한다.
4. 필요하면 재입장 또는 재실행하여 재현성을 확인한다.</x:v>
      </x:c>
      <x:c r="H42" s="36" t="str">
        <x:v>화면 흔들림, 모션 블러, 점멸, 카메라 속도, 조준점을 조정할 수 있고 LED 표현과 페이즈 연출에 안전한 저자극 모드를 적용한다.</x:v>
      </x:c>
      <x:c r="I42" s="36" t="str">
        <x:v>접근성</x:v>
      </x:c>
      <x:c r="J42" s="36" t="str">
        <x:v>P1</x:v>
      </x:c>
      <x:c r="K42" s="36" t="str">
        <x:v>전체</x:v>
      </x:c>
      <x:c r="L42" s="36" t="str">
        <x:v>부분</x:v>
      </x:c>
      <x:c r="M42" s="36" t="str">
        <x:v>미실시</x:v>
      </x:c>
      <x:c r="N42" s="36" t="str">
        <x:v>미정</x:v>
      </x:c>
      <x:c r="O42" s="36" t="str">
        <x:v>미정</x:v>
      </x:c>
      <x:c r="P42" s="36"/>
      <x:c r="Q42" s="36"/>
      <x:c r="R42" s="44" t="str">
        <x:v>2026-07-10</x:v>
      </x:c>
      <x:c r="S42" s="36"/>
      <x:c r="T42" s="54"/>
      <x:c r="U42" s="54"/>
      <x:c r="V42" s="53" t="str">
        <x:v>착수 전</x:v>
      </x:c>
    </x:row>
    <x:row r="43" ht="42" customHeight="1">
      <x:c r="A43" s="36" t="str">
        <x:v>TC-SET-026-01</x:v>
      </x:c>
      <x:c r="B43" s="36" t="str">
        <x:v>SET-026</x:v>
      </x:c>
      <x:c r="C43" s="36" t="str">
        <x:v>게임 설정·접근성</x:v>
      </x:c>
      <x:c r="D43" s="36" t="str">
        <x:v>정상 시나리오: 텍스트·음성·초대 안전 설정</x:v>
      </x:c>
      <x:c r="E43" s="36" t="str">
        <x:v>음성 채팅, 근거리 텍스트, 친구 초대, 크로스플레이, 사용자 생성 콘텐츠를 연령, 지역, 보호자 설정에 따라 제어한다.</x:v>
      </x:c>
      <x:c r="F43" s="36" t="str">
        <x:v>대상 기능이 포함된 출시 빌드, 필요한 테스트 계정·룸 설정·로그 접근 권한을 준비한다.</x:v>
      </x:c>
      <x:c r="G43" s="36" t="str">
        <x:v>1. 사전 조건 상태를 구성한다.
2. 표준 설정에서 다음 테스트 대상을 실행한다: 텍스트·음성·초대 안전 설정.
3. UI, 서버 상태와 로그·텔레메트리를 확인한다.
4. 필요하면 재입장 또는 재실행하여 재현성을 확인한다.</x:v>
      </x:c>
      <x:c r="H43" s="36" t="str">
        <x:v>음성 채팅, 근거리 텍스트, 친구 초대, 크로스플레이, 사용자 생성 콘텐츠를 연령, 지역, 보호자 설정에 따라 제어한다.</x:v>
      </x:c>
      <x:c r="I43" s="36" t="str">
        <x:v>운영</x:v>
      </x:c>
      <x:c r="J43" s="36" t="str">
        <x:v>P0</x:v>
      </x:c>
      <x:c r="K43" s="36" t="str">
        <x:v>전체</x:v>
      </x:c>
      <x:c r="L43" s="36" t="str">
        <x:v>예</x:v>
      </x:c>
      <x:c r="M43" s="36" t="str">
        <x:v>미실시</x:v>
      </x:c>
      <x:c r="N43" s="36" t="str">
        <x:v>미정</x:v>
      </x:c>
      <x:c r="O43" s="36" t="str">
        <x:v>미정</x:v>
      </x:c>
      <x:c r="P43" s="36"/>
      <x:c r="Q43" s="36"/>
      <x:c r="R43" s="44" t="str">
        <x:v>2026-07-10</x:v>
      </x:c>
      <x:c r="S43" s="36"/>
      <x:c r="T43" s="54"/>
      <x:c r="U43" s="54"/>
      <x:c r="V43" s="53" t="str">
        <x:v>착수 전</x:v>
      </x:c>
    </x:row>
    <x:row r="44" ht="42" customHeight="1">
      <x:c r="A44" s="36" t="str">
        <x:v>TC-SET-026-02</x:v>
      </x:c>
      <x:c r="B44" s="36" t="str">
        <x:v>SET-026</x:v>
      </x:c>
      <x:c r="C44" s="36" t="str">
        <x:v>게임 설정·접근성</x:v>
      </x:c>
      <x:c r="D44" s="36" t="str">
        <x:v>예외·경계 시나리오: 텍스트·음성·초대 안전 설정</x:v>
      </x:c>
      <x:c r="E44" s="36" t="str">
        <x:v>허용되지 않은 상태, 잘못된 값, 중복, 만료, 권한 부족, 연결 끊김 입력으로 데이터 손상·정보 유출·클라이언트 상태 분기가 발생하지 않는지 확인한다.</x:v>
      </x:c>
      <x:c r="F44" s="36" t="str">
        <x:v>대상 기능이 포함된 출시 빌드와 디버그 입력, 네트워크 열화, 비정상 요청 재현 수단을 준비한다.</x:v>
      </x:c>
      <x:c r="G44" s="36" t="str">
        <x:v>1. 허용되지 않은 페이즈 또는 경계값 조건을 구성한다.
2. 텍스트·음성·초대 안전 설정에 대해 중복·무효·지연·연결 끊김을 포함한 요청을 전송한다.
3. 서버 거부, 롤백, 오류 표시와 감사 로그를 확인한다.
4. 모든 클라이언트의 상태가 일치하는지 확인한다.</x:v>
      </x:c>
      <x:c r="H44" s="36" t="str">
        <x:v>요청은 사양에 따라 거부되거나 안전하게 복구되며, 중복 반영, 데이터 손실, 정보 유출 또는 진행 중단이 발생하지 않는다. 오류와 상관관계 ID가 기록된다.</x:v>
      </x:c>
      <x:c r="I44" s="36" t="str">
        <x:v>운영</x:v>
      </x:c>
      <x:c r="J44" s="36" t="str">
        <x:v>P0</x:v>
      </x:c>
      <x:c r="K44" s="36" t="str">
        <x:v>전체</x:v>
      </x:c>
      <x:c r="L44" s="36" t="str">
        <x:v>예</x:v>
      </x:c>
      <x:c r="M44" s="36" t="str">
        <x:v>미실시</x:v>
      </x:c>
      <x:c r="N44" s="36" t="str">
        <x:v>미정</x:v>
      </x:c>
      <x:c r="O44" s="36" t="str">
        <x:v>미정</x:v>
      </x:c>
      <x:c r="P44" s="36"/>
      <x:c r="Q44" s="36"/>
      <x:c r="R44" s="44" t="str">
        <x:v>2026-07-10</x:v>
      </x:c>
      <x:c r="S44" s="36"/>
      <x:c r="T44" s="54"/>
      <x:c r="U44" s="54"/>
      <x:c r="V44" s="53" t="str">
        <x:v>착수 전</x:v>
      </x:c>
    </x:row>
    <x:row r="45" ht="42" customHeight="1">
      <x:c r="A45" s="36" t="str">
        <x:v>TC-SET-027-01</x:v>
      </x:c>
      <x:c r="B45" s="36" t="str">
        <x:v>SET-027</x:v>
      </x:c>
      <x:c r="C45" s="36" t="str">
        <x:v>게임 설정·접근성</x:v>
      </x:c>
      <x:c r="D45" s="36" t="str">
        <x:v>정상 시나리오: 네트워크 진단 표시 설정</x:v>
      </x:c>
      <x:c r="E45" s="36" t="str">
        <x:v>선택적으로 핑, 패킷 손실, 지역, 음성 연결 상태를 표시할 수 있고 제품 빌드에서 비공개 서버 정보나 개인 식별자를 노출하지 않는다.</x:v>
      </x:c>
      <x:c r="F45" s="36" t="str">
        <x:v>대상 기능이 포함된 알파 빌드, 필요한 테스트 계정·룸 설정·로그 접근 권한을 준비한다.</x:v>
      </x:c>
      <x:c r="G45" s="36" t="str">
        <x:v>1. 사전 조건 상태를 구성한다.
2. 표준 설정에서 다음 테스트 대상을 실행한다: 네트워크 진단 표시 설정.
3. UI, 서버 상태와 로그·텔레메트리를 확인한다.
4. 필요하면 재입장 또는 재실행하여 재현성을 확인한다.</x:v>
      </x:c>
      <x:c r="H45" s="36" t="str">
        <x:v>선택적으로 핑, 패킷 손실, 지역, 음성 연결 상태를 표시할 수 있고 제품 빌드에서 비공개 서버 정보나 개인 식별자를 노출하지 않는다.</x:v>
      </x:c>
      <x:c r="I45" s="36" t="str">
        <x:v>운영</x:v>
      </x:c>
      <x:c r="J45" s="36" t="str">
        <x:v>P2</x:v>
      </x:c>
      <x:c r="K45" s="36" t="str">
        <x:v>전체</x:v>
      </x:c>
      <x:c r="L45" s="36" t="str">
        <x:v>부분</x:v>
      </x:c>
      <x:c r="M45" s="36" t="str">
        <x:v>미실시</x:v>
      </x:c>
      <x:c r="N45" s="36" t="str">
        <x:v>미정</x:v>
      </x:c>
      <x:c r="O45" s="36" t="str">
        <x:v>미정</x:v>
      </x:c>
      <x:c r="P45" s="36"/>
      <x:c r="Q45" s="36"/>
      <x:c r="R45" s="44" t="str">
        <x:v>2026-07-10</x:v>
      </x:c>
      <x:c r="S45" s="36"/>
      <x:c r="T45" s="54"/>
      <x:c r="U45" s="54"/>
      <x:c r="V45" s="53" t="str">
        <x:v>착수 전</x:v>
      </x:c>
    </x:row>
    <x:row r="46" ht="42" customHeight="1">
      <x:c r="A46" s="36" t="str">
        <x:v>TC-SET-028-01</x:v>
      </x:c>
      <x:c r="B46" s="36" t="str">
        <x:v>SET-028</x:v>
      </x:c>
      <x:c r="C46" s="36" t="str">
        <x:v>게임 설정·접근성</x:v>
      </x:c>
      <x:c r="D46" s="36" t="str">
        <x:v>정상 시나리오: 안전한 원격 기본값·기능 플래그</x:v>
      </x:c>
      <x:c r="E46" s="36" t="str">
        <x:v>서명과 버전이 있는 원격 설정을 가져오고 허용 목록 밖의 키는 무시한다. 매치 진행 중에는 승패에 영향을 주는 값을 변경하지 않는다.</x:v>
      </x:c>
      <x:c r="F46" s="36" t="str">
        <x:v>대상 기능이 포함된 출시 빌드, 필요한 테스트 계정·룸 설정·로그 접근 권한을 준비한다.</x:v>
      </x:c>
      <x:c r="G46" s="36" t="str">
        <x:v>1. 사전 조건 상태를 구성한다.
2. 표준 설정에서 다음 테스트 대상을 실행한다: 안전한 원격 기본값·기능 플래그.
3. UI, 서버 상태와 로그·텔레메트리를 확인한다.
4. 필요하면 재입장 또는 재실행하여 재현성을 확인한다.</x:v>
      </x:c>
      <x:c r="H46" s="36" t="str">
        <x:v>서명과 버전이 있는 원격 설정을 가져오고 허용 목록 밖의 키는 무시한다. 매치 진행 중에는 승패에 영향을 주는 값을 변경하지 않는다.</x:v>
      </x:c>
      <x:c r="I46" s="36" t="str">
        <x:v>보안</x:v>
      </x:c>
      <x:c r="J46" s="36" t="str">
        <x:v>P0</x:v>
      </x:c>
      <x:c r="K46" s="36" t="str">
        <x:v>전체</x:v>
      </x:c>
      <x:c r="L46" s="36" t="str">
        <x:v>예</x:v>
      </x:c>
      <x:c r="M46" s="36" t="str">
        <x:v>미실시</x:v>
      </x:c>
      <x:c r="N46" s="36" t="str">
        <x:v>미정</x:v>
      </x:c>
      <x:c r="O46" s="36" t="str">
        <x:v>미정</x:v>
      </x:c>
      <x:c r="P46" s="36"/>
      <x:c r="Q46" s="36"/>
      <x:c r="R46" s="44" t="str">
        <x:v>2026-07-10</x:v>
      </x:c>
      <x:c r="S46" s="36"/>
      <x:c r="T46" s="54"/>
      <x:c r="U46" s="54"/>
      <x:c r="V46" s="53" t="str">
        <x:v>착수 전</x:v>
      </x:c>
    </x:row>
    <x:row r="47" ht="42" customHeight="1">
      <x:c r="A47" s="36" t="str">
        <x:v>TC-SET-028-02</x:v>
      </x:c>
      <x:c r="B47" s="36" t="str">
        <x:v>SET-028</x:v>
      </x:c>
      <x:c r="C47" s="36" t="str">
        <x:v>게임 설정·접근성</x:v>
      </x:c>
      <x:c r="D47" s="36" t="str">
        <x:v>예외·경계 시나리오: 안전한 원격 기본값·기능 플래그</x:v>
      </x:c>
      <x:c r="E47" s="36" t="str">
        <x:v>허용되지 않은 상태, 잘못된 값, 중복, 만료, 권한 부족, 연결 끊김 입력으로 데이터 손상·정보 유출·클라이언트 상태 분기가 발생하지 않는지 확인한다.</x:v>
      </x:c>
      <x:c r="F47" s="36" t="str">
        <x:v>대상 기능이 포함된 출시 빌드와 디버그 입력, 네트워크 열화, 비정상 요청 재현 수단을 준비한다.</x:v>
      </x:c>
      <x:c r="G47" s="36" t="str">
        <x:v>1. 허용되지 않은 페이즈 또는 경계값 조건을 구성한다.
2. 안전한 원격 기본값·기능 플래그에 대해 중복·무효·지연·연결 끊김을 포함한 요청을 전송한다.
3. 서버 거부, 롤백, 오류 표시와 감사 로그를 확인한다.
4. 모든 클라이언트의 상태가 일치하는지 확인한다.</x:v>
      </x:c>
      <x:c r="H47" s="36" t="str">
        <x:v>요청은 사양에 따라 거부되거나 안전하게 복구되며, 중복 반영, 데이터 손실, 정보 유출 또는 진행 중단이 발생하지 않는다. 오류와 상관관계 ID가 기록된다.</x:v>
      </x:c>
      <x:c r="I47" s="36" t="str">
        <x:v>보안</x:v>
      </x:c>
      <x:c r="J47" s="36" t="str">
        <x:v>P0</x:v>
      </x:c>
      <x:c r="K47" s="36" t="str">
        <x:v>전체</x:v>
      </x:c>
      <x:c r="L47" s="36" t="str">
        <x:v>예</x:v>
      </x:c>
      <x:c r="M47" s="36" t="str">
        <x:v>미실시</x:v>
      </x:c>
      <x:c r="N47" s="36" t="str">
        <x:v>미정</x:v>
      </x:c>
      <x:c r="O47" s="36" t="str">
        <x:v>미정</x:v>
      </x:c>
      <x:c r="P47" s="36"/>
      <x:c r="Q47" s="36"/>
      <x:c r="R47" s="44" t="str">
        <x:v>2026-07-10</x:v>
      </x:c>
      <x:c r="S47" s="36"/>
      <x:c r="T47" s="54"/>
      <x:c r="U47" s="54"/>
      <x:c r="V47" s="53" t="str">
        <x:v>착수 전</x:v>
      </x:c>
    </x:row>
  </x:sheetData>
  <x:conditionalFormatting sqref="M2:M47">
    <x:cfRule type="expression" dxfId="10" priority="1">
      <x:formula>M2="완료"</x:formula>
    </x:cfRule>
    <x:cfRule type="expression" dxfId="11" priority="2">
      <x:formula>M2="통과"</x:formula>
    </x:cfRule>
    <x:cfRule type="expression" dxfId="12" priority="3">
      <x:formula>M2="차단"</x:formula>
    </x:cfRule>
    <x:cfRule type="expression" dxfId="13" priority="4">
      <x:formula>M2="실패"</x:formula>
    </x:cfRule>
    <x:cfRule type="expression" dxfId="14" priority="5">
      <x:formula>M2="구현 중"</x:formula>
    </x:cfRule>
    <x:cfRule type="expression" dxfId="15" priority="6">
      <x:formula>M2="QA 진행 중"</x:formula>
    </x:cfRule>
  </x:conditionalFormatting>
  <x:conditionalFormatting sqref="J2:J47">
    <x:cfRule type="expression" dxfId="16" priority="7">
      <x:formula>J2="P0"</x:formula>
    </x:cfRule>
    <x:cfRule type="expression" dxfId="17" priority="8">
      <x:formula>J2="P1"</x:formula>
    </x:cfRule>
  </x:conditionalFormatting>
  <x:conditionalFormatting sqref="V2:V47">
    <x:cfRule type="expression" dxfId="33" priority="9">
      <x:formula>V2="착수 전"</x:formula>
    </x:cfRule>
    <x:cfRule type="expression" dxfId="34" priority="10">
      <x:formula>V2="작업 중"</x:formula>
    </x:cfRule>
    <x:cfRule type="expression" dxfId="35" priority="11">
      <x:formula>V2="완료"</x:formula>
    </x:cfRule>
  </x:conditionalFormatting>
  <x:dataValidations count="6">
    <x:dataValidation type="list" sqref="I2:I47">
      <x:formula1>"기능,통합,경계값,네트워크,보안,성능,호환성,사용성,접근성,현지화,밸런스,운영,안전,부하"</x:formula1>
    </x:dataValidation>
    <x:dataValidation type="list" sqref="J2:J47">
      <x:formula1>"P0,P1,P2,P3"</x:formula1>
    </x:dataValidation>
    <x:dataValidation type="list" sqref="L2:L47">
      <x:formula1>"예,아니요,부분"</x:formula1>
    </x:dataValidation>
    <x:dataValidation type="list" sqref="M2:M47">
      <x:formula1>"미실시,진행 중,통과,실패,차단,대상 제외"</x:formula1>
    </x:dataValidation>
    <x:dataValidation type="list" sqref="K2:K47">
      <x:formula1>"전체,PC,콘솔,모바일,서버,백엔드,도구,웹·관리자"</x:formula1>
    </x:dataValidation>
    <x:dataValidation type="list" sqref="V2:V47">
      <x:formula1>"착수 전,작업 중,완료"</x:formula1>
    </x:dataValidation>
  </x:dataValidations>
  <x:pageMargins left="0.7" right="0.7" top="0.75" bottom="0.75" header="0.3" footer="0.3"/>
  <x:tableParts count="1">
    <x:tablePart xmlns:r="http://schemas.openxmlformats.org/officeDocument/2006/relationships" r:id="R0001faa458ae4857"/>
  </x:tableParts>
</x:worksheet>
</file>

<file path=xl/worksheets/sheet7.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48" hidden="0" customWidth="1"/>
    <x:col min="5" max="5" width="36" hidden="0" customWidth="1"/>
    <x:col min="6" max="6" width="36" hidden="0" customWidth="1"/>
    <x:col min="7" max="7" width="12" hidden="0" customWidth="1"/>
    <x:col min="8" max="8" width="12" hidden="0" customWidth="1"/>
    <x:col min="9" max="9" width="10" hidden="0" customWidth="1"/>
    <x:col min="10" max="10" width="20" hidden="0" customWidth="1"/>
    <x:col min="11" max="11" width="48" hidden="0" customWidth="1"/>
    <x:col min="12" max="12" width="48" hidden="0" customWidth="1"/>
    <x:col min="13" max="13" width="14" hidden="0" customWidth="1"/>
    <x:col min="14" max="14" width="24" hidden="0" customWidth="1"/>
    <x:col min="15" max="15" width="13" hidden="0" customWidth="1"/>
    <x:col min="16" max="16" width="28" hidden="0" customWidth="1"/>
  </x:cols>
  <x:sheetData>
    <x:row r="1" ht="30" customHeight="1">
      <x:c r="A1" s="40" t="str">
        <x:v>위험 ID</x:v>
      </x:c>
      <x:c r="B1" s="40" t="str">
        <x:v>부문</x:v>
      </x:c>
      <x:c r="C1" s="40" t="str">
        <x:v>분류</x:v>
      </x:c>
      <x:c r="D1" s="40" t="str">
        <x:v>위험 내용</x:v>
      </x:c>
      <x:c r="E1" s="40" t="str">
        <x:v>발생 조건</x:v>
      </x:c>
      <x:c r="F1" s="40" t="str">
        <x:v>영향</x:v>
      </x:c>
      <x:c r="G1" s="40" t="str">
        <x:v>발생 확률</x:v>
      </x:c>
      <x:c r="H1" s="40" t="str">
        <x:v>영향도</x:v>
      </x:c>
      <x:c r="I1" s="40" t="str">
        <x:v>점수</x:v>
      </x:c>
      <x:c r="J1" s="40" t="str">
        <x:v>담당자</x:v>
      </x:c>
      <x:c r="K1" s="40" t="str">
        <x:v>예방 조치</x:v>
      </x:c>
      <x:c r="L1" s="40" t="str">
        <x:v>비상 대책</x:v>
      </x:c>
      <x:c r="M1" s="40" t="str">
        <x:v>상태</x:v>
      </x:c>
      <x:c r="N1" s="40" t="str">
        <x:v>관련 ID</x:v>
      </x:c>
      <x:c r="O1" s="40" t="str">
        <x:v>검토일</x:v>
      </x:c>
      <x:c r="P1" s="40" t="str">
        <x:v>비고</x:v>
      </x:c>
    </x:row>
    <x:row r="2" ht="42" customHeight="1">
      <x:c r="A2" s="36" t="str">
        <x:v>R-SET-01</x:v>
      </x:c>
      <x:c r="B2" s="36" t="str">
        <x:v>게임 설정·접근성</x:v>
      </x:c>
      <x:c r="C2" s="36" t="str">
        <x:v>데이터 정합성</x:v>
      </x:c>
      <x:c r="D2" s="36" t="str">
        <x:v>클라이언트와 서버의 확정 설정값이 다를 수 있다.</x:v>
      </x:c>
      <x:c r="E2" s="36" t="str">
        <x:v>설정 버전과 수신 확인 부족</x:v>
      </x:c>
      <x:c r="F2" s="36" t="str">
        <x:v>승패·타이머 불일치</x:v>
      </x:c>
      <x:c r="G2" s="36" t="str">
        <x:v>중간</x:v>
      </x:c>
      <x:c r="H2" s="36" t="str">
        <x:v>높음</x:v>
      </x:c>
      <x:c r="I2" s="36" t="n">
        <x:f>IF(G2="높음",3,IF(G2="중간",2,1))*IF(H2="높음",3,IF(H2="중간",2,1))</x:f>
        <x:v>6</x:v>
      </x:c>
      <x:c r="J2" s="36" t="str">
        <x:v>시스템 리드</x:v>
      </x:c>
      <x:c r="K2" s="36" t="str">
        <x:v>서버 확정 버전과 시작 전 수신 확인을 적용한다.</x:v>
      </x:c>
      <x:c r="L2" s="36" t="str">
        <x:v>일치하지 않으면 매치 시작을 거부한다.</x:v>
      </x:c>
      <x:c r="M2" s="36" t="str">
        <x:v>미대응</x:v>
      </x:c>
      <x:c r="N2" s="36" t="str">
        <x:v>SET-020,SET-021</x:v>
      </x:c>
      <x:c r="O2" s="44" t="str">
        <x:v>미정</x:v>
      </x:c>
      <x:c r="P2" s="36"/>
    </x:row>
    <x:row r="3" ht="42" customHeight="1">
      <x:c r="A3" s="36" t="str">
        <x:v>R-SET-02</x:v>
      </x:c>
      <x:c r="B3" s="36" t="str">
        <x:v>게임 설정·접근성</x:v>
      </x:c>
      <x:c r="C3" s="36" t="str">
        <x:v>운영</x:v>
      </x:c>
      <x:c r="D3" s="36" t="str">
        <x:v>원격 설정이 진행 중인 매치에 적용될 수 있다.</x:v>
      </x:c>
      <x:c r="E3" s="36" t="str">
        <x:v>설정 적용 시점 설계 부족</x:v>
      </x:c>
      <x:c r="F3" s="36" t="str">
        <x:v>공정성·재현성 상실</x:v>
      </x:c>
      <x:c r="G3" s="36" t="str">
        <x:v>낮음</x:v>
      </x:c>
      <x:c r="H3" s="36" t="str">
        <x:v>높음</x:v>
      </x:c>
      <x:c r="I3" s="36" t="n">
        <x:f>IF(G3="높음",3,IF(G3="중간",2,1))*IF(H3="높음",3,IF(H3="중간",2,1))</x:f>
        <x:v>3</x:v>
      </x:c>
      <x:c r="J3" s="36" t="str">
        <x:v>라이브 운영 리드</x:v>
      </x:c>
      <x:c r="K3" s="36" t="str">
        <x:v>매치 시작 시 설정 버전을 고정한다.</x:v>
      </x:c>
      <x:c r="L3" s="36" t="str">
        <x:v>문제 설정 버전을 즉시 롤백한다.</x:v>
      </x:c>
      <x:c r="M3" s="36" t="str">
        <x:v>미대응</x:v>
      </x:c>
      <x:c r="N3" s="36" t="str">
        <x:v>SET-028,BED-015</x:v>
      </x:c>
      <x:c r="O3" s="44" t="str">
        <x:v>미정</x:v>
      </x:c>
      <x:c r="P3" s="36"/>
    </x:row>
    <x:row r="4" ht="42" customHeight="1">
      <x:c r="A4" s="36" t="str">
        <x:v>R-SET-03</x:v>
      </x:c>
      <x:c r="B4" s="36" t="str">
        <x:v>게임 설정·접근성</x:v>
      </x:c>
      <x:c r="C4" s="36" t="str">
        <x:v>접근성</x:v>
      </x:c>
      <x:c r="D4" s="36" t="str">
        <x:v>색각 보조가 UI에만 적용되고 게임 월드에는 반영되지 않을 수 있다.</x:v>
      </x:c>
      <x:c r="E4" s="36" t="str">
        <x:v>부문 간 색상 ID 불일치</x:v>
      </x:c>
      <x:c r="F4" s="36" t="str">
        <x:v>중요 정보 접근 불가</x:v>
      </x:c>
      <x:c r="G4" s="36" t="str">
        <x:v>중간</x:v>
      </x:c>
      <x:c r="H4" s="36" t="str">
        <x:v>높음</x:v>
      </x:c>
      <x:c r="I4" s="36" t="n">
        <x:f>IF(G4="높음",3,IF(G4="중간",2,1))*IF(H4="높음",3,IF(H4="중간",2,1))</x:f>
        <x:v>6</x:v>
      </x:c>
      <x:c r="J4" s="36" t="str">
        <x:v>접근성 담당</x:v>
      </x:c>
      <x:c r="K4" s="36" t="str">
        <x:v>공통 색상·패턴 ID와 부문 통합 QA를 적용한다.</x:v>
      </x:c>
      <x:c r="L4" s="36" t="str">
        <x:v>문제 에셋의 출시를 중단한다.</x:v>
      </x:c>
      <x:c r="M4" s="36" t="str">
        <x:v>미대응</x:v>
      </x:c>
      <x:c r="N4" s="36" t="str">
        <x:v>SET-024,UIX-028,CHR-015</x:v>
      </x:c>
      <x:c r="O4" s="44" t="str">
        <x:v>미정</x:v>
      </x:c>
      <x:c r="P4" s="36"/>
    </x:row>
    <x:row r="5" ht="42" customHeight="1">
      <x:c r="A5" s="36" t="str">
        <x:v>R-SET-04</x:v>
      </x:c>
      <x:c r="B5" s="36" t="str">
        <x:v>게임 설정·접근성</x:v>
      </x:c>
      <x:c r="C5" s="36" t="str">
        <x:v>사양</x:v>
      </x:c>
      <x:c r="D5" s="36" t="str">
        <x:v>미구현 확장 설정이 MVP에 노출되어 불완전한 구성을 만들 수 있다.</x:v>
      </x:c>
      <x:c r="E5" s="36" t="str">
        <x:v>기능 플래그와 UI 노출 조건 불일치</x:v>
      </x:c>
      <x:c r="F5" s="36" t="str">
        <x:v>매치 시작 실패·크래시</x:v>
      </x:c>
      <x:c r="G5" s="36" t="str">
        <x:v>중간</x:v>
      </x:c>
      <x:c r="H5" s="36" t="str">
        <x:v>중간</x:v>
      </x:c>
      <x:c r="I5" s="36" t="n">
        <x:f>IF(G5="높음",3,IF(G5="중간",2,1))*IF(H5="높음",3,IF(H5="중간",2,1))</x:f>
        <x:v>4</x:v>
      </x:c>
      <x:c r="J5" s="36" t="str">
        <x:v>제품 책임자</x:v>
      </x:c>
      <x:c r="K5" s="36" t="str">
        <x:v>서버에서 기능 가용성을 전달한다.</x:v>
      </x:c>
      <x:c r="L5" s="36" t="str">
        <x:v>해당 설정 항목을 원격으로 숨긴다.</x:v>
      </x:c>
      <x:c r="M5" s="36" t="str">
        <x:v>미대응</x:v>
      </x:c>
      <x:c r="N5" s="36" t="str">
        <x:v>SET-016,SET-017,SET-018</x:v>
      </x:c>
      <x:c r="O5" s="44" t="str">
        <x:v>미정</x:v>
      </x:c>
      <x:c r="P5" s="36"/>
    </x:row>
  </x:sheetData>
  <x:conditionalFormatting sqref="M2:M5">
    <x:cfRule type="expression" dxfId="18" priority="1">
      <x:formula>M2="완료"</x:formula>
    </x:cfRule>
    <x:cfRule type="expression" dxfId="19" priority="2">
      <x:formula>M2="통과"</x:formula>
    </x:cfRule>
    <x:cfRule type="expression" dxfId="20" priority="3">
      <x:formula>M2="차단"</x:formula>
    </x:cfRule>
    <x:cfRule type="expression" dxfId="21" priority="4">
      <x:formula>M2="실패"</x:formula>
    </x:cfRule>
    <x:cfRule type="expression" dxfId="22" priority="5">
      <x:formula>M2="구현 중"</x:formula>
    </x:cfRule>
    <x:cfRule type="expression" dxfId="23" priority="6">
      <x:formula>M2="QA 진행 중"</x:formula>
    </x:cfRule>
  </x:conditionalFormatting>
  <x:conditionalFormatting sqref="I2:I5">
    <x:cfRule type="colorScale" priority="7">
      <x:colorScale>
        <x:cfvo type="min"/>
        <x:cfvo type="percentile" val="50"/>
        <x:cfvo type="max"/>
        <x:color rgb="FFE2F0D9"/>
        <x:color rgb="FFFFF2CC"/>
        <x:color rgb="FFF4CCCC"/>
      </x:colorScale>
    </x:cfRule>
  </x:conditionalFormatting>
  <x:dataValidations count="3">
    <x:dataValidation type="list" sqref="G2:G5">
      <x:formula1>"높음,중간,낮음"</x:formula1>
    </x:dataValidation>
    <x:dataValidation type="list" sqref="H2:H5">
      <x:formula1>"높음,중간,낮음"</x:formula1>
    </x:dataValidation>
    <x:dataValidation type="list" sqref="M2:M5">
      <x:formula1>"미대응,대응 중,모니터링 중,수용,해결,종료"</x:formula1>
    </x:dataValidation>
  </x:dataValidations>
  <x:pageMargins left="0.7" right="0.7" top="0.75" bottom="0.75" header="0.3" footer="0.3"/>
  <x:tableParts count="1">
    <x:tablePart xmlns:r="http://schemas.openxmlformats.org/officeDocument/2006/relationships" r:id="Re5042be5c74d4e27"/>
  </x:tableParts>
</x:worksheet>
</file>

<file path=xl/worksheets/sheet8.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54" hidden="0" customWidth="1"/>
    <x:col min="6" max="6" width="42" hidden="0" customWidth="1"/>
    <x:col min="7" max="7" width="42" hidden="0" customWidth="1"/>
    <x:col min="8" max="8" width="14" hidden="0" customWidth="1"/>
    <x:col min="9" max="9" width="20" hidden="0" customWidth="1"/>
    <x:col min="10" max="10" width="13" hidden="0" customWidth="1"/>
    <x:col min="11" max="11" width="24" hidden="0" customWidth="1"/>
    <x:col min="12" max="12" width="48" hidden="0" customWidth="1"/>
    <x:col min="13" max="13" width="13" hidden="0" customWidth="1"/>
  </x:cols>
  <x:sheetData>
    <x:row r="1" ht="30" customHeight="1">
      <x:c r="A1" s="40" t="str">
        <x:v>의사결정 ID</x:v>
      </x:c>
      <x:c r="B1" s="40" t="str">
        <x:v>부문</x:v>
      </x:c>
      <x:c r="C1" s="40" t="str">
        <x:v>논점</x:v>
      </x:c>
      <x:c r="D1" s="40" t="str">
        <x:v>결정 질문</x:v>
      </x:c>
      <x:c r="E1" s="40" t="str">
        <x:v>선택지</x:v>
      </x:c>
      <x:c r="F1" s="40" t="str">
        <x:v>권고안</x:v>
      </x:c>
      <x:c r="G1" s="40" t="str">
        <x:v>최종 결정</x:v>
      </x:c>
      <x:c r="H1" s="40" t="str">
        <x:v>상태</x:v>
      </x:c>
      <x:c r="I1" s="40" t="str">
        <x:v>결정권자</x:v>
      </x:c>
      <x:c r="J1" s="40" t="str">
        <x:v>기한</x:v>
      </x:c>
      <x:c r="K1" s="40" t="str">
        <x:v>관련 ID</x:v>
      </x:c>
      <x:c r="L1" s="40" t="str">
        <x:v>판단 근거·증빙</x:v>
      </x:c>
      <x:c r="M1" s="40" t="str">
        <x:v>최종 갱신일</x:v>
      </x:c>
    </x:row>
    <x:row r="2" ht="42" customHeight="1">
      <x:c r="A2" s="36" t="str">
        <x:v>D-SET-01</x:v>
      </x:c>
      <x:c r="B2" s="36" t="str">
        <x:v>게임 설정·접근성</x:v>
      </x:c>
      <x:c r="C2" s="36" t="str">
        <x:v>룸 설정 공개 범위</x:v>
      </x:c>
      <x:c r="D2" s="36" t="str">
        <x:v>MVP에서 호스트에게 어떤 설정 항목을 공개할 것인가?</x:v>
      </x:c>
      <x:c r="E2" s="36" t="str">
        <x:v>A: 전체 / B: 기본 항목 / C: 프리셋만</x:v>
      </x:c>
      <x:c r="F2" s="36" t="str">
        <x:v>인원과 기본 타이머만 공개하고 나머지는 고급 설정에 둔다.</x:v>
      </x:c>
      <x:c r="G2" s="36" t="str">
        <x:v>미정</x:v>
      </x:c>
      <x:c r="H2" s="36" t="str">
        <x:v>미정</x:v>
      </x:c>
      <x:c r="I2" s="36" t="str">
        <x:v>제품 책임자</x:v>
      </x:c>
      <x:c r="J2" s="44" t="str">
        <x:v>2026-07-24</x:v>
      </x:c>
      <x:c r="K2" s="36" t="str">
        <x:v>SET-009,SET-012,SET-014</x:v>
      </x:c>
      <x:c r="L2" s="36" t="str">
        <x:v>초보자가 정상 동작하지 않는 조합을 만들지 않도록 한다.</x:v>
      </x:c>
      <x:c r="M2" s="44" t="str">
        <x:v>2026-07-10</x:v>
      </x:c>
    </x:row>
    <x:row r="3" ht="42" customHeight="1">
      <x:c r="A3" s="36" t="str">
        <x:v>D-SET-02</x:v>
      </x:c>
      <x:c r="B3" s="36" t="str">
        <x:v>게임 설정·접근성</x:v>
      </x:c>
      <x:c r="C3" s="36" t="str">
        <x:v>확장 기능 표시</x:v>
      </x:c>
      <x:c r="D3" s="36" t="str">
        <x:v>미구현 또는 잠긴 기능을 설정 UI에 표시할 것인가?</x:v>
      </x:c>
      <x:c r="E3" s="36" t="str">
        <x:v>A: 잠금 상태로 표시 / B: 숨김</x:v>
      </x:c>
      <x:c r="F3" s="36" t="str">
        <x:v>지원될 때까지 숨긴다.</x:v>
      </x:c>
      <x:c r="G3" s="36" t="str">
        <x:v>미정</x:v>
      </x:c>
      <x:c r="H3" s="36" t="str">
        <x:v>미정</x:v>
      </x:c>
      <x:c r="I3" s="36" t="str">
        <x:v>제품 책임자</x:v>
      </x:c>
      <x:c r="J3" s="44" t="str">
        <x:v>2026-07-31</x:v>
      </x:c>
      <x:c r="K3" s="36" t="str">
        <x:v>SET-017,SET-018</x:v>
      </x:c>
      <x:c r="L3" s="36" t="str">
        <x:v>기대치 관리와 버전 호환성을 우선한다.</x:v>
      </x:c>
      <x:c r="M3" s="44" t="str">
        <x:v>2026-07-10</x:v>
      </x:c>
    </x:row>
  </x:sheetData>
  <x:conditionalFormatting sqref="H2:H3">
    <x:cfRule type="expression" dxfId="24" priority="1">
      <x:formula>H2="완료"</x:formula>
    </x:cfRule>
    <x:cfRule type="expression" dxfId="25" priority="2">
      <x:formula>H2="통과"</x:formula>
    </x:cfRule>
    <x:cfRule type="expression" dxfId="26" priority="3">
      <x:formula>H2="차단"</x:formula>
    </x:cfRule>
    <x:cfRule type="expression" dxfId="27" priority="4">
      <x:formula>H2="실패"</x:formula>
    </x:cfRule>
    <x:cfRule type="expression" dxfId="28" priority="5">
      <x:formula>H2="구현 중"</x:formula>
    </x:cfRule>
    <x:cfRule type="expression" dxfId="29" priority="6">
      <x:formula>H2="QA 진행 중"</x:formula>
    </x:cfRule>
  </x:conditionalFormatting>
  <x:dataValidations count="1">
    <x:dataValidation type="list" sqref="H2:H3">
      <x:formula1>"미정,검토 중,승인,기각,보류"</x:formula1>
    </x:dataValidation>
  </x:dataValidations>
  <x:pageMargins left="0.7" right="0.7" top="0.75" bottom="0.75" header="0.3" footer="0.3"/>
  <x:tableParts count="1">
    <x:tablePart xmlns:r="http://schemas.openxmlformats.org/officeDocument/2006/relationships" r:id="Ra41b73713c944000"/>
  </x:tableParts>
</x:worksheet>
</file>

<file path=xl/worksheets/sheet9.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s>
  <x:sheetData>
    <x:row r="1">
      <x:c r="A1" s="33" t="str">
        <x:v>상태</x:v>
      </x:c>
      <x:c r="B1" s="33" t="str">
        <x:v>우선순위</x:v>
      </x:c>
      <x:c r="C1" s="33" t="str">
        <x:v>범위</x:v>
      </x:c>
      <x:c r="D1" s="33" t="str">
        <x:v>게이트</x:v>
      </x:c>
      <x:c r="E1" s="33" t="str">
        <x:v>위험도</x:v>
      </x:c>
      <x:c r="F1" s="33" t="str">
        <x:v>예상 규모</x:v>
      </x:c>
      <x:c r="G1" s="33" t="str">
        <x:v>QA 유형</x:v>
      </x:c>
      <x:c r="H1" s="33" t="str">
        <x:v>플랫폼</x:v>
      </x:c>
      <x:c r="I1" s="33" t="str">
        <x:v>권한 주체</x:v>
      </x:c>
      <x:c r="J1" s="33" t="str">
        <x:v>저장 범위</x:v>
      </x:c>
      <x:c r="K1" s="33" t="str">
        <x:v>QA 상태</x:v>
      </x:c>
      <x:c r="L1" s="33" t="str">
        <x:v>의사결정 상태</x:v>
      </x:c>
      <x:c r="M1" s="33" t="str">
        <x:v>위험 상태</x:v>
      </x:c>
    </x:row>
    <x:row r="2">
      <x:c r="A2" t="str">
        <x:v>미착수</x:v>
      </x:c>
      <x:c r="B2" t="str">
        <x:v>P0</x:v>
      </x:c>
      <x:c r="C2" t="str">
        <x:v>MVP</x:v>
      </x:c>
      <x:c r="D2" t="str">
        <x:v>필수</x:v>
      </x:c>
      <x:c r="E2" t="str">
        <x:v>높음</x:v>
      </x:c>
      <x:c r="F2" t="str">
        <x:v>XS</x:v>
      </x:c>
      <x:c r="G2" t="str">
        <x:v>기능</x:v>
      </x:c>
      <x:c r="H2" t="str">
        <x:v>전체</x:v>
      </x:c>
      <x:c r="I2" t="str">
        <x:v>서버 권한</x:v>
      </x:c>
      <x:c r="J2" t="str">
        <x:v>없음</x:v>
      </x:c>
      <x:c r="K2" t="str">
        <x:v>미실시</x:v>
      </x:c>
      <x:c r="L2" t="str">
        <x:v>미정</x:v>
      </x:c>
      <x:c r="M2" t="str">
        <x:v>미대응</x:v>
      </x:c>
    </x:row>
    <x:row r="3">
      <x:c r="A3" t="str">
        <x:v>사양 확인 중</x:v>
      </x:c>
      <x:c r="B3" t="str">
        <x:v>P1</x:v>
      </x:c>
      <x:c r="C3" t="str">
        <x:v>알파</x:v>
      </x:c>
      <x:c r="D3" t="str">
        <x:v>조건부</x:v>
      </x:c>
      <x:c r="E3" t="str">
        <x:v>중간</x:v>
      </x:c>
      <x:c r="F3" t="str">
        <x:v>S</x:v>
      </x:c>
      <x:c r="G3" t="str">
        <x:v>통합</x:v>
      </x:c>
      <x:c r="H3" t="str">
        <x:v>PC</x:v>
      </x:c>
      <x:c r="I3" t="str">
        <x:v>클라이언트 예측·서버 검증</x:v>
      </x:c>
      <x:c r="J3" t="str">
        <x:v>세션</x:v>
      </x:c>
      <x:c r="K3" t="str">
        <x:v>진행 중</x:v>
      </x:c>
      <x:c r="L3" t="str">
        <x:v>검토 중</x:v>
      </x:c>
      <x:c r="M3" t="str">
        <x:v>대응 중</x:v>
      </x:c>
    </x:row>
    <x:row r="4">
      <x:c r="A4" t="str">
        <x:v>구현 중</x:v>
      </x:c>
      <x:c r="B4" t="str">
        <x:v>P2</x:v>
      </x:c>
      <x:c r="C4" t="str">
        <x:v>베타</x:v>
      </x:c>
      <x:c r="D4" t="str">
        <x:v>권장</x:v>
      </x:c>
      <x:c r="E4" t="str">
        <x:v>낮음</x:v>
      </x:c>
      <x:c r="F4" t="str">
        <x:v>M</x:v>
      </x:c>
      <x:c r="G4" t="str">
        <x:v>경계값</x:v>
      </x:c>
      <x:c r="H4" t="str">
        <x:v>콘솔</x:v>
      </x:c>
      <x:c r="I4" t="str">
        <x:v>클라이언트 로컬</x:v>
      </x:c>
      <x:c r="J4" t="str">
        <x:v>매치</x:v>
      </x:c>
      <x:c r="K4" t="str">
        <x:v>통과</x:v>
      </x:c>
      <x:c r="L4" t="str">
        <x:v>승인됨</x:v>
      </x:c>
      <x:c r="M4" t="str">
        <x:v>모니터링</x:v>
      </x:c>
    </x:row>
    <x:row r="5">
      <x:c r="A5" t="str">
        <x:v>코드 리뷰</x:v>
      </x:c>
      <x:c r="B5" t="str">
        <x:v>P3</x:v>
      </x:c>
      <x:c r="C5" t="str">
        <x:v>릴리스 후보</x:v>
      </x:c>
      <x:c r="D5" t="str">
        <x:v>대상 제외</x:v>
      </x:c>
      <x:c r="E5"/>
      <x:c r="F5" t="str">
        <x:v>L</x:v>
      </x:c>
      <x:c r="G5" t="str">
        <x:v>네트워크</x:v>
      </x:c>
      <x:c r="H5" t="str">
        <x:v>모바일</x:v>
      </x:c>
      <x:c r="I5" t="str">
        <x:v>백엔드 권한</x:v>
      </x:c>
      <x:c r="J5" t="str">
        <x:v>계정</x:v>
      </x:c>
      <x:c r="K5" t="str">
        <x:v>실패</x:v>
      </x:c>
      <x:c r="L5" t="str">
        <x:v>반려</x:v>
      </x:c>
      <x:c r="M5" t="str">
        <x:v>수용</x:v>
      </x:c>
    </x:row>
    <x:row r="6">
      <x:c r="A6" t="str">
        <x:v>QA 진행 중</x:v>
      </x:c>
      <x:c r="B6"/>
      <x:c r="C6" t="str">
        <x:v>출시</x:v>
      </x:c>
      <x:c r="D6"/>
      <x:c r="E6"/>
      <x:c r="F6" t="str">
        <x:v>XL</x:v>
      </x:c>
      <x:c r="G6" t="str">
        <x:v>보안</x:v>
      </x:c>
      <x:c r="H6" t="str">
        <x:v>서버</x:v>
      </x:c>
      <x:c r="I6" t="str">
        <x:v>호스트 권한</x:v>
      </x:c>
      <x:c r="J6" t="str">
        <x:v>단말 로컬</x:v>
      </x:c>
      <x:c r="K6" t="str">
        <x:v>차단</x:v>
      </x:c>
      <x:c r="L6" t="str">
        <x:v>보류</x:v>
      </x:c>
      <x:c r="M6" t="str">
        <x:v>해소</x:v>
      </x:c>
    </x:row>
    <x:row r="7">
      <x:c r="A7" t="str">
        <x:v>차단</x:v>
      </x:c>
      <x:c r="B7"/>
      <x:c r="C7" t="str">
        <x:v>출시 후</x:v>
      </x:c>
      <x:c r="D7"/>
      <x:c r="E7"/>
      <x:c r="F7" t="str">
        <x:v>분할 필요</x:v>
      </x:c>
      <x:c r="G7" t="str">
        <x:v>성능</x:v>
      </x:c>
      <x:c r="H7" t="str">
        <x:v>백엔드</x:v>
      </x:c>
      <x:c r="I7" t="str">
        <x:v>콘텐츠 데이터</x:v>
      </x:c>
      <x:c r="J7" t="str">
        <x:v>백엔드</x:v>
      </x:c>
      <x:c r="K7" t="str">
        <x:v>대상 제외</x:v>
      </x:c>
      <x:c r="L7"/>
      <x:c r="M7" t="str">
        <x:v>종료</x:v>
      </x:c>
    </x:row>
    <x:row r="8">
      <x:c r="A8" t="str">
        <x:v>완료</x:v>
      </x:c>
      <x:c r="B8"/>
      <x:c r="C8" t="str">
        <x:v>대상 제외</x:v>
      </x:c>
      <x:c r="D8"/>
      <x:c r="E8"/>
      <x:c r="F8"/>
      <x:c r="G8" t="str">
        <x:v>호환성</x:v>
      </x:c>
      <x:c r="H8" t="str">
        <x:v>도구</x:v>
      </x:c>
      <x:c r="I8" t="str">
        <x:v>해당 없음</x:v>
      </x:c>
      <x:c r="J8" t="str">
        <x:v>감사 로그</x:v>
      </x:c>
      <x:c r="K8"/>
      <x:c r="L8"/>
      <x:c r="M8"/>
    </x:row>
    <x:row r="9">
      <x:c r="A9" t="str">
        <x:v>보류</x:v>
      </x:c>
      <x:c r="B9"/>
      <x:c r="C9"/>
      <x:c r="D9"/>
      <x:c r="E9"/>
      <x:c r="F9"/>
      <x:c r="G9" t="str">
        <x:v>사용성</x:v>
      </x:c>
      <x:c r="H9" t="str">
        <x:v>웹·관리자</x:v>
      </x:c>
      <x:c r="I9"/>
      <x:c r="J9"/>
      <x:c r="K9"/>
      <x:c r="L9"/>
      <x:c r="M9"/>
    </x:row>
    <x:row r="10">
      <x:c r="A10"/>
      <x:c r="B10"/>
      <x:c r="C10"/>
      <x:c r="D10"/>
      <x:c r="E10"/>
      <x:c r="F10"/>
      <x:c r="G10" t="str">
        <x:v>접근성</x:v>
      </x:c>
      <x:c r="H10"/>
      <x:c r="I10"/>
      <x:c r="J10"/>
      <x:c r="K10"/>
      <x:c r="L10"/>
      <x:c r="M10"/>
    </x:row>
    <x:row r="11">
      <x:c r="A11"/>
      <x:c r="B11"/>
      <x:c r="C11"/>
      <x:c r="D11"/>
      <x:c r="E11"/>
      <x:c r="F11"/>
      <x:c r="G11" t="str">
        <x:v>현지화</x:v>
      </x:c>
      <x:c r="H11"/>
      <x:c r="I11"/>
      <x:c r="J11"/>
      <x:c r="K11"/>
      <x:c r="L11"/>
      <x:c r="M11"/>
    </x:row>
    <x:row r="12">
      <x:c r="A12"/>
      <x:c r="B12"/>
      <x:c r="C12"/>
      <x:c r="D12"/>
      <x:c r="E12"/>
      <x:c r="F12"/>
      <x:c r="G12" t="str">
        <x:v>밸런스</x:v>
      </x:c>
      <x:c r="H12"/>
      <x:c r="I12"/>
      <x:c r="J12"/>
      <x:c r="K12"/>
      <x:c r="L12"/>
      <x:c r="M12"/>
    </x:row>
    <x:row r="13">
      <x:c r="A13"/>
      <x:c r="B13"/>
      <x:c r="C13"/>
      <x:c r="D13"/>
      <x:c r="E13"/>
      <x:c r="F13"/>
      <x:c r="G13" t="str">
        <x:v>운영</x:v>
      </x:c>
      <x:c r="H13"/>
      <x:c r="I13"/>
      <x:c r="J13"/>
      <x:c r="K13"/>
      <x:c r="L13"/>
      <x:c r="M13"/>
    </x:row>
  </x:sheetData>
  <x:pageMargins left="0.7" right="0.7" top="0.75" bottom="0.75" header="0.3" footer="0.3"/>
</x:worksheet>
</file>